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k\Desktop\saman insurance\"/>
    </mc:Choice>
  </mc:AlternateContent>
  <bookViews>
    <workbookView showSheetTabs="0" xWindow="0" yWindow="0" windowWidth="20400" windowHeight="7755"/>
  </bookViews>
  <sheets>
    <sheet name="GanttChart" sheetId="8" r:id="rId1"/>
    <sheet name="Income Person-hours" sheetId="10" r:id="rId2"/>
    <sheet name="Report 1" sheetId="14" r:id="rId3"/>
    <sheet name="Report 2" sheetId="13" r:id="rId4"/>
    <sheet name="Holidays" sheetId="9" r:id="rId5"/>
  </sheets>
  <functionGroups builtInGroupCount="18"/>
  <definedNames>
    <definedName name="_xlnm._FilterDatabase" localSheetId="0" hidden="1">GanttChart!$A$8:$Q$248</definedName>
    <definedName name="_xlnm._FilterDatabase" localSheetId="2" hidden="1">'Report 1'!$A$2:$I$180</definedName>
    <definedName name="_xlnm._FilterDatabase" localSheetId="3" hidden="1">'Report 2'!$A$1:$I$180</definedName>
    <definedName name="a" localSheetId="0">GanttChart!$B$1:$GA$185</definedName>
    <definedName name="_xlnm.Print_Area" localSheetId="0">GanttChart!$A$1:$DI$163</definedName>
    <definedName name="_xlnm.Print_Area" localSheetId="2">'Report 1'!$B$1:$I$180</definedName>
    <definedName name="_xlnm.Print_Area" localSheetId="3">'Report 2'!$B$1:$I$180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L16" i="8" l="1"/>
  <c r="IH16" i="8"/>
  <c r="E16" i="8"/>
  <c r="IX34" i="8" l="1"/>
  <c r="IR15" i="8"/>
  <c r="IN15" i="8"/>
  <c r="IX14" i="8"/>
  <c r="E34" i="8"/>
  <c r="E15" i="8"/>
  <c r="E14" i="8"/>
  <c r="IT34" i="8" l="1"/>
  <c r="IT14" i="8"/>
  <c r="K84" i="8"/>
  <c r="K85" i="8"/>
  <c r="K86" i="8"/>
  <c r="K87" i="8"/>
  <c r="K88" i="8"/>
  <c r="K89" i="8"/>
  <c r="K90" i="8"/>
  <c r="K91" i="8"/>
  <c r="K92" i="8"/>
  <c r="K93" i="8"/>
  <c r="K94" i="8"/>
  <c r="C3" i="8"/>
  <c r="B1" i="8" l="1"/>
  <c r="E9" i="9"/>
  <c r="E12" i="9"/>
  <c r="E6" i="9"/>
  <c r="E14" i="9"/>
  <c r="E17" i="9"/>
  <c r="E18" i="9"/>
  <c r="E25" i="9"/>
  <c r="E27" i="9"/>
  <c r="E26" i="9"/>
  <c r="E4" i="9"/>
  <c r="E3" i="9"/>
  <c r="E2" i="9"/>
  <c r="E22" i="9"/>
  <c r="E8" i="9"/>
  <c r="E16" i="9"/>
  <c r="E7" i="9"/>
  <c r="E15" i="9"/>
  <c r="E5" i="9"/>
  <c r="E10" i="9"/>
  <c r="E11" i="9"/>
  <c r="E13" i="9"/>
  <c r="E8" i="8"/>
  <c r="E24" i="9"/>
  <c r="E20" i="9"/>
  <c r="E21" i="9"/>
  <c r="E23" i="9"/>
  <c r="E19" i="9"/>
  <c r="JD185" i="8" l="1"/>
  <c r="JD186" i="8"/>
  <c r="JD187" i="8"/>
  <c r="JD188" i="8"/>
  <c r="K37" i="8"/>
  <c r="K36" i="8"/>
  <c r="K10" i="8"/>
  <c r="D3" i="8"/>
  <c r="D28" i="9" l="1"/>
  <c r="C5" i="14" l="1"/>
  <c r="C6" i="14"/>
  <c r="C7" i="14"/>
  <c r="C8" i="14"/>
  <c r="C9" i="14"/>
  <c r="C10" i="14"/>
  <c r="C11" i="14"/>
  <c r="C12" i="14"/>
  <c r="C27" i="14"/>
  <c r="C28" i="14"/>
  <c r="C29" i="14"/>
  <c r="C30" i="14"/>
  <c r="C32" i="14"/>
  <c r="C49" i="14"/>
  <c r="C51" i="14"/>
  <c r="C53" i="14"/>
  <c r="C54" i="14"/>
  <c r="C71" i="14"/>
  <c r="C73" i="14"/>
  <c r="C74" i="14"/>
  <c r="C93" i="14"/>
  <c r="C94" i="14"/>
  <c r="C95" i="14"/>
  <c r="C115" i="14"/>
  <c r="C116" i="14"/>
  <c r="C118" i="14"/>
  <c r="C119" i="14"/>
  <c r="C137" i="14"/>
  <c r="C138" i="14"/>
  <c r="C139" i="14"/>
  <c r="C159" i="14"/>
  <c r="C16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31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50" i="14"/>
  <c r="C52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2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7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60" i="14"/>
  <c r="C161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A7" i="10" l="1"/>
  <c r="A1" i="10"/>
  <c r="G8" i="10"/>
  <c r="F8" i="10"/>
  <c r="D8" i="10"/>
  <c r="D5" i="14"/>
  <c r="E5" i="14"/>
  <c r="F5" i="14"/>
  <c r="D6" i="14"/>
  <c r="E6" i="14"/>
  <c r="F6" i="14"/>
  <c r="D7" i="14"/>
  <c r="E7" i="14"/>
  <c r="F7" i="14"/>
  <c r="D8" i="14"/>
  <c r="E8" i="14"/>
  <c r="F8" i="14"/>
  <c r="D9" i="14"/>
  <c r="E9" i="14"/>
  <c r="F9" i="14"/>
  <c r="D10" i="14"/>
  <c r="E10" i="14"/>
  <c r="F10" i="14"/>
  <c r="D11" i="14"/>
  <c r="E11" i="14"/>
  <c r="F11" i="14"/>
  <c r="D12" i="14"/>
  <c r="E12" i="14"/>
  <c r="F12" i="14"/>
  <c r="D13" i="14"/>
  <c r="E13" i="14"/>
  <c r="F13" i="14"/>
  <c r="D14" i="14"/>
  <c r="E14" i="14"/>
  <c r="F14" i="14"/>
  <c r="D15" i="14"/>
  <c r="E15" i="14"/>
  <c r="F15" i="14"/>
  <c r="D16" i="14"/>
  <c r="E16" i="14"/>
  <c r="F16" i="14"/>
  <c r="D17" i="14"/>
  <c r="E17" i="14"/>
  <c r="F17" i="14"/>
  <c r="D18" i="14"/>
  <c r="E18" i="14"/>
  <c r="F18" i="14"/>
  <c r="D19" i="14"/>
  <c r="E19" i="14"/>
  <c r="F19" i="14"/>
  <c r="D20" i="14"/>
  <c r="E20" i="14"/>
  <c r="F20" i="14"/>
  <c r="D21" i="14"/>
  <c r="E21" i="14"/>
  <c r="F21" i="14"/>
  <c r="D22" i="14"/>
  <c r="E22" i="14"/>
  <c r="F22" i="14"/>
  <c r="D23" i="14"/>
  <c r="E23" i="14"/>
  <c r="F23" i="14"/>
  <c r="D24" i="14"/>
  <c r="E24" i="14"/>
  <c r="F24" i="14"/>
  <c r="D25" i="14"/>
  <c r="E25" i="14"/>
  <c r="F25" i="14"/>
  <c r="D26" i="14"/>
  <c r="E26" i="14"/>
  <c r="F26" i="14"/>
  <c r="G26" i="14"/>
  <c r="I26" i="14" s="1"/>
  <c r="D27" i="14"/>
  <c r="E27" i="14"/>
  <c r="F27" i="14"/>
  <c r="D28" i="14"/>
  <c r="E28" i="14"/>
  <c r="F28" i="14"/>
  <c r="D29" i="14"/>
  <c r="E29" i="14"/>
  <c r="F29" i="14"/>
  <c r="D30" i="14"/>
  <c r="E30" i="14"/>
  <c r="F30" i="14"/>
  <c r="D31" i="14"/>
  <c r="E31" i="14"/>
  <c r="F31" i="14"/>
  <c r="D32" i="14"/>
  <c r="E32" i="14"/>
  <c r="F32" i="14"/>
  <c r="D33" i="14"/>
  <c r="E33" i="14"/>
  <c r="F33" i="14"/>
  <c r="D34" i="14"/>
  <c r="E34" i="14"/>
  <c r="F34" i="14"/>
  <c r="D35" i="14"/>
  <c r="E35" i="14"/>
  <c r="F35" i="14"/>
  <c r="D36" i="14"/>
  <c r="E36" i="14"/>
  <c r="F36" i="14"/>
  <c r="D37" i="14"/>
  <c r="E37" i="14"/>
  <c r="F37" i="14"/>
  <c r="D38" i="14"/>
  <c r="E38" i="14"/>
  <c r="F38" i="14"/>
  <c r="D39" i="14"/>
  <c r="E39" i="14"/>
  <c r="F39" i="14"/>
  <c r="D40" i="14"/>
  <c r="E40" i="14"/>
  <c r="F40" i="14"/>
  <c r="D41" i="14"/>
  <c r="E41" i="14"/>
  <c r="F41" i="14"/>
  <c r="D42" i="14"/>
  <c r="E42" i="14"/>
  <c r="F42" i="14"/>
  <c r="D43" i="14"/>
  <c r="E43" i="14"/>
  <c r="F43" i="14"/>
  <c r="D44" i="14"/>
  <c r="E44" i="14"/>
  <c r="F44" i="14"/>
  <c r="D45" i="14"/>
  <c r="E45" i="14"/>
  <c r="F45" i="14"/>
  <c r="G45" i="14"/>
  <c r="I45" i="14" s="1"/>
  <c r="D46" i="14"/>
  <c r="E46" i="14"/>
  <c r="F46" i="14"/>
  <c r="G46" i="14"/>
  <c r="I46" i="14" s="1"/>
  <c r="D47" i="14"/>
  <c r="E47" i="14"/>
  <c r="F47" i="14"/>
  <c r="G47" i="14"/>
  <c r="I47" i="14" s="1"/>
  <c r="D48" i="14"/>
  <c r="E48" i="14"/>
  <c r="F48" i="14"/>
  <c r="G48" i="14"/>
  <c r="I48" i="14" s="1"/>
  <c r="D49" i="14"/>
  <c r="E49" i="14"/>
  <c r="F49" i="14"/>
  <c r="D50" i="14"/>
  <c r="E50" i="14"/>
  <c r="F50" i="14"/>
  <c r="D51" i="14"/>
  <c r="E51" i="14"/>
  <c r="F51" i="14"/>
  <c r="D52" i="14"/>
  <c r="E52" i="14"/>
  <c r="F52" i="14"/>
  <c r="D53" i="14"/>
  <c r="E53" i="14"/>
  <c r="F53" i="14"/>
  <c r="D54" i="14"/>
  <c r="E54" i="14"/>
  <c r="F54" i="14"/>
  <c r="D55" i="14"/>
  <c r="E55" i="14"/>
  <c r="F55" i="14"/>
  <c r="D56" i="14"/>
  <c r="E56" i="14"/>
  <c r="F56" i="14"/>
  <c r="D57" i="14"/>
  <c r="E57" i="14"/>
  <c r="F57" i="14"/>
  <c r="D58" i="14"/>
  <c r="E58" i="14"/>
  <c r="F58" i="14"/>
  <c r="D59" i="14"/>
  <c r="E59" i="14"/>
  <c r="F59" i="14"/>
  <c r="D60" i="14"/>
  <c r="E60" i="14"/>
  <c r="F60" i="14"/>
  <c r="D61" i="14"/>
  <c r="E61" i="14"/>
  <c r="F61" i="14"/>
  <c r="D62" i="14"/>
  <c r="E62" i="14"/>
  <c r="F62" i="14"/>
  <c r="D63" i="14"/>
  <c r="E63" i="14"/>
  <c r="F63" i="14"/>
  <c r="D64" i="14"/>
  <c r="E64" i="14"/>
  <c r="F64" i="14"/>
  <c r="D65" i="14"/>
  <c r="E65" i="14"/>
  <c r="F65" i="14"/>
  <c r="D66" i="14"/>
  <c r="E66" i="14"/>
  <c r="F66" i="14"/>
  <c r="D67" i="14"/>
  <c r="E67" i="14"/>
  <c r="F67" i="14"/>
  <c r="D68" i="14"/>
  <c r="E68" i="14"/>
  <c r="F68" i="14"/>
  <c r="D69" i="14"/>
  <c r="E69" i="14"/>
  <c r="F69" i="14"/>
  <c r="D70" i="14"/>
  <c r="E70" i="14"/>
  <c r="F70" i="14"/>
  <c r="G70" i="14"/>
  <c r="I70" i="14" s="1"/>
  <c r="D71" i="14"/>
  <c r="E71" i="14"/>
  <c r="F71" i="14"/>
  <c r="D72" i="14"/>
  <c r="E72" i="14"/>
  <c r="F72" i="14"/>
  <c r="D73" i="14"/>
  <c r="E73" i="14"/>
  <c r="F73" i="14"/>
  <c r="D74" i="14"/>
  <c r="E74" i="14"/>
  <c r="F74" i="14"/>
  <c r="D75" i="14"/>
  <c r="E75" i="14"/>
  <c r="F75" i="14"/>
  <c r="D76" i="14"/>
  <c r="E76" i="14"/>
  <c r="F76" i="14"/>
  <c r="D77" i="14"/>
  <c r="E77" i="14"/>
  <c r="F77" i="14"/>
  <c r="D78" i="14"/>
  <c r="E78" i="14"/>
  <c r="F78" i="14"/>
  <c r="D79" i="14"/>
  <c r="E79" i="14"/>
  <c r="F79" i="14"/>
  <c r="D80" i="14"/>
  <c r="E80" i="14"/>
  <c r="F80" i="14"/>
  <c r="D81" i="14"/>
  <c r="E81" i="14"/>
  <c r="F81" i="14"/>
  <c r="D82" i="14"/>
  <c r="E82" i="14"/>
  <c r="F82" i="14"/>
  <c r="D83" i="14"/>
  <c r="E83" i="14"/>
  <c r="F83" i="14"/>
  <c r="D84" i="14"/>
  <c r="E84" i="14"/>
  <c r="F84" i="14"/>
  <c r="D85" i="14"/>
  <c r="E85" i="14"/>
  <c r="F85" i="14"/>
  <c r="D86" i="14"/>
  <c r="E86" i="14"/>
  <c r="F86" i="14"/>
  <c r="D87" i="14"/>
  <c r="E87" i="14"/>
  <c r="F87" i="14"/>
  <c r="D88" i="14"/>
  <c r="E88" i="14"/>
  <c r="F88" i="14"/>
  <c r="D89" i="14"/>
  <c r="E89" i="14"/>
  <c r="F89" i="14"/>
  <c r="D90" i="14"/>
  <c r="E90" i="14"/>
  <c r="F90" i="14"/>
  <c r="D91" i="14"/>
  <c r="E91" i="14"/>
  <c r="F91" i="14"/>
  <c r="D92" i="14"/>
  <c r="E92" i="14"/>
  <c r="F92" i="14"/>
  <c r="G92" i="14"/>
  <c r="I92" i="14" s="1"/>
  <c r="D93" i="14"/>
  <c r="E93" i="14"/>
  <c r="F93" i="14"/>
  <c r="D94" i="14"/>
  <c r="E94" i="14"/>
  <c r="F94" i="14"/>
  <c r="D95" i="14"/>
  <c r="E95" i="14"/>
  <c r="F95" i="14"/>
  <c r="D96" i="14"/>
  <c r="E96" i="14"/>
  <c r="F96" i="14"/>
  <c r="D97" i="14"/>
  <c r="E97" i="14"/>
  <c r="F97" i="14"/>
  <c r="D98" i="14"/>
  <c r="E98" i="14"/>
  <c r="F98" i="14"/>
  <c r="D99" i="14"/>
  <c r="E99" i="14"/>
  <c r="F99" i="14"/>
  <c r="D100" i="14"/>
  <c r="E100" i="14"/>
  <c r="F100" i="14"/>
  <c r="D101" i="14"/>
  <c r="E101" i="14"/>
  <c r="F101" i="14"/>
  <c r="D102" i="14"/>
  <c r="E102" i="14"/>
  <c r="F102" i="14"/>
  <c r="D103" i="14"/>
  <c r="E103" i="14"/>
  <c r="F103" i="14"/>
  <c r="D104" i="14"/>
  <c r="E104" i="14"/>
  <c r="F104" i="14"/>
  <c r="D105" i="14"/>
  <c r="E105" i="14"/>
  <c r="F105" i="14"/>
  <c r="D106" i="14"/>
  <c r="E106" i="14"/>
  <c r="F106" i="14"/>
  <c r="D107" i="14"/>
  <c r="E107" i="14"/>
  <c r="F107" i="14"/>
  <c r="D108" i="14"/>
  <c r="E108" i="14"/>
  <c r="F108" i="14"/>
  <c r="D109" i="14"/>
  <c r="E109" i="14"/>
  <c r="F109" i="14"/>
  <c r="D110" i="14"/>
  <c r="E110" i="14"/>
  <c r="F110" i="14"/>
  <c r="D111" i="14"/>
  <c r="E111" i="14"/>
  <c r="F111" i="14"/>
  <c r="D112" i="14"/>
  <c r="E112" i="14"/>
  <c r="F112" i="14"/>
  <c r="D113" i="14"/>
  <c r="E113" i="14"/>
  <c r="F113" i="14"/>
  <c r="D114" i="14"/>
  <c r="E114" i="14"/>
  <c r="F114" i="14"/>
  <c r="G114" i="14"/>
  <c r="I114" i="14" s="1"/>
  <c r="D115" i="14"/>
  <c r="E115" i="14"/>
  <c r="F115" i="14"/>
  <c r="D116" i="14"/>
  <c r="E116" i="14"/>
  <c r="F116" i="14"/>
  <c r="D117" i="14"/>
  <c r="E117" i="14"/>
  <c r="F117" i="14"/>
  <c r="D118" i="14"/>
  <c r="E118" i="14"/>
  <c r="F118" i="14"/>
  <c r="D119" i="14"/>
  <c r="E119" i="14"/>
  <c r="F119" i="14"/>
  <c r="D120" i="14"/>
  <c r="E120" i="14"/>
  <c r="F120" i="14"/>
  <c r="D121" i="14"/>
  <c r="E121" i="14"/>
  <c r="F121" i="14"/>
  <c r="D122" i="14"/>
  <c r="E122" i="14"/>
  <c r="F122" i="14"/>
  <c r="D123" i="14"/>
  <c r="E123" i="14"/>
  <c r="F123" i="14"/>
  <c r="D124" i="14"/>
  <c r="E124" i="14"/>
  <c r="F124" i="14"/>
  <c r="D125" i="14"/>
  <c r="E125" i="14"/>
  <c r="F125" i="14"/>
  <c r="D126" i="14"/>
  <c r="E126" i="14"/>
  <c r="F126" i="14"/>
  <c r="D127" i="14"/>
  <c r="E127" i="14"/>
  <c r="F127" i="14"/>
  <c r="D128" i="14"/>
  <c r="E128" i="14"/>
  <c r="F128" i="14"/>
  <c r="D129" i="14"/>
  <c r="E129" i="14"/>
  <c r="F129" i="14"/>
  <c r="D130" i="14"/>
  <c r="E130" i="14"/>
  <c r="F130" i="14"/>
  <c r="D131" i="14"/>
  <c r="E131" i="14"/>
  <c r="F131" i="14"/>
  <c r="D132" i="14"/>
  <c r="E132" i="14"/>
  <c r="F132" i="14"/>
  <c r="D133" i="14"/>
  <c r="E133" i="14"/>
  <c r="F133" i="14"/>
  <c r="D134" i="14"/>
  <c r="E134" i="14"/>
  <c r="F134" i="14"/>
  <c r="D135" i="14"/>
  <c r="E135" i="14"/>
  <c r="F135" i="14"/>
  <c r="D136" i="14"/>
  <c r="E136" i="14"/>
  <c r="F136" i="14"/>
  <c r="G136" i="14"/>
  <c r="I136" i="14" s="1"/>
  <c r="D137" i="14"/>
  <c r="E137" i="14"/>
  <c r="F137" i="14"/>
  <c r="D138" i="14"/>
  <c r="E138" i="14"/>
  <c r="F138" i="14"/>
  <c r="D139" i="14"/>
  <c r="E139" i="14"/>
  <c r="F139" i="14"/>
  <c r="D140" i="14"/>
  <c r="E140" i="14"/>
  <c r="F140" i="14"/>
  <c r="D141" i="14"/>
  <c r="E141" i="14"/>
  <c r="F141" i="14"/>
  <c r="D142" i="14"/>
  <c r="E142" i="14"/>
  <c r="F142" i="14"/>
  <c r="D143" i="14"/>
  <c r="E143" i="14"/>
  <c r="F143" i="14"/>
  <c r="D144" i="14"/>
  <c r="E144" i="14"/>
  <c r="F144" i="14"/>
  <c r="D145" i="14"/>
  <c r="E145" i="14"/>
  <c r="F145" i="14"/>
  <c r="D146" i="14"/>
  <c r="E146" i="14"/>
  <c r="F146" i="14"/>
  <c r="D147" i="14"/>
  <c r="E147" i="14"/>
  <c r="F147" i="14"/>
  <c r="D148" i="14"/>
  <c r="E148" i="14"/>
  <c r="F148" i="14"/>
  <c r="D149" i="14"/>
  <c r="E149" i="14"/>
  <c r="F149" i="14"/>
  <c r="D150" i="14"/>
  <c r="E150" i="14"/>
  <c r="F150" i="14"/>
  <c r="D151" i="14"/>
  <c r="E151" i="14"/>
  <c r="F151" i="14"/>
  <c r="D152" i="14"/>
  <c r="E152" i="14"/>
  <c r="F152" i="14"/>
  <c r="D153" i="14"/>
  <c r="E153" i="14"/>
  <c r="F153" i="14"/>
  <c r="D154" i="14"/>
  <c r="E154" i="14"/>
  <c r="F154" i="14"/>
  <c r="D155" i="14"/>
  <c r="E155" i="14"/>
  <c r="F155" i="14"/>
  <c r="D156" i="14"/>
  <c r="E156" i="14"/>
  <c r="F156" i="14"/>
  <c r="D157" i="14"/>
  <c r="E157" i="14"/>
  <c r="F157" i="14"/>
  <c r="D158" i="14"/>
  <c r="E158" i="14"/>
  <c r="F158" i="14"/>
  <c r="G158" i="14"/>
  <c r="I158" i="14" s="1"/>
  <c r="D159" i="14"/>
  <c r="E159" i="14"/>
  <c r="F159" i="14"/>
  <c r="D160" i="14"/>
  <c r="E160" i="14"/>
  <c r="F160" i="14"/>
  <c r="D161" i="14"/>
  <c r="E161" i="14"/>
  <c r="F161" i="14"/>
  <c r="D162" i="14"/>
  <c r="E162" i="14"/>
  <c r="F162" i="14"/>
  <c r="D163" i="14"/>
  <c r="E163" i="14"/>
  <c r="F163" i="14"/>
  <c r="D164" i="14"/>
  <c r="E164" i="14"/>
  <c r="F164" i="14"/>
  <c r="D165" i="14"/>
  <c r="E165" i="14"/>
  <c r="F165" i="14"/>
  <c r="G165" i="14"/>
  <c r="I165" i="14" s="1"/>
  <c r="D166" i="14"/>
  <c r="E166" i="14"/>
  <c r="F166" i="14"/>
  <c r="G166" i="14"/>
  <c r="I166" i="14" s="1"/>
  <c r="D167" i="14"/>
  <c r="E167" i="14"/>
  <c r="F167" i="14"/>
  <c r="G167" i="14"/>
  <c r="I167" i="14" s="1"/>
  <c r="D168" i="14"/>
  <c r="E168" i="14"/>
  <c r="F168" i="14"/>
  <c r="D169" i="14"/>
  <c r="E169" i="14"/>
  <c r="F169" i="14"/>
  <c r="D170" i="14"/>
  <c r="E170" i="14"/>
  <c r="F170" i="14"/>
  <c r="D171" i="14"/>
  <c r="E171" i="14"/>
  <c r="F171" i="14"/>
  <c r="D172" i="14"/>
  <c r="E172" i="14"/>
  <c r="F172" i="14"/>
  <c r="D173" i="14"/>
  <c r="E173" i="14"/>
  <c r="F173" i="14"/>
  <c r="D174" i="14"/>
  <c r="E174" i="14"/>
  <c r="F174" i="14"/>
  <c r="D175" i="14"/>
  <c r="E175" i="14"/>
  <c r="F175" i="14"/>
  <c r="D176" i="14"/>
  <c r="E176" i="14"/>
  <c r="F176" i="14"/>
  <c r="D177" i="14"/>
  <c r="E177" i="14"/>
  <c r="F177" i="14"/>
  <c r="D178" i="14"/>
  <c r="E178" i="14"/>
  <c r="F178" i="14"/>
  <c r="D179" i="14"/>
  <c r="E179" i="14"/>
  <c r="F179" i="14"/>
  <c r="D4" i="14"/>
  <c r="E4" i="14"/>
  <c r="F4" i="14"/>
  <c r="G4" i="14"/>
  <c r="C4" i="14"/>
  <c r="B1" i="14"/>
  <c r="D27" i="13"/>
  <c r="E27" i="13"/>
  <c r="F27" i="13"/>
  <c r="D28" i="13"/>
  <c r="E28" i="13"/>
  <c r="F28" i="13"/>
  <c r="D29" i="13"/>
  <c r="E29" i="13"/>
  <c r="F29" i="13"/>
  <c r="D30" i="13"/>
  <c r="E30" i="13"/>
  <c r="F30" i="13"/>
  <c r="D31" i="13"/>
  <c r="E31" i="13"/>
  <c r="F31" i="13"/>
  <c r="D32" i="13"/>
  <c r="E32" i="13"/>
  <c r="F32" i="13"/>
  <c r="D33" i="13"/>
  <c r="E33" i="13"/>
  <c r="F33" i="13"/>
  <c r="D34" i="13"/>
  <c r="E34" i="13"/>
  <c r="F34" i="13"/>
  <c r="D35" i="13"/>
  <c r="E35" i="13"/>
  <c r="F35" i="13"/>
  <c r="D36" i="13"/>
  <c r="E36" i="13"/>
  <c r="F36" i="13"/>
  <c r="D37" i="13"/>
  <c r="E37" i="13"/>
  <c r="F37" i="13"/>
  <c r="D38" i="13"/>
  <c r="E38" i="13"/>
  <c r="F38" i="13"/>
  <c r="D39" i="13"/>
  <c r="E39" i="13"/>
  <c r="F39" i="13"/>
  <c r="D40" i="13"/>
  <c r="E40" i="13"/>
  <c r="F40" i="13"/>
  <c r="D41" i="13"/>
  <c r="E41" i="13"/>
  <c r="F41" i="13"/>
  <c r="D42" i="13"/>
  <c r="E42" i="13"/>
  <c r="F42" i="13"/>
  <c r="D43" i="13"/>
  <c r="E43" i="13"/>
  <c r="F43" i="13"/>
  <c r="D44" i="13"/>
  <c r="E44" i="13"/>
  <c r="F44" i="13"/>
  <c r="D45" i="13"/>
  <c r="E45" i="13"/>
  <c r="F45" i="13"/>
  <c r="G45" i="13"/>
  <c r="I45" i="13" s="1"/>
  <c r="D46" i="13"/>
  <c r="E46" i="13"/>
  <c r="F46" i="13"/>
  <c r="G46" i="13"/>
  <c r="I46" i="13" s="1"/>
  <c r="D47" i="13"/>
  <c r="E47" i="13"/>
  <c r="F47" i="13"/>
  <c r="G47" i="13"/>
  <c r="I47" i="13" s="1"/>
  <c r="D49" i="13"/>
  <c r="E49" i="13"/>
  <c r="F49" i="13"/>
  <c r="D50" i="13"/>
  <c r="E50" i="13"/>
  <c r="F50" i="13"/>
  <c r="D51" i="13"/>
  <c r="E51" i="13"/>
  <c r="F51" i="13"/>
  <c r="D52" i="13"/>
  <c r="E52" i="13"/>
  <c r="F52" i="13"/>
  <c r="D53" i="13"/>
  <c r="E53" i="13"/>
  <c r="F53" i="13"/>
  <c r="D54" i="13"/>
  <c r="E54" i="13"/>
  <c r="F54" i="13"/>
  <c r="D55" i="13"/>
  <c r="E55" i="13"/>
  <c r="F55" i="13"/>
  <c r="D56" i="13"/>
  <c r="E56" i="13"/>
  <c r="F56" i="13"/>
  <c r="D57" i="13"/>
  <c r="E57" i="13"/>
  <c r="F57" i="13"/>
  <c r="D58" i="13"/>
  <c r="E58" i="13"/>
  <c r="F58" i="13"/>
  <c r="D59" i="13"/>
  <c r="E59" i="13"/>
  <c r="F59" i="13"/>
  <c r="D60" i="13"/>
  <c r="E60" i="13"/>
  <c r="F60" i="13"/>
  <c r="D61" i="13"/>
  <c r="E61" i="13"/>
  <c r="F61" i="13"/>
  <c r="D62" i="13"/>
  <c r="E62" i="13"/>
  <c r="F62" i="13"/>
  <c r="D63" i="13"/>
  <c r="E63" i="13"/>
  <c r="F63" i="13"/>
  <c r="D64" i="13"/>
  <c r="E64" i="13"/>
  <c r="F64" i="13"/>
  <c r="D65" i="13"/>
  <c r="E65" i="13"/>
  <c r="F65" i="13"/>
  <c r="D66" i="13"/>
  <c r="E66" i="13"/>
  <c r="F66" i="13"/>
  <c r="D67" i="13"/>
  <c r="E67" i="13"/>
  <c r="F67" i="13"/>
  <c r="D68" i="13"/>
  <c r="E68" i="13"/>
  <c r="F68" i="13"/>
  <c r="D69" i="13"/>
  <c r="E69" i="13"/>
  <c r="F69" i="13"/>
  <c r="D71" i="13"/>
  <c r="E71" i="13"/>
  <c r="F71" i="13"/>
  <c r="D72" i="13"/>
  <c r="E72" i="13"/>
  <c r="F72" i="13"/>
  <c r="D73" i="13"/>
  <c r="E73" i="13"/>
  <c r="F73" i="13"/>
  <c r="D74" i="13"/>
  <c r="E74" i="13"/>
  <c r="F74" i="13"/>
  <c r="D75" i="13"/>
  <c r="E75" i="13"/>
  <c r="F75" i="13"/>
  <c r="D76" i="13"/>
  <c r="E76" i="13"/>
  <c r="F76" i="13"/>
  <c r="D77" i="13"/>
  <c r="E77" i="13"/>
  <c r="F77" i="13"/>
  <c r="D78" i="13"/>
  <c r="E78" i="13"/>
  <c r="F78" i="13"/>
  <c r="D79" i="13"/>
  <c r="E79" i="13"/>
  <c r="F79" i="13"/>
  <c r="D80" i="13"/>
  <c r="E80" i="13"/>
  <c r="F80" i="13"/>
  <c r="D81" i="13"/>
  <c r="E81" i="13"/>
  <c r="F81" i="13"/>
  <c r="D82" i="13"/>
  <c r="E82" i="13"/>
  <c r="F82" i="13"/>
  <c r="D83" i="13"/>
  <c r="E83" i="13"/>
  <c r="F83" i="13"/>
  <c r="D84" i="13"/>
  <c r="E84" i="13"/>
  <c r="F84" i="13"/>
  <c r="D85" i="13"/>
  <c r="E85" i="13"/>
  <c r="F85" i="13"/>
  <c r="D86" i="13"/>
  <c r="E86" i="13"/>
  <c r="F86" i="13"/>
  <c r="D87" i="13"/>
  <c r="E87" i="13"/>
  <c r="F87" i="13"/>
  <c r="D88" i="13"/>
  <c r="E88" i="13"/>
  <c r="F88" i="13"/>
  <c r="D89" i="13"/>
  <c r="E89" i="13"/>
  <c r="F89" i="13"/>
  <c r="D90" i="13"/>
  <c r="E90" i="13"/>
  <c r="F90" i="13"/>
  <c r="D91" i="13"/>
  <c r="E91" i="13"/>
  <c r="F91" i="13"/>
  <c r="D93" i="13"/>
  <c r="E93" i="13"/>
  <c r="F93" i="13"/>
  <c r="D94" i="13"/>
  <c r="E94" i="13"/>
  <c r="F94" i="13"/>
  <c r="D95" i="13"/>
  <c r="E95" i="13"/>
  <c r="F95" i="13"/>
  <c r="D96" i="13"/>
  <c r="E96" i="13"/>
  <c r="F96" i="13"/>
  <c r="D97" i="13"/>
  <c r="E97" i="13"/>
  <c r="F97" i="13"/>
  <c r="D98" i="13"/>
  <c r="E98" i="13"/>
  <c r="F98" i="13"/>
  <c r="D99" i="13"/>
  <c r="E99" i="13"/>
  <c r="F99" i="13"/>
  <c r="D100" i="13"/>
  <c r="E100" i="13"/>
  <c r="F100" i="13"/>
  <c r="D101" i="13"/>
  <c r="E101" i="13"/>
  <c r="F101" i="13"/>
  <c r="D102" i="13"/>
  <c r="E102" i="13"/>
  <c r="F102" i="13"/>
  <c r="D103" i="13"/>
  <c r="E103" i="13"/>
  <c r="F103" i="13"/>
  <c r="D104" i="13"/>
  <c r="E104" i="13"/>
  <c r="F104" i="13"/>
  <c r="D105" i="13"/>
  <c r="E105" i="13"/>
  <c r="F105" i="13"/>
  <c r="D106" i="13"/>
  <c r="E106" i="13"/>
  <c r="F106" i="13"/>
  <c r="D107" i="13"/>
  <c r="E107" i="13"/>
  <c r="F107" i="13"/>
  <c r="D108" i="13"/>
  <c r="E108" i="13"/>
  <c r="F108" i="13"/>
  <c r="D109" i="13"/>
  <c r="E109" i="13"/>
  <c r="F109" i="13"/>
  <c r="D110" i="13"/>
  <c r="E110" i="13"/>
  <c r="F110" i="13"/>
  <c r="D111" i="13"/>
  <c r="E111" i="13"/>
  <c r="F111" i="13"/>
  <c r="D112" i="13"/>
  <c r="E112" i="13"/>
  <c r="F112" i="13"/>
  <c r="D113" i="13"/>
  <c r="E113" i="13"/>
  <c r="F113" i="13"/>
  <c r="D115" i="13"/>
  <c r="E115" i="13"/>
  <c r="F115" i="13"/>
  <c r="D116" i="13"/>
  <c r="E116" i="13"/>
  <c r="F116" i="13"/>
  <c r="D117" i="13"/>
  <c r="E117" i="13"/>
  <c r="F117" i="13"/>
  <c r="D118" i="13"/>
  <c r="E118" i="13"/>
  <c r="F118" i="13"/>
  <c r="D119" i="13"/>
  <c r="E119" i="13"/>
  <c r="F119" i="13"/>
  <c r="D120" i="13"/>
  <c r="E120" i="13"/>
  <c r="F120" i="13"/>
  <c r="D121" i="13"/>
  <c r="E121" i="13"/>
  <c r="F121" i="13"/>
  <c r="D122" i="13"/>
  <c r="E122" i="13"/>
  <c r="F122" i="13"/>
  <c r="D123" i="13"/>
  <c r="E123" i="13"/>
  <c r="F123" i="13"/>
  <c r="D124" i="13"/>
  <c r="E124" i="13"/>
  <c r="F124" i="13"/>
  <c r="D125" i="13"/>
  <c r="E125" i="13"/>
  <c r="F125" i="13"/>
  <c r="D126" i="13"/>
  <c r="E126" i="13"/>
  <c r="F126" i="13"/>
  <c r="D127" i="13"/>
  <c r="E127" i="13"/>
  <c r="F127" i="13"/>
  <c r="D128" i="13"/>
  <c r="E128" i="13"/>
  <c r="F128" i="13"/>
  <c r="D129" i="13"/>
  <c r="E129" i="13"/>
  <c r="F129" i="13"/>
  <c r="D130" i="13"/>
  <c r="E130" i="13"/>
  <c r="F130" i="13"/>
  <c r="D131" i="13"/>
  <c r="E131" i="13"/>
  <c r="F131" i="13"/>
  <c r="D132" i="13"/>
  <c r="E132" i="13"/>
  <c r="F132" i="13"/>
  <c r="D133" i="13"/>
  <c r="E133" i="13"/>
  <c r="F133" i="13"/>
  <c r="D134" i="13"/>
  <c r="E134" i="13"/>
  <c r="F134" i="13"/>
  <c r="D135" i="13"/>
  <c r="E135" i="13"/>
  <c r="F135" i="13"/>
  <c r="D137" i="13"/>
  <c r="E137" i="13"/>
  <c r="F137" i="13"/>
  <c r="D138" i="13"/>
  <c r="E138" i="13"/>
  <c r="F138" i="13"/>
  <c r="D139" i="13"/>
  <c r="E139" i="13"/>
  <c r="F139" i="13"/>
  <c r="D140" i="13"/>
  <c r="E140" i="13"/>
  <c r="F140" i="13"/>
  <c r="D141" i="13"/>
  <c r="E141" i="13"/>
  <c r="F141" i="13"/>
  <c r="D142" i="13"/>
  <c r="E142" i="13"/>
  <c r="F142" i="13"/>
  <c r="D143" i="13"/>
  <c r="E143" i="13"/>
  <c r="F143" i="13"/>
  <c r="D144" i="13"/>
  <c r="E144" i="13"/>
  <c r="F144" i="13"/>
  <c r="D145" i="13"/>
  <c r="E145" i="13"/>
  <c r="F145" i="13"/>
  <c r="D146" i="13"/>
  <c r="E146" i="13"/>
  <c r="F146" i="13"/>
  <c r="D147" i="13"/>
  <c r="E147" i="13"/>
  <c r="F147" i="13"/>
  <c r="D148" i="13"/>
  <c r="E148" i="13"/>
  <c r="F148" i="13"/>
  <c r="D149" i="13"/>
  <c r="E149" i="13"/>
  <c r="F149" i="13"/>
  <c r="D150" i="13"/>
  <c r="E150" i="13"/>
  <c r="F150" i="13"/>
  <c r="D151" i="13"/>
  <c r="E151" i="13"/>
  <c r="F151" i="13"/>
  <c r="D152" i="13"/>
  <c r="E152" i="13"/>
  <c r="F152" i="13"/>
  <c r="D153" i="13"/>
  <c r="E153" i="13"/>
  <c r="F153" i="13"/>
  <c r="D154" i="13"/>
  <c r="E154" i="13"/>
  <c r="F154" i="13"/>
  <c r="D155" i="13"/>
  <c r="E155" i="13"/>
  <c r="F155" i="13"/>
  <c r="D156" i="13"/>
  <c r="E156" i="13"/>
  <c r="F156" i="13"/>
  <c r="D157" i="13"/>
  <c r="E157" i="13"/>
  <c r="F157" i="13"/>
  <c r="D159" i="13"/>
  <c r="E159" i="13"/>
  <c r="F159" i="13"/>
  <c r="D160" i="13"/>
  <c r="E160" i="13"/>
  <c r="F160" i="13"/>
  <c r="D161" i="13"/>
  <c r="E161" i="13"/>
  <c r="F161" i="13"/>
  <c r="D162" i="13"/>
  <c r="E162" i="13"/>
  <c r="F162" i="13"/>
  <c r="D163" i="13"/>
  <c r="E163" i="13"/>
  <c r="F163" i="13"/>
  <c r="D164" i="13"/>
  <c r="E164" i="13"/>
  <c r="F164" i="13"/>
  <c r="D165" i="13"/>
  <c r="E165" i="13"/>
  <c r="F165" i="13"/>
  <c r="G165" i="13"/>
  <c r="I165" i="13" s="1"/>
  <c r="D166" i="13"/>
  <c r="E166" i="13"/>
  <c r="F166" i="13"/>
  <c r="G166" i="13"/>
  <c r="I166" i="13" s="1"/>
  <c r="D167" i="13"/>
  <c r="E167" i="13"/>
  <c r="F167" i="13"/>
  <c r="G167" i="13"/>
  <c r="I167" i="13" s="1"/>
  <c r="D168" i="13"/>
  <c r="E168" i="13"/>
  <c r="F168" i="13"/>
  <c r="D169" i="13"/>
  <c r="E169" i="13"/>
  <c r="F169" i="13"/>
  <c r="D170" i="13"/>
  <c r="E170" i="13"/>
  <c r="F170" i="13"/>
  <c r="D171" i="13"/>
  <c r="E171" i="13"/>
  <c r="F171" i="13"/>
  <c r="D172" i="13"/>
  <c r="E172" i="13"/>
  <c r="F172" i="13"/>
  <c r="D173" i="13"/>
  <c r="E173" i="13"/>
  <c r="F173" i="13"/>
  <c r="D174" i="13"/>
  <c r="E174" i="13"/>
  <c r="F174" i="13"/>
  <c r="D175" i="13"/>
  <c r="E175" i="13"/>
  <c r="F175" i="13"/>
  <c r="D176" i="13"/>
  <c r="E176" i="13"/>
  <c r="F176" i="13"/>
  <c r="D177" i="13"/>
  <c r="E177" i="13"/>
  <c r="F177" i="13"/>
  <c r="D178" i="13"/>
  <c r="E178" i="13"/>
  <c r="F178" i="13"/>
  <c r="D179" i="13"/>
  <c r="E179" i="13"/>
  <c r="F179" i="13"/>
  <c r="D6" i="13"/>
  <c r="E6" i="13"/>
  <c r="F6" i="13"/>
  <c r="D7" i="13"/>
  <c r="E7" i="13"/>
  <c r="F7" i="13"/>
  <c r="D8" i="13"/>
  <c r="E8" i="13"/>
  <c r="F8" i="13"/>
  <c r="D9" i="13"/>
  <c r="E9" i="13"/>
  <c r="F9" i="13"/>
  <c r="D10" i="13"/>
  <c r="E10" i="13"/>
  <c r="F10" i="13"/>
  <c r="D11" i="13"/>
  <c r="E11" i="13"/>
  <c r="F11" i="13"/>
  <c r="D12" i="13"/>
  <c r="E12" i="13"/>
  <c r="F12" i="13"/>
  <c r="D13" i="13"/>
  <c r="E13" i="13"/>
  <c r="F13" i="13"/>
  <c r="D14" i="13"/>
  <c r="E14" i="13"/>
  <c r="F14" i="13"/>
  <c r="D15" i="13"/>
  <c r="E15" i="13"/>
  <c r="F15" i="13"/>
  <c r="D16" i="13"/>
  <c r="E16" i="13"/>
  <c r="F16" i="13"/>
  <c r="D17" i="13"/>
  <c r="E17" i="13"/>
  <c r="F17" i="13"/>
  <c r="D18" i="13"/>
  <c r="E18" i="13"/>
  <c r="F18" i="13"/>
  <c r="D19" i="13"/>
  <c r="E19" i="13"/>
  <c r="F19" i="13"/>
  <c r="D20" i="13"/>
  <c r="E20" i="13"/>
  <c r="F20" i="13"/>
  <c r="D21" i="13"/>
  <c r="E21" i="13"/>
  <c r="F21" i="13"/>
  <c r="D22" i="13"/>
  <c r="E22" i="13"/>
  <c r="F22" i="13"/>
  <c r="D23" i="13"/>
  <c r="E23" i="13"/>
  <c r="F23" i="13"/>
  <c r="D24" i="13"/>
  <c r="E24" i="13"/>
  <c r="F24" i="13"/>
  <c r="D25" i="13"/>
  <c r="E25" i="13"/>
  <c r="F25" i="13"/>
  <c r="F5" i="13"/>
  <c r="E5" i="13"/>
  <c r="D5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4" i="13"/>
  <c r="B1" i="13"/>
  <c r="E180" i="14" l="1"/>
  <c r="I4" i="14"/>
  <c r="F180" i="14"/>
  <c r="D180" i="14"/>
  <c r="D136" i="13"/>
  <c r="D92" i="13"/>
  <c r="D48" i="13"/>
  <c r="F136" i="13"/>
  <c r="F92" i="13"/>
  <c r="F48" i="13"/>
  <c r="F4" i="13"/>
  <c r="E158" i="13"/>
  <c r="E136" i="13"/>
  <c r="E114" i="13"/>
  <c r="E92" i="13"/>
  <c r="E70" i="13"/>
  <c r="E48" i="13"/>
  <c r="E26" i="13"/>
  <c r="F158" i="13"/>
  <c r="D158" i="13"/>
  <c r="F114" i="13"/>
  <c r="D114" i="13"/>
  <c r="F70" i="13"/>
  <c r="D70" i="13"/>
  <c r="F26" i="13"/>
  <c r="D26" i="13"/>
  <c r="D4" i="13"/>
  <c r="E4" i="13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D180" i="13" l="1"/>
  <c r="E180" i="13"/>
  <c r="F180" i="13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64" i="8"/>
  <c r="K66" i="8"/>
  <c r="K70" i="8"/>
  <c r="K72" i="8"/>
  <c r="K75" i="8"/>
  <c r="K76" i="8"/>
  <c r="K77" i="8"/>
  <c r="K78" i="8"/>
  <c r="K79" i="8"/>
  <c r="K80" i="8"/>
  <c r="K81" i="8"/>
  <c r="K82" i="8"/>
  <c r="K83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28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JD229" i="8"/>
  <c r="JD230" i="8"/>
  <c r="JD231" i="8"/>
  <c r="JD232" i="8"/>
  <c r="JD233" i="8"/>
  <c r="JD234" i="8"/>
  <c r="JD235" i="8"/>
  <c r="JD236" i="8"/>
  <c r="JD237" i="8"/>
  <c r="JD238" i="8"/>
  <c r="JD239" i="8"/>
  <c r="JD240" i="8"/>
  <c r="JD241" i="8"/>
  <c r="JD242" i="8"/>
  <c r="JD243" i="8"/>
  <c r="JD244" i="8"/>
  <c r="JD245" i="8"/>
  <c r="JD246" i="8"/>
  <c r="JD247" i="8"/>
  <c r="JD248" i="8"/>
  <c r="JD228" i="8"/>
  <c r="JD207" i="8"/>
  <c r="JD208" i="8"/>
  <c r="JD209" i="8"/>
  <c r="JD210" i="8"/>
  <c r="JD211" i="8"/>
  <c r="JD212" i="8"/>
  <c r="JD213" i="8"/>
  <c r="JD214" i="8"/>
  <c r="JD215" i="8"/>
  <c r="JD216" i="8"/>
  <c r="JD217" i="8"/>
  <c r="JD218" i="8"/>
  <c r="JD219" i="8"/>
  <c r="JD220" i="8"/>
  <c r="JD221" i="8"/>
  <c r="JD222" i="8"/>
  <c r="JD223" i="8"/>
  <c r="JD224" i="8"/>
  <c r="JD225" i="8"/>
  <c r="JD226" i="8"/>
  <c r="JD206" i="8"/>
  <c r="JD189" i="8"/>
  <c r="JD190" i="8"/>
  <c r="JD191" i="8"/>
  <c r="JD192" i="8"/>
  <c r="JD193" i="8"/>
  <c r="JD194" i="8"/>
  <c r="JD195" i="8"/>
  <c r="JD196" i="8"/>
  <c r="JD197" i="8"/>
  <c r="JD198" i="8"/>
  <c r="JD199" i="8"/>
  <c r="JD200" i="8"/>
  <c r="JD201" i="8"/>
  <c r="JD202" i="8"/>
  <c r="JD203" i="8"/>
  <c r="JD204" i="8"/>
  <c r="JD184" i="8"/>
  <c r="JD163" i="8"/>
  <c r="JD164" i="8"/>
  <c r="JD165" i="8"/>
  <c r="JD166" i="8"/>
  <c r="JD167" i="8"/>
  <c r="JD168" i="8"/>
  <c r="JD169" i="8"/>
  <c r="JD170" i="8"/>
  <c r="JD171" i="8"/>
  <c r="JD172" i="8"/>
  <c r="JD173" i="8"/>
  <c r="JD174" i="8"/>
  <c r="JD175" i="8"/>
  <c r="JD176" i="8"/>
  <c r="JD177" i="8"/>
  <c r="JD178" i="8"/>
  <c r="JD179" i="8"/>
  <c r="JD180" i="8"/>
  <c r="JD181" i="8"/>
  <c r="JD182" i="8"/>
  <c r="JD162" i="8"/>
  <c r="JD141" i="8"/>
  <c r="JD142" i="8"/>
  <c r="JD143" i="8"/>
  <c r="JD144" i="8"/>
  <c r="JD145" i="8"/>
  <c r="JD146" i="8"/>
  <c r="JD147" i="8"/>
  <c r="JD148" i="8"/>
  <c r="JD149" i="8"/>
  <c r="JD150" i="8"/>
  <c r="JD151" i="8"/>
  <c r="JD152" i="8"/>
  <c r="JD153" i="8"/>
  <c r="JD154" i="8"/>
  <c r="JD155" i="8"/>
  <c r="JD156" i="8"/>
  <c r="JD157" i="8"/>
  <c r="JD158" i="8"/>
  <c r="JD159" i="8"/>
  <c r="JD160" i="8"/>
  <c r="JD140" i="8"/>
  <c r="JD121" i="8"/>
  <c r="JD122" i="8"/>
  <c r="JD123" i="8"/>
  <c r="JD124" i="8"/>
  <c r="JD125" i="8"/>
  <c r="JD126" i="8"/>
  <c r="JD127" i="8"/>
  <c r="JD128" i="8"/>
  <c r="JD129" i="8"/>
  <c r="JD130" i="8"/>
  <c r="JD131" i="8"/>
  <c r="JD132" i="8"/>
  <c r="JD133" i="8"/>
  <c r="JD134" i="8"/>
  <c r="JD135" i="8"/>
  <c r="JD136" i="8"/>
  <c r="JD137" i="8"/>
  <c r="JD138" i="8"/>
  <c r="JD97" i="8"/>
  <c r="JD98" i="8"/>
  <c r="JD99" i="8"/>
  <c r="JD100" i="8"/>
  <c r="JD101" i="8"/>
  <c r="JD102" i="8"/>
  <c r="JD103" i="8"/>
  <c r="JD104" i="8"/>
  <c r="JD105" i="8"/>
  <c r="JD106" i="8"/>
  <c r="JD107" i="8"/>
  <c r="JD108" i="8"/>
  <c r="JD109" i="8"/>
  <c r="JD110" i="8"/>
  <c r="JD111" i="8"/>
  <c r="JD112" i="8"/>
  <c r="JD113" i="8"/>
  <c r="JD114" i="8"/>
  <c r="JD115" i="8"/>
  <c r="JD116" i="8"/>
  <c r="JD96" i="8"/>
  <c r="JD63" i="8"/>
  <c r="JD64" i="8"/>
  <c r="JD66" i="8"/>
  <c r="JD70" i="8"/>
  <c r="JD72" i="8"/>
  <c r="JD75" i="8"/>
  <c r="JD76" i="8"/>
  <c r="JD77" i="8"/>
  <c r="JD78" i="8"/>
  <c r="JD79" i="8"/>
  <c r="JD80" i="8"/>
  <c r="JD81" i="8"/>
  <c r="JD82" i="8"/>
  <c r="JD83" i="8"/>
  <c r="JD49" i="8"/>
  <c r="JD50" i="8"/>
  <c r="JD51" i="8"/>
  <c r="JD52" i="8"/>
  <c r="JD53" i="8"/>
  <c r="JD54" i="8"/>
  <c r="JD55" i="8"/>
  <c r="JD56" i="8"/>
  <c r="JD46" i="8"/>
  <c r="JD47" i="8"/>
  <c r="JD21" i="8"/>
  <c r="JD22" i="8"/>
  <c r="JD23" i="8"/>
  <c r="JD24" i="8"/>
  <c r="JD25" i="8"/>
  <c r="JD26" i="8"/>
  <c r="JD27" i="8"/>
  <c r="JD28" i="8"/>
  <c r="JD29" i="8"/>
  <c r="JD30" i="8"/>
  <c r="JD31" i="8"/>
  <c r="JD32" i="8"/>
  <c r="JD33" i="8"/>
  <c r="K227" i="8" l="1"/>
  <c r="G24" i="14"/>
  <c r="I24" i="14" s="1"/>
  <c r="G24" i="13"/>
  <c r="I24" i="13" s="1"/>
  <c r="G20" i="14"/>
  <c r="I20" i="14" s="1"/>
  <c r="G20" i="13"/>
  <c r="I20" i="13" s="1"/>
  <c r="G16" i="14"/>
  <c r="I16" i="14" s="1"/>
  <c r="G16" i="13"/>
  <c r="I16" i="13" s="1"/>
  <c r="G38" i="14"/>
  <c r="I38" i="14" s="1"/>
  <c r="G38" i="13"/>
  <c r="I38" i="13" s="1"/>
  <c r="G43" i="14"/>
  <c r="I43" i="14" s="1"/>
  <c r="G43" i="13"/>
  <c r="I43" i="13" s="1"/>
  <c r="G66" i="14"/>
  <c r="I66" i="14" s="1"/>
  <c r="G66" i="13"/>
  <c r="I66" i="13" s="1"/>
  <c r="G62" i="14"/>
  <c r="I62" i="14" s="1"/>
  <c r="G62" i="13"/>
  <c r="I62" i="13" s="1"/>
  <c r="G58" i="14"/>
  <c r="I58" i="14" s="1"/>
  <c r="G58" i="13"/>
  <c r="I58" i="13" s="1"/>
  <c r="G91" i="14"/>
  <c r="I91" i="14" s="1"/>
  <c r="G91" i="13"/>
  <c r="I91" i="13" s="1"/>
  <c r="G89" i="14"/>
  <c r="I89" i="14" s="1"/>
  <c r="G89" i="13"/>
  <c r="I89" i="13" s="1"/>
  <c r="G87" i="14"/>
  <c r="I87" i="14" s="1"/>
  <c r="G87" i="13"/>
  <c r="I87" i="13" s="1"/>
  <c r="G85" i="14"/>
  <c r="I85" i="14" s="1"/>
  <c r="G85" i="13"/>
  <c r="I85" i="13" s="1"/>
  <c r="G83" i="14"/>
  <c r="I83" i="14" s="1"/>
  <c r="G83" i="13"/>
  <c r="I83" i="13" s="1"/>
  <c r="G81" i="14"/>
  <c r="I81" i="14" s="1"/>
  <c r="G81" i="13"/>
  <c r="I81" i="13" s="1"/>
  <c r="G79" i="14"/>
  <c r="I79" i="14" s="1"/>
  <c r="G79" i="13"/>
  <c r="I79" i="13" s="1"/>
  <c r="G77" i="14"/>
  <c r="I77" i="14" s="1"/>
  <c r="G77" i="13"/>
  <c r="I77" i="13" s="1"/>
  <c r="G75" i="14"/>
  <c r="I75" i="14" s="1"/>
  <c r="G75" i="13"/>
  <c r="I75" i="13" s="1"/>
  <c r="G112" i="14"/>
  <c r="I112" i="14" s="1"/>
  <c r="G112" i="13"/>
  <c r="I112" i="13" s="1"/>
  <c r="G110" i="14"/>
  <c r="I110" i="14" s="1"/>
  <c r="G110" i="13"/>
  <c r="I110" i="13" s="1"/>
  <c r="G108" i="14"/>
  <c r="I108" i="14" s="1"/>
  <c r="G108" i="13"/>
  <c r="I108" i="13" s="1"/>
  <c r="G106" i="14"/>
  <c r="I106" i="14" s="1"/>
  <c r="G106" i="13"/>
  <c r="I106" i="13" s="1"/>
  <c r="G104" i="14"/>
  <c r="I104" i="14" s="1"/>
  <c r="G104" i="13"/>
  <c r="I104" i="13" s="1"/>
  <c r="G102" i="14"/>
  <c r="I102" i="14" s="1"/>
  <c r="G102" i="13"/>
  <c r="I102" i="13" s="1"/>
  <c r="G100" i="14"/>
  <c r="I100" i="14" s="1"/>
  <c r="G100" i="13"/>
  <c r="I100" i="13" s="1"/>
  <c r="G98" i="14"/>
  <c r="I98" i="14" s="1"/>
  <c r="G98" i="13"/>
  <c r="I98" i="13" s="1"/>
  <c r="G96" i="14"/>
  <c r="I96" i="14" s="1"/>
  <c r="G96" i="13"/>
  <c r="I96" i="13" s="1"/>
  <c r="G135" i="14"/>
  <c r="I135" i="14" s="1"/>
  <c r="G135" i="13"/>
  <c r="I135" i="13" s="1"/>
  <c r="G133" i="14"/>
  <c r="I133" i="14" s="1"/>
  <c r="G133" i="13"/>
  <c r="I133" i="13" s="1"/>
  <c r="G131" i="14"/>
  <c r="I131" i="14" s="1"/>
  <c r="G131" i="13"/>
  <c r="I131" i="13" s="1"/>
  <c r="G129" i="14"/>
  <c r="I129" i="14" s="1"/>
  <c r="G129" i="13"/>
  <c r="I129" i="13" s="1"/>
  <c r="G127" i="14"/>
  <c r="I127" i="14" s="1"/>
  <c r="G127" i="13"/>
  <c r="I127" i="13" s="1"/>
  <c r="G125" i="14"/>
  <c r="I125" i="14" s="1"/>
  <c r="G125" i="13"/>
  <c r="I125" i="13" s="1"/>
  <c r="G123" i="14"/>
  <c r="I123" i="14" s="1"/>
  <c r="G123" i="13"/>
  <c r="I123" i="13" s="1"/>
  <c r="G121" i="14"/>
  <c r="I121" i="14" s="1"/>
  <c r="G121" i="13"/>
  <c r="I121" i="13" s="1"/>
  <c r="G157" i="14"/>
  <c r="I157" i="14" s="1"/>
  <c r="G157" i="13"/>
  <c r="I157" i="13" s="1"/>
  <c r="G155" i="14"/>
  <c r="I155" i="14" s="1"/>
  <c r="G155" i="13"/>
  <c r="I155" i="13" s="1"/>
  <c r="G153" i="14"/>
  <c r="I153" i="14" s="1"/>
  <c r="G153" i="13"/>
  <c r="I153" i="13" s="1"/>
  <c r="G151" i="14"/>
  <c r="I151" i="14" s="1"/>
  <c r="G151" i="13"/>
  <c r="I151" i="13" s="1"/>
  <c r="G149" i="14"/>
  <c r="I149" i="14" s="1"/>
  <c r="G149" i="13"/>
  <c r="I149" i="13" s="1"/>
  <c r="G147" i="14"/>
  <c r="I147" i="14" s="1"/>
  <c r="G147" i="13"/>
  <c r="I147" i="13" s="1"/>
  <c r="G145" i="14"/>
  <c r="I145" i="14" s="1"/>
  <c r="G145" i="13"/>
  <c r="I145" i="13" s="1"/>
  <c r="G143" i="14"/>
  <c r="I143" i="14" s="1"/>
  <c r="G143" i="13"/>
  <c r="I143" i="13" s="1"/>
  <c r="G141" i="14"/>
  <c r="I141" i="14" s="1"/>
  <c r="G141" i="13"/>
  <c r="I141" i="13" s="1"/>
  <c r="G179" i="14"/>
  <c r="I179" i="14" s="1"/>
  <c r="G179" i="13"/>
  <c r="I179" i="13" s="1"/>
  <c r="G177" i="14"/>
  <c r="I177" i="14" s="1"/>
  <c r="G177" i="13"/>
  <c r="I177" i="13" s="1"/>
  <c r="G175" i="14"/>
  <c r="I175" i="14" s="1"/>
  <c r="G175" i="13"/>
  <c r="I175" i="13" s="1"/>
  <c r="G173" i="14"/>
  <c r="I173" i="14" s="1"/>
  <c r="G173" i="13"/>
  <c r="I173" i="13" s="1"/>
  <c r="G171" i="14"/>
  <c r="I171" i="14" s="1"/>
  <c r="G171" i="13"/>
  <c r="I171" i="13" s="1"/>
  <c r="G169" i="14"/>
  <c r="I169" i="14" s="1"/>
  <c r="G169" i="13"/>
  <c r="I169" i="13" s="1"/>
  <c r="G163" i="14"/>
  <c r="I163" i="14" s="1"/>
  <c r="G163" i="13"/>
  <c r="I163" i="13" s="1"/>
  <c r="G161" i="14"/>
  <c r="I161" i="14" s="1"/>
  <c r="G161" i="13"/>
  <c r="I161" i="13" s="1"/>
  <c r="G22" i="14"/>
  <c r="I22" i="14" s="1"/>
  <c r="G22" i="13"/>
  <c r="I22" i="13" s="1"/>
  <c r="G18" i="14"/>
  <c r="I18" i="14" s="1"/>
  <c r="G18" i="13"/>
  <c r="I18" i="13" s="1"/>
  <c r="G14" i="14"/>
  <c r="I14" i="14" s="1"/>
  <c r="G14" i="13"/>
  <c r="I14" i="13" s="1"/>
  <c r="G41" i="14"/>
  <c r="I41" i="14" s="1"/>
  <c r="G41" i="13"/>
  <c r="I41" i="13" s="1"/>
  <c r="G68" i="14"/>
  <c r="I68" i="14" s="1"/>
  <c r="G68" i="13"/>
  <c r="I68" i="13" s="1"/>
  <c r="G64" i="14"/>
  <c r="I64" i="14" s="1"/>
  <c r="G64" i="13"/>
  <c r="I64" i="13" s="1"/>
  <c r="G60" i="14"/>
  <c r="I60" i="14" s="1"/>
  <c r="G60" i="13"/>
  <c r="I60" i="13" s="1"/>
  <c r="G56" i="14"/>
  <c r="I56" i="14" s="1"/>
  <c r="G56" i="13"/>
  <c r="I56" i="13" s="1"/>
  <c r="G25" i="14"/>
  <c r="I25" i="14" s="1"/>
  <c r="G25" i="13"/>
  <c r="I25" i="13" s="1"/>
  <c r="G23" i="14"/>
  <c r="I23" i="14" s="1"/>
  <c r="G23" i="13"/>
  <c r="I23" i="13" s="1"/>
  <c r="G21" i="14"/>
  <c r="I21" i="14" s="1"/>
  <c r="G21" i="13"/>
  <c r="I21" i="13" s="1"/>
  <c r="G19" i="14"/>
  <c r="I19" i="14" s="1"/>
  <c r="G19" i="13"/>
  <c r="I19" i="13" s="1"/>
  <c r="G17" i="14"/>
  <c r="I17" i="14" s="1"/>
  <c r="G17" i="13"/>
  <c r="I17" i="13" s="1"/>
  <c r="G15" i="14"/>
  <c r="I15" i="14" s="1"/>
  <c r="G15" i="13"/>
  <c r="I15" i="13" s="1"/>
  <c r="G13" i="14"/>
  <c r="I13" i="14" s="1"/>
  <c r="G13" i="13"/>
  <c r="I13" i="13" s="1"/>
  <c r="G37" i="14"/>
  <c r="I37" i="14" s="1"/>
  <c r="G37" i="13"/>
  <c r="I37" i="13" s="1"/>
  <c r="G44" i="14"/>
  <c r="I44" i="14" s="1"/>
  <c r="G44" i="13"/>
  <c r="I44" i="13" s="1"/>
  <c r="G42" i="14"/>
  <c r="I42" i="14" s="1"/>
  <c r="G42" i="13"/>
  <c r="I42" i="13" s="1"/>
  <c r="G40" i="14"/>
  <c r="I40" i="14" s="1"/>
  <c r="G40" i="13"/>
  <c r="I40" i="13" s="1"/>
  <c r="G69" i="14"/>
  <c r="I69" i="14" s="1"/>
  <c r="G69" i="13"/>
  <c r="I69" i="13" s="1"/>
  <c r="G67" i="14"/>
  <c r="I67" i="14" s="1"/>
  <c r="G67" i="13"/>
  <c r="I67" i="13" s="1"/>
  <c r="G65" i="14"/>
  <c r="I65" i="14" s="1"/>
  <c r="G65" i="13"/>
  <c r="I65" i="13" s="1"/>
  <c r="G63" i="14"/>
  <c r="I63" i="14" s="1"/>
  <c r="G63" i="13"/>
  <c r="I63" i="13" s="1"/>
  <c r="G61" i="14"/>
  <c r="I61" i="14" s="1"/>
  <c r="G61" i="13"/>
  <c r="I61" i="13" s="1"/>
  <c r="G59" i="14"/>
  <c r="I59" i="14" s="1"/>
  <c r="G59" i="13"/>
  <c r="I59" i="13" s="1"/>
  <c r="G57" i="14"/>
  <c r="I57" i="14" s="1"/>
  <c r="G57" i="13"/>
  <c r="I57" i="13" s="1"/>
  <c r="G55" i="14"/>
  <c r="I55" i="14" s="1"/>
  <c r="G55" i="13"/>
  <c r="I55" i="13" s="1"/>
  <c r="G90" i="14"/>
  <c r="I90" i="14" s="1"/>
  <c r="G90" i="13"/>
  <c r="I90" i="13" s="1"/>
  <c r="G88" i="14"/>
  <c r="I88" i="14" s="1"/>
  <c r="G88" i="13"/>
  <c r="I88" i="13" s="1"/>
  <c r="G86" i="14"/>
  <c r="I86" i="14" s="1"/>
  <c r="G86" i="13"/>
  <c r="I86" i="13" s="1"/>
  <c r="G84" i="14"/>
  <c r="I84" i="14" s="1"/>
  <c r="G84" i="13"/>
  <c r="I84" i="13" s="1"/>
  <c r="G82" i="14"/>
  <c r="I82" i="14" s="1"/>
  <c r="G82" i="13"/>
  <c r="I82" i="13" s="1"/>
  <c r="G80" i="14"/>
  <c r="I80" i="14" s="1"/>
  <c r="G80" i="13"/>
  <c r="I80" i="13" s="1"/>
  <c r="G78" i="14"/>
  <c r="I78" i="14" s="1"/>
  <c r="G78" i="13"/>
  <c r="I78" i="13" s="1"/>
  <c r="G76" i="14"/>
  <c r="I76" i="14" s="1"/>
  <c r="G76" i="13"/>
  <c r="I76" i="13" s="1"/>
  <c r="G113" i="14"/>
  <c r="I113" i="14" s="1"/>
  <c r="G113" i="13"/>
  <c r="I113" i="13" s="1"/>
  <c r="G111" i="14"/>
  <c r="I111" i="14" s="1"/>
  <c r="G111" i="13"/>
  <c r="I111" i="13" s="1"/>
  <c r="G109" i="14"/>
  <c r="I109" i="14" s="1"/>
  <c r="G109" i="13"/>
  <c r="I109" i="13" s="1"/>
  <c r="G107" i="14"/>
  <c r="I107" i="14" s="1"/>
  <c r="G107" i="13"/>
  <c r="I107" i="13" s="1"/>
  <c r="G105" i="14"/>
  <c r="I105" i="14" s="1"/>
  <c r="G105" i="13"/>
  <c r="I105" i="13" s="1"/>
  <c r="G103" i="14"/>
  <c r="I103" i="14" s="1"/>
  <c r="G103" i="13"/>
  <c r="I103" i="13" s="1"/>
  <c r="G101" i="14"/>
  <c r="I101" i="14" s="1"/>
  <c r="G101" i="13"/>
  <c r="I101" i="13" s="1"/>
  <c r="G99" i="14"/>
  <c r="I99" i="14" s="1"/>
  <c r="G99" i="13"/>
  <c r="I99" i="13" s="1"/>
  <c r="G97" i="14"/>
  <c r="I97" i="14" s="1"/>
  <c r="G97" i="13"/>
  <c r="I97" i="13" s="1"/>
  <c r="G134" i="14"/>
  <c r="I134" i="14" s="1"/>
  <c r="G134" i="13"/>
  <c r="I134" i="13" s="1"/>
  <c r="G132" i="14"/>
  <c r="I132" i="14" s="1"/>
  <c r="G132" i="13"/>
  <c r="I132" i="13" s="1"/>
  <c r="G130" i="14"/>
  <c r="I130" i="14" s="1"/>
  <c r="G130" i="13"/>
  <c r="I130" i="13" s="1"/>
  <c r="G128" i="14"/>
  <c r="I128" i="14" s="1"/>
  <c r="G128" i="13"/>
  <c r="I128" i="13" s="1"/>
  <c r="G126" i="14"/>
  <c r="I126" i="14" s="1"/>
  <c r="G126" i="13"/>
  <c r="I126" i="13" s="1"/>
  <c r="G124" i="14"/>
  <c r="I124" i="14" s="1"/>
  <c r="G124" i="13"/>
  <c r="I124" i="13" s="1"/>
  <c r="G122" i="14"/>
  <c r="I122" i="14" s="1"/>
  <c r="G122" i="13"/>
  <c r="I122" i="13" s="1"/>
  <c r="G120" i="14"/>
  <c r="I120" i="14" s="1"/>
  <c r="G120" i="13"/>
  <c r="I120" i="13" s="1"/>
  <c r="G156" i="14"/>
  <c r="I156" i="14" s="1"/>
  <c r="G156" i="13"/>
  <c r="I156" i="13" s="1"/>
  <c r="G154" i="14"/>
  <c r="I154" i="14" s="1"/>
  <c r="G154" i="13"/>
  <c r="I154" i="13" s="1"/>
  <c r="G152" i="14"/>
  <c r="I152" i="14" s="1"/>
  <c r="G152" i="13"/>
  <c r="I152" i="13" s="1"/>
  <c r="G150" i="14"/>
  <c r="I150" i="14" s="1"/>
  <c r="G150" i="13"/>
  <c r="I150" i="13" s="1"/>
  <c r="G148" i="14"/>
  <c r="I148" i="14" s="1"/>
  <c r="G148" i="13"/>
  <c r="I148" i="13" s="1"/>
  <c r="G146" i="14"/>
  <c r="I146" i="14" s="1"/>
  <c r="G146" i="13"/>
  <c r="I146" i="13" s="1"/>
  <c r="G144" i="14"/>
  <c r="I144" i="14" s="1"/>
  <c r="G144" i="13"/>
  <c r="I144" i="13" s="1"/>
  <c r="G142" i="14"/>
  <c r="I142" i="14" s="1"/>
  <c r="G142" i="13"/>
  <c r="I142" i="13" s="1"/>
  <c r="G140" i="14"/>
  <c r="I140" i="14" s="1"/>
  <c r="G140" i="13"/>
  <c r="I140" i="13" s="1"/>
  <c r="G178" i="14"/>
  <c r="I178" i="14" s="1"/>
  <c r="G178" i="13"/>
  <c r="I178" i="13" s="1"/>
  <c r="G176" i="14"/>
  <c r="I176" i="14" s="1"/>
  <c r="G176" i="13"/>
  <c r="I176" i="13" s="1"/>
  <c r="G174" i="14"/>
  <c r="I174" i="14" s="1"/>
  <c r="G174" i="13"/>
  <c r="I174" i="13" s="1"/>
  <c r="G172" i="14"/>
  <c r="I172" i="14" s="1"/>
  <c r="G172" i="13"/>
  <c r="I172" i="13" s="1"/>
  <c r="G170" i="14"/>
  <c r="I170" i="14" s="1"/>
  <c r="G170" i="13"/>
  <c r="I170" i="13" s="1"/>
  <c r="G168" i="14"/>
  <c r="I168" i="14" s="1"/>
  <c r="G168" i="13"/>
  <c r="I168" i="13" s="1"/>
  <c r="G164" i="14"/>
  <c r="I164" i="14" s="1"/>
  <c r="G164" i="13"/>
  <c r="I164" i="13" s="1"/>
  <c r="G160" i="14"/>
  <c r="I160" i="14" s="1"/>
  <c r="G160" i="13"/>
  <c r="I160" i="13" s="1"/>
  <c r="G138" i="14"/>
  <c r="I138" i="14" s="1"/>
  <c r="G138" i="13"/>
  <c r="I138" i="13" s="1"/>
  <c r="G71" i="13"/>
  <c r="G71" i="14"/>
  <c r="I71" i="14" s="1"/>
  <c r="G74" i="14"/>
  <c r="I74" i="14" s="1"/>
  <c r="G74" i="13"/>
  <c r="I74" i="13" s="1"/>
  <c r="G72" i="14"/>
  <c r="I72" i="14" s="1"/>
  <c r="G72" i="13"/>
  <c r="I72" i="13" s="1"/>
  <c r="G115" i="13"/>
  <c r="G115" i="14"/>
  <c r="I115" i="14" s="1"/>
  <c r="G118" i="14"/>
  <c r="I118" i="14" s="1"/>
  <c r="G118" i="13"/>
  <c r="I118" i="13" s="1"/>
  <c r="G116" i="14"/>
  <c r="I116" i="14" s="1"/>
  <c r="G116" i="13"/>
  <c r="I116" i="13" s="1"/>
  <c r="G162" i="14"/>
  <c r="I162" i="14" s="1"/>
  <c r="G162" i="13"/>
  <c r="I162" i="13" s="1"/>
  <c r="G54" i="14"/>
  <c r="I54" i="14" s="1"/>
  <c r="G54" i="13"/>
  <c r="I54" i="13" s="1"/>
  <c r="G73" i="13"/>
  <c r="I73" i="13" s="1"/>
  <c r="G73" i="14"/>
  <c r="I73" i="14" s="1"/>
  <c r="G119" i="13"/>
  <c r="I119" i="13" s="1"/>
  <c r="G119" i="14"/>
  <c r="I119" i="14" s="1"/>
  <c r="G117" i="13"/>
  <c r="I117" i="13" s="1"/>
  <c r="G117" i="14"/>
  <c r="I117" i="14" s="1"/>
  <c r="G137" i="13"/>
  <c r="G137" i="14"/>
  <c r="I137" i="14" s="1"/>
  <c r="G139" i="13"/>
  <c r="I139" i="13" s="1"/>
  <c r="G139" i="14"/>
  <c r="I139" i="14" s="1"/>
  <c r="G159" i="13"/>
  <c r="G159" i="14"/>
  <c r="I159" i="14" s="1"/>
  <c r="K206" i="8"/>
  <c r="K205" i="8" s="1"/>
  <c r="K187" i="8"/>
  <c r="K186" i="8"/>
  <c r="K185" i="8"/>
  <c r="K184" i="8"/>
  <c r="K164" i="8"/>
  <c r="K163" i="8"/>
  <c r="K162" i="8"/>
  <c r="K144" i="8"/>
  <c r="K143" i="8"/>
  <c r="K142" i="8"/>
  <c r="K141" i="8"/>
  <c r="K140" i="8"/>
  <c r="K20" i="8"/>
  <c r="K19" i="8"/>
  <c r="K18" i="8"/>
  <c r="K17" i="8"/>
  <c r="K13" i="8"/>
  <c r="K12" i="8"/>
  <c r="K11" i="8"/>
  <c r="K42" i="8"/>
  <c r="K41" i="8"/>
  <c r="K40" i="8"/>
  <c r="K39" i="8"/>
  <c r="K38" i="8"/>
  <c r="K63" i="8"/>
  <c r="K62" i="8"/>
  <c r="K61" i="8"/>
  <c r="K60" i="8"/>
  <c r="K59" i="8"/>
  <c r="K58" i="8"/>
  <c r="K99" i="8"/>
  <c r="K98" i="8"/>
  <c r="K97" i="8"/>
  <c r="K96" i="8"/>
  <c r="K161" i="8" l="1"/>
  <c r="K183" i="8"/>
  <c r="I159" i="13"/>
  <c r="G158" i="13"/>
  <c r="I158" i="13" s="1"/>
  <c r="I137" i="13"/>
  <c r="G136" i="13"/>
  <c r="I136" i="13" s="1"/>
  <c r="I115" i="13"/>
  <c r="G114" i="13"/>
  <c r="I114" i="13" s="1"/>
  <c r="I71" i="13"/>
  <c r="G70" i="13"/>
  <c r="I70" i="13" s="1"/>
  <c r="JD13" i="8"/>
  <c r="JD17" i="8"/>
  <c r="JD18" i="8"/>
  <c r="JD19" i="8"/>
  <c r="G10" i="14" l="1"/>
  <c r="I10" i="14" s="1"/>
  <c r="G10" i="13"/>
  <c r="I10" i="13" s="1"/>
  <c r="G8" i="14"/>
  <c r="I8" i="14" s="1"/>
  <c r="G8" i="13"/>
  <c r="I8" i="13" s="1"/>
  <c r="G11" i="13"/>
  <c r="I11" i="13" s="1"/>
  <c r="G11" i="14"/>
  <c r="I11" i="14" s="1"/>
  <c r="G9" i="13"/>
  <c r="I9" i="13" s="1"/>
  <c r="G9" i="14"/>
  <c r="I9" i="14" s="1"/>
  <c r="JD120" i="8"/>
  <c r="JD119" i="8"/>
  <c r="JD118" i="8"/>
  <c r="JD62" i="8"/>
  <c r="JD61" i="8"/>
  <c r="JD60" i="8"/>
  <c r="JD59" i="8"/>
  <c r="JD58" i="8"/>
  <c r="JD48" i="8"/>
  <c r="JD45" i="8"/>
  <c r="JD44" i="8"/>
  <c r="JD43" i="8"/>
  <c r="JD42" i="8"/>
  <c r="JD41" i="8"/>
  <c r="JD40" i="8"/>
  <c r="JD39" i="8"/>
  <c r="JD38" i="8"/>
  <c r="JD37" i="8"/>
  <c r="JD36" i="8"/>
  <c r="JD20" i="8"/>
  <c r="JD12" i="8"/>
  <c r="JD11" i="8"/>
  <c r="JD10" i="8"/>
  <c r="G34" i="14" l="1"/>
  <c r="I34" i="14" s="1"/>
  <c r="G34" i="13"/>
  <c r="I34" i="13" s="1"/>
  <c r="G36" i="14"/>
  <c r="I36" i="14" s="1"/>
  <c r="G36" i="13"/>
  <c r="I36" i="13" s="1"/>
  <c r="G33" i="14"/>
  <c r="I33" i="14" s="1"/>
  <c r="G33" i="13"/>
  <c r="I33" i="13" s="1"/>
  <c r="G35" i="14"/>
  <c r="I35" i="14" s="1"/>
  <c r="G35" i="13"/>
  <c r="I35" i="13" s="1"/>
  <c r="G39" i="14"/>
  <c r="I39" i="14" s="1"/>
  <c r="G39" i="13"/>
  <c r="I39" i="13" s="1"/>
  <c r="G6" i="14"/>
  <c r="I6" i="14" s="1"/>
  <c r="G6" i="13"/>
  <c r="I6" i="13" s="1"/>
  <c r="G12" i="14"/>
  <c r="I12" i="14" s="1"/>
  <c r="G12" i="13"/>
  <c r="I12" i="13" s="1"/>
  <c r="G28" i="14"/>
  <c r="I28" i="14" s="1"/>
  <c r="G28" i="13"/>
  <c r="I28" i="13" s="1"/>
  <c r="G30" i="14"/>
  <c r="I30" i="14" s="1"/>
  <c r="G30" i="13"/>
  <c r="I30" i="13" s="1"/>
  <c r="G32" i="14"/>
  <c r="I32" i="14" s="1"/>
  <c r="G32" i="13"/>
  <c r="I32" i="13" s="1"/>
  <c r="G49" i="13"/>
  <c r="G49" i="14"/>
  <c r="I49" i="14" s="1"/>
  <c r="G51" i="13"/>
  <c r="I51" i="13" s="1"/>
  <c r="G51" i="14"/>
  <c r="I51" i="14" s="1"/>
  <c r="G53" i="13"/>
  <c r="I53" i="13" s="1"/>
  <c r="G53" i="14"/>
  <c r="I53" i="14" s="1"/>
  <c r="G94" i="14"/>
  <c r="I94" i="14" s="1"/>
  <c r="G94" i="13"/>
  <c r="I94" i="13" s="1"/>
  <c r="G5" i="14"/>
  <c r="G5" i="13"/>
  <c r="G7" i="13"/>
  <c r="I7" i="13" s="1"/>
  <c r="G7" i="14"/>
  <c r="I7" i="14" s="1"/>
  <c r="G27" i="13"/>
  <c r="G27" i="14"/>
  <c r="I27" i="14" s="1"/>
  <c r="G29" i="13"/>
  <c r="I29" i="13" s="1"/>
  <c r="G29" i="14"/>
  <c r="I29" i="14" s="1"/>
  <c r="G31" i="13"/>
  <c r="I31" i="13" s="1"/>
  <c r="G31" i="14"/>
  <c r="I31" i="14" s="1"/>
  <c r="G50" i="14"/>
  <c r="I50" i="14" s="1"/>
  <c r="G50" i="13"/>
  <c r="I50" i="13" s="1"/>
  <c r="G52" i="14"/>
  <c r="I52" i="14" s="1"/>
  <c r="G52" i="13"/>
  <c r="I52" i="13" s="1"/>
  <c r="G93" i="13"/>
  <c r="G93" i="14"/>
  <c r="I93" i="14" s="1"/>
  <c r="G95" i="13"/>
  <c r="I95" i="13" s="1"/>
  <c r="G95" i="14"/>
  <c r="I95" i="14" s="1"/>
  <c r="G4" i="10"/>
  <c r="G5" i="10"/>
  <c r="G3" i="10"/>
  <c r="C13" i="10"/>
  <c r="K121" i="8"/>
  <c r="E28" i="9" l="1"/>
  <c r="I5" i="13"/>
  <c r="G4" i="13"/>
  <c r="I93" i="13"/>
  <c r="G92" i="13"/>
  <c r="I92" i="13" s="1"/>
  <c r="I27" i="13"/>
  <c r="G26" i="13"/>
  <c r="I5" i="14"/>
  <c r="I180" i="14" s="1"/>
  <c r="G180" i="14"/>
  <c r="I49" i="13"/>
  <c r="G48" i="13"/>
  <c r="K120" i="8"/>
  <c r="C9" i="10"/>
  <c r="H48" i="13" l="1"/>
  <c r="I48" i="13" s="1"/>
  <c r="H26" i="13"/>
  <c r="I26" i="13" s="1"/>
  <c r="G180" i="13"/>
  <c r="I4" i="13"/>
  <c r="E9" i="10"/>
  <c r="D9" i="10"/>
  <c r="B10" i="10"/>
  <c r="B11" i="10"/>
  <c r="B9" i="10"/>
  <c r="I180" i="13" l="1"/>
  <c r="G9" i="10"/>
  <c r="F9" i="10"/>
  <c r="IZ147" i="8"/>
  <c r="D9" i="8" l="1"/>
  <c r="E9" i="8"/>
  <c r="J9" i="8"/>
  <c r="IZ144" i="8" l="1"/>
  <c r="IZ145" i="8"/>
  <c r="IZ146" i="8"/>
  <c r="IZ100" i="8"/>
  <c r="IZ101" i="8"/>
  <c r="IZ102" i="8"/>
  <c r="IZ103" i="8"/>
  <c r="IZ104" i="8"/>
  <c r="IZ105" i="8"/>
  <c r="IZ106" i="8"/>
  <c r="IZ107" i="8"/>
  <c r="IZ42" i="8"/>
  <c r="IZ43" i="8"/>
  <c r="IZ44" i="8"/>
  <c r="IZ39" i="8"/>
  <c r="IZ40" i="8"/>
  <c r="IZ41" i="8"/>
  <c r="IZ121" i="8" l="1"/>
  <c r="IZ120" i="8"/>
  <c r="IZ63" i="8"/>
  <c r="IZ62" i="8"/>
  <c r="IZ61" i="8"/>
  <c r="IZ60" i="8"/>
  <c r="IZ59" i="8"/>
  <c r="IZ58" i="8"/>
  <c r="IZ38" i="8"/>
  <c r="IZ37" i="8"/>
  <c r="IZ36" i="8"/>
  <c r="IZ21" i="8"/>
  <c r="IZ20" i="8"/>
  <c r="IZ19" i="8"/>
  <c r="IZ18" i="8"/>
  <c r="IZ17" i="8"/>
  <c r="IZ13" i="8"/>
  <c r="IZ12" i="8"/>
  <c r="IZ11" i="8"/>
  <c r="IZ10" i="8"/>
  <c r="K57" i="8" l="1"/>
  <c r="K35" i="8"/>
  <c r="K9" i="8"/>
  <c r="K119" i="8" l="1"/>
  <c r="IZ119" i="8" s="1"/>
  <c r="K118" i="8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IZ118" i="8" l="1"/>
  <c r="K117" i="8"/>
  <c r="C10" i="10"/>
  <c r="D10" i="8"/>
  <c r="J10" i="8"/>
  <c r="E10" i="8"/>
  <c r="F10" i="8"/>
  <c r="E10" i="10" l="1"/>
  <c r="D10" i="10"/>
  <c r="IZ96" i="8"/>
  <c r="IZ140" i="8"/>
  <c r="IZ97" i="8"/>
  <c r="IZ141" i="8"/>
  <c r="G10" i="8"/>
  <c r="L10" i="8"/>
  <c r="D36" i="8"/>
  <c r="D11" i="8"/>
  <c r="O10" i="8" l="1"/>
  <c r="G10" i="10"/>
  <c r="F10" i="10"/>
  <c r="IZ98" i="8"/>
  <c r="IZ143" i="8"/>
  <c r="IZ142" i="8"/>
  <c r="E36" i="8"/>
  <c r="P10" i="8"/>
  <c r="E11" i="8"/>
  <c r="J36" i="8"/>
  <c r="J11" i="8"/>
  <c r="F11" i="8"/>
  <c r="F36" i="8"/>
  <c r="Q10" i="8" l="1"/>
  <c r="K139" i="8"/>
  <c r="IZ99" i="8"/>
  <c r="C11" i="10"/>
  <c r="L11" i="8"/>
  <c r="D12" i="8"/>
  <c r="G36" i="8"/>
  <c r="G11" i="8"/>
  <c r="L36" i="8"/>
  <c r="D37" i="8"/>
  <c r="O11" i="8" l="1"/>
  <c r="E11" i="10"/>
  <c r="D11" i="10"/>
  <c r="D12" i="10" s="1"/>
  <c r="K95" i="8"/>
  <c r="K8" i="8" s="1"/>
  <c r="C12" i="10"/>
  <c r="G14" i="10" s="1"/>
  <c r="P11" i="8"/>
  <c r="J12" i="8"/>
  <c r="F37" i="8"/>
  <c r="E37" i="8"/>
  <c r="F12" i="8"/>
  <c r="E12" i="8"/>
  <c r="Q11" i="8" l="1"/>
  <c r="G11" i="10"/>
  <c r="G12" i="10" s="1"/>
  <c r="F11" i="10"/>
  <c r="F12" i="10" s="1"/>
  <c r="E12" i="10"/>
  <c r="L12" i="8"/>
  <c r="L37" i="8"/>
  <c r="G37" i="8"/>
  <c r="D38" i="8"/>
  <c r="D13" i="8"/>
  <c r="D58" i="8"/>
  <c r="G12" i="8"/>
  <c r="D96" i="8"/>
  <c r="O12" i="8" l="1"/>
  <c r="J13" i="8"/>
  <c r="F13" i="8"/>
  <c r="J58" i="8"/>
  <c r="E13" i="8"/>
  <c r="J38" i="8"/>
  <c r="P12" i="8"/>
  <c r="D118" i="8"/>
  <c r="J96" i="8"/>
  <c r="F58" i="8"/>
  <c r="E58" i="8"/>
  <c r="F96" i="8"/>
  <c r="F38" i="8"/>
  <c r="E96" i="8"/>
  <c r="D18" i="8"/>
  <c r="E38" i="8"/>
  <c r="O36" i="8" l="1"/>
  <c r="Q12" i="8"/>
  <c r="D14" i="8"/>
  <c r="F18" i="8"/>
  <c r="E118" i="8"/>
  <c r="G58" i="8"/>
  <c r="E18" i="8"/>
  <c r="L13" i="8"/>
  <c r="G38" i="8"/>
  <c r="G96" i="8"/>
  <c r="L38" i="8"/>
  <c r="J18" i="8"/>
  <c r="L96" i="8"/>
  <c r="G13" i="8"/>
  <c r="D17" i="8"/>
  <c r="L58" i="8"/>
  <c r="J118" i="8"/>
  <c r="F118" i="8"/>
  <c r="P36" i="8"/>
  <c r="D59" i="8"/>
  <c r="D39" i="8"/>
  <c r="O13" i="8" l="1"/>
  <c r="O96" i="8"/>
  <c r="Q96" i="8" s="1"/>
  <c r="Q13" i="8"/>
  <c r="Q36" i="8"/>
  <c r="F14" i="8"/>
  <c r="G18" i="8"/>
  <c r="J59" i="8"/>
  <c r="L118" i="8"/>
  <c r="F59" i="8"/>
  <c r="P13" i="8"/>
  <c r="F39" i="8"/>
  <c r="P96" i="8"/>
  <c r="J39" i="8"/>
  <c r="F17" i="8"/>
  <c r="G118" i="8"/>
  <c r="D119" i="8"/>
  <c r="E59" i="8"/>
  <c r="D19" i="8"/>
  <c r="J17" i="8"/>
  <c r="E39" i="8"/>
  <c r="D20" i="8"/>
  <c r="L18" i="8"/>
  <c r="E17" i="8"/>
  <c r="L14" i="8"/>
  <c r="O37" i="8" l="1"/>
  <c r="F119" i="8"/>
  <c r="F20" i="8"/>
  <c r="J119" i="8"/>
  <c r="L39" i="8"/>
  <c r="F19" i="8"/>
  <c r="E19" i="8"/>
  <c r="E20" i="8"/>
  <c r="L59" i="8"/>
  <c r="D15" i="8"/>
  <c r="J20" i="8"/>
  <c r="G17" i="8"/>
  <c r="L17" i="8"/>
  <c r="E119" i="8"/>
  <c r="G39" i="8"/>
  <c r="J19" i="8"/>
  <c r="D40" i="8"/>
  <c r="G59" i="8"/>
  <c r="O17" i="8" l="1"/>
  <c r="Q17" i="8" s="1"/>
  <c r="O39" i="8"/>
  <c r="Q39" i="8" s="1"/>
  <c r="Q37" i="8"/>
  <c r="O18" i="8"/>
  <c r="O38" i="8"/>
  <c r="J40" i="8"/>
  <c r="E40" i="8"/>
  <c r="P39" i="8"/>
  <c r="L19" i="8"/>
  <c r="G19" i="8"/>
  <c r="L20" i="8"/>
  <c r="F15" i="8"/>
  <c r="L119" i="8"/>
  <c r="G119" i="8"/>
  <c r="G20" i="8"/>
  <c r="D120" i="8"/>
  <c r="F40" i="8"/>
  <c r="L15" i="8"/>
  <c r="O19" i="8" l="1"/>
  <c r="Q18" i="8"/>
  <c r="Q38" i="8"/>
  <c r="D30" i="8"/>
  <c r="F120" i="8"/>
  <c r="P18" i="8"/>
  <c r="P17" i="8"/>
  <c r="D23" i="8"/>
  <c r="E120" i="8"/>
  <c r="D41" i="8"/>
  <c r="G40" i="8"/>
  <c r="L40" i="8"/>
  <c r="D34" i="8"/>
  <c r="D31" i="8"/>
  <c r="P19" i="8"/>
  <c r="D33" i="8"/>
  <c r="D22" i="8"/>
  <c r="J120" i="8"/>
  <c r="D32" i="8"/>
  <c r="P38" i="8"/>
  <c r="P37" i="8"/>
  <c r="D21" i="8"/>
  <c r="F34" i="8"/>
  <c r="J34" i="8"/>
  <c r="Q19" i="8" l="1"/>
  <c r="O40" i="8"/>
  <c r="Q40" i="8" s="1"/>
  <c r="O20" i="8"/>
  <c r="F22" i="8"/>
  <c r="E30" i="8"/>
  <c r="F31" i="8"/>
  <c r="F23" i="8"/>
  <c r="D42" i="8"/>
  <c r="J23" i="8"/>
  <c r="J22" i="8"/>
  <c r="J30" i="8"/>
  <c r="F33" i="8"/>
  <c r="F32" i="8"/>
  <c r="E41" i="8"/>
  <c r="E31" i="8"/>
  <c r="E23" i="8"/>
  <c r="E33" i="8"/>
  <c r="L34" i="8"/>
  <c r="E32" i="8"/>
  <c r="F41" i="8"/>
  <c r="F21" i="8"/>
  <c r="J21" i="8"/>
  <c r="J33" i="8"/>
  <c r="J31" i="8"/>
  <c r="F30" i="8"/>
  <c r="G120" i="8"/>
  <c r="J41" i="8"/>
  <c r="E22" i="8"/>
  <c r="J32" i="8"/>
  <c r="L120" i="8"/>
  <c r="E21" i="8"/>
  <c r="Q20" i="8" l="1"/>
  <c r="G31" i="8"/>
  <c r="G21" i="8"/>
  <c r="L32" i="8"/>
  <c r="L21" i="8"/>
  <c r="L30" i="8"/>
  <c r="L22" i="8"/>
  <c r="G22" i="8"/>
  <c r="L41" i="8"/>
  <c r="L23" i="8"/>
  <c r="J42" i="8"/>
  <c r="G32" i="8"/>
  <c r="G23" i="8"/>
  <c r="G41" i="8"/>
  <c r="E42" i="8"/>
  <c r="G33" i="8"/>
  <c r="G30" i="8"/>
  <c r="L33" i="8"/>
  <c r="L31" i="8"/>
  <c r="F42" i="8"/>
  <c r="O41" i="8" l="1"/>
  <c r="Q41" i="8" s="1"/>
  <c r="O21" i="8"/>
  <c r="Q21" i="8" s="1"/>
  <c r="O30" i="8"/>
  <c r="Q30" i="8" s="1"/>
  <c r="O23" i="8"/>
  <c r="Q23" i="8" s="1"/>
  <c r="O31" i="8"/>
  <c r="Q31" i="8" s="1"/>
  <c r="O32" i="8"/>
  <c r="Q32" i="8" s="1"/>
  <c r="O33" i="8"/>
  <c r="D121" i="8"/>
  <c r="P41" i="8"/>
  <c r="D43" i="8"/>
  <c r="L42" i="8"/>
  <c r="G42" i="8"/>
  <c r="O42" i="8" l="1"/>
  <c r="Q42" i="8" s="1"/>
  <c r="Q33" i="8"/>
  <c r="O22" i="8"/>
  <c r="E43" i="8"/>
  <c r="J43" i="8"/>
  <c r="F121" i="8"/>
  <c r="E121" i="8"/>
  <c r="J121" i="8"/>
  <c r="F43" i="8"/>
  <c r="Q22" i="8" l="1"/>
  <c r="D52" i="8"/>
  <c r="D46" i="8"/>
  <c r="D55" i="8"/>
  <c r="D50" i="8"/>
  <c r="F55" i="8"/>
  <c r="D56" i="8"/>
  <c r="D51" i="8"/>
  <c r="G43" i="8"/>
  <c r="D54" i="8"/>
  <c r="F54" i="8" s="1"/>
  <c r="L121" i="8"/>
  <c r="E46" i="8"/>
  <c r="E54" i="8"/>
  <c r="D45" i="8"/>
  <c r="D122" i="8"/>
  <c r="L43" i="8"/>
  <c r="J51" i="8"/>
  <c r="D49" i="8"/>
  <c r="E49" i="8" s="1"/>
  <c r="G121" i="8"/>
  <c r="O43" i="8" l="1"/>
  <c r="Q43" i="8" s="1"/>
  <c r="O58" i="8"/>
  <c r="F46" i="8"/>
  <c r="J122" i="8"/>
  <c r="F122" i="8"/>
  <c r="E52" i="8"/>
  <c r="P33" i="8"/>
  <c r="L54" i="8"/>
  <c r="G54" i="8"/>
  <c r="E55" i="8"/>
  <c r="J50" i="8"/>
  <c r="P23" i="8"/>
  <c r="F51" i="8"/>
  <c r="J46" i="8"/>
  <c r="L55" i="8"/>
  <c r="P43" i="8"/>
  <c r="P20" i="8"/>
  <c r="P31" i="8"/>
  <c r="J52" i="8"/>
  <c r="P32" i="8"/>
  <c r="P21" i="8"/>
  <c r="E45" i="8"/>
  <c r="F45" i="8"/>
  <c r="J56" i="8"/>
  <c r="E51" i="8"/>
  <c r="G55" i="8"/>
  <c r="J54" i="8"/>
  <c r="F56" i="8"/>
  <c r="F52" i="8"/>
  <c r="G56" i="8"/>
  <c r="E50" i="8"/>
  <c r="L46" i="8"/>
  <c r="G46" i="8"/>
  <c r="P30" i="8"/>
  <c r="L56" i="8"/>
  <c r="E56" i="8"/>
  <c r="F50" i="8"/>
  <c r="E122" i="8"/>
  <c r="J49" i="8"/>
  <c r="J55" i="8"/>
  <c r="J45" i="8"/>
  <c r="P42" i="8"/>
  <c r="P22" i="8"/>
  <c r="P58" i="8"/>
  <c r="F49" i="8"/>
  <c r="P40" i="8"/>
  <c r="O56" i="8" l="1"/>
  <c r="O55" i="8"/>
  <c r="O54" i="8"/>
  <c r="O46" i="8"/>
  <c r="O59" i="8"/>
  <c r="O121" i="8"/>
  <c r="O120" i="8"/>
  <c r="O119" i="8"/>
  <c r="O118" i="8"/>
  <c r="Q58" i="8"/>
  <c r="G45" i="8"/>
  <c r="L52" i="8"/>
  <c r="P119" i="8"/>
  <c r="P59" i="8"/>
  <c r="P46" i="8"/>
  <c r="L122" i="8"/>
  <c r="G51" i="8"/>
  <c r="G122" i="8"/>
  <c r="L49" i="8"/>
  <c r="P54" i="8"/>
  <c r="P55" i="8"/>
  <c r="L45" i="8"/>
  <c r="P121" i="8"/>
  <c r="L50" i="8"/>
  <c r="P56" i="8"/>
  <c r="G50" i="8"/>
  <c r="L51" i="8"/>
  <c r="P118" i="8"/>
  <c r="P120" i="8"/>
  <c r="G52" i="8"/>
  <c r="G49" i="8"/>
  <c r="O45" i="8" l="1"/>
  <c r="O50" i="8"/>
  <c r="Q50" i="8" s="1"/>
  <c r="O51" i="8"/>
  <c r="O49" i="8"/>
  <c r="Q49" i="8" s="1"/>
  <c r="Q56" i="8"/>
  <c r="O52" i="8"/>
  <c r="Q55" i="8"/>
  <c r="Q54" i="8"/>
  <c r="Q45" i="8"/>
  <c r="O122" i="8"/>
  <c r="Q122" i="8" s="1"/>
  <c r="Q46" i="8"/>
  <c r="Q119" i="8"/>
  <c r="Q121" i="8"/>
  <c r="O60" i="8"/>
  <c r="O61" i="8"/>
  <c r="Q118" i="8"/>
  <c r="Q120" i="8"/>
  <c r="Q59" i="8"/>
  <c r="P45" i="8"/>
  <c r="P49" i="8"/>
  <c r="P52" i="8"/>
  <c r="P122" i="8"/>
  <c r="P50" i="8"/>
  <c r="P51" i="8"/>
  <c r="Q51" i="8" l="1"/>
  <c r="Q52" i="8"/>
  <c r="Q61" i="8"/>
  <c r="Q60" i="8"/>
  <c r="D223" i="8"/>
  <c r="D105" i="8"/>
  <c r="D192" i="8"/>
  <c r="F223" i="8"/>
  <c r="D221" i="8"/>
  <c r="D202" i="8"/>
  <c r="D104" i="8"/>
  <c r="D112" i="8"/>
  <c r="D116" i="8"/>
  <c r="J221" i="8"/>
  <c r="J104" i="8"/>
  <c r="D196" i="8"/>
  <c r="D26" i="8"/>
  <c r="D204" i="8"/>
  <c r="J223" i="8"/>
  <c r="D210" i="8"/>
  <c r="D123" i="8"/>
  <c r="D106" i="8"/>
  <c r="D66" i="8"/>
  <c r="D189" i="8"/>
  <c r="D184" i="8"/>
  <c r="J196" i="8"/>
  <c r="D185" i="8"/>
  <c r="D188" i="8"/>
  <c r="D206" i="8"/>
  <c r="D226" i="8"/>
  <c r="D214" i="8"/>
  <c r="J206" i="8"/>
  <c r="D60" i="8"/>
  <c r="D65" i="8"/>
  <c r="D110" i="8"/>
  <c r="E192" i="8"/>
  <c r="E214" i="8"/>
  <c r="D195" i="8"/>
  <c r="D186" i="8"/>
  <c r="F66" i="8"/>
  <c r="E188" i="8"/>
  <c r="J110" i="8"/>
  <c r="J210" i="8"/>
  <c r="J195" i="8"/>
  <c r="F189" i="8"/>
  <c r="E184" i="8"/>
  <c r="L189" i="8"/>
  <c r="D190" i="8"/>
  <c r="E105" i="8"/>
  <c r="D198" i="8"/>
  <c r="E210" i="8"/>
  <c r="E195" i="8"/>
  <c r="J186" i="8"/>
  <c r="D219" i="8"/>
  <c r="E223" i="8"/>
  <c r="D209" i="8"/>
  <c r="J202" i="8"/>
  <c r="D97" i="8"/>
  <c r="D222" i="8"/>
  <c r="F192" i="8"/>
  <c r="D197" i="8"/>
  <c r="D199" i="8"/>
  <c r="E116" i="8"/>
  <c r="D25" i="8"/>
  <c r="F219" i="8"/>
  <c r="D48" i="8"/>
  <c r="E66" i="8"/>
  <c r="L66" i="8"/>
  <c r="E202" i="8"/>
  <c r="F123" i="8"/>
  <c r="E106" i="8"/>
  <c r="G123" i="8"/>
  <c r="G189" i="8"/>
  <c r="E185" i="8"/>
  <c r="P60" i="8"/>
  <c r="J190" i="8"/>
  <c r="D217" i="8"/>
  <c r="D215" i="8"/>
  <c r="F215" i="8" s="1"/>
  <c r="G215" i="8" s="1"/>
  <c r="D194" i="8"/>
  <c r="D114" i="8"/>
  <c r="D212" i="8"/>
  <c r="F212" i="8" s="1"/>
  <c r="G212" i="8" s="1"/>
  <c r="F105" i="8"/>
  <c r="G105" i="8" s="1"/>
  <c r="D27" i="8"/>
  <c r="J27" i="8" s="1"/>
  <c r="D53" i="8"/>
  <c r="E212" i="8"/>
  <c r="E204" i="8"/>
  <c r="L212" i="8"/>
  <c r="D187" i="8"/>
  <c r="D216" i="8"/>
  <c r="J216" i="8" s="1"/>
  <c r="D107" i="8"/>
  <c r="F210" i="8"/>
  <c r="G210" i="8"/>
  <c r="E27" i="8"/>
  <c r="D200" i="8"/>
  <c r="F200" i="8" s="1"/>
  <c r="D28" i="8"/>
  <c r="D211" i="8"/>
  <c r="D140" i="8"/>
  <c r="D102" i="8"/>
  <c r="J102" i="8" s="1"/>
  <c r="F26" i="8"/>
  <c r="G26" i="8" s="1"/>
  <c r="D24" i="8"/>
  <c r="D225" i="8"/>
  <c r="J225" i="8" s="1"/>
  <c r="E206" i="8"/>
  <c r="J189" i="8"/>
  <c r="J214" i="8"/>
  <c r="F204" i="8"/>
  <c r="F187" i="8"/>
  <c r="G187" i="8" s="1"/>
  <c r="F216" i="8"/>
  <c r="L216" i="8" s="1"/>
  <c r="F186" i="8"/>
  <c r="G216" i="8"/>
  <c r="G223" i="8"/>
  <c r="J60" i="8"/>
  <c r="J26" i="8"/>
  <c r="J106" i="8"/>
  <c r="E198" i="8"/>
  <c r="D191" i="8"/>
  <c r="D108" i="8"/>
  <c r="D103" i="8"/>
  <c r="J217" i="8"/>
  <c r="D29" i="8"/>
  <c r="J29" i="8" s="1"/>
  <c r="D111" i="8"/>
  <c r="E111" i="8"/>
  <c r="F217" i="8"/>
  <c r="J108" i="8"/>
  <c r="J25" i="8"/>
  <c r="J24" i="8"/>
  <c r="E107" i="8"/>
  <c r="F185" i="8"/>
  <c r="E211" i="8"/>
  <c r="F102" i="8"/>
  <c r="E190" i="8"/>
  <c r="E219" i="8"/>
  <c r="E191" i="8"/>
  <c r="F191" i="8"/>
  <c r="J209" i="8"/>
  <c r="E97" i="8"/>
  <c r="F103" i="8"/>
  <c r="E103" i="8"/>
  <c r="E222" i="8"/>
  <c r="G192" i="8"/>
  <c r="E197" i="8"/>
  <c r="F29" i="8"/>
  <c r="F199" i="8"/>
  <c r="J111" i="8"/>
  <c r="F25" i="8"/>
  <c r="L217" i="8"/>
  <c r="E48" i="8"/>
  <c r="G185" i="8"/>
  <c r="G191" i="8"/>
  <c r="L199" i="8"/>
  <c r="G25" i="8"/>
  <c r="E110" i="8"/>
  <c r="G186" i="8"/>
  <c r="D220" i="8"/>
  <c r="E189" i="8"/>
  <c r="L186" i="8"/>
  <c r="D218" i="8"/>
  <c r="J215" i="8"/>
  <c r="D113" i="8"/>
  <c r="J113" i="8" s="1"/>
  <c r="D207" i="8"/>
  <c r="F27" i="8"/>
  <c r="G27" i="8" s="1"/>
  <c r="J185" i="8"/>
  <c r="F60" i="8"/>
  <c r="J219" i="8"/>
  <c r="F97" i="8"/>
  <c r="G97" i="8" s="1"/>
  <c r="J103" i="8"/>
  <c r="L192" i="8"/>
  <c r="J197" i="8"/>
  <c r="E199" i="8"/>
  <c r="E113" i="8"/>
  <c r="F111" i="8"/>
  <c r="J207" i="8"/>
  <c r="G217" i="8"/>
  <c r="L27" i="8"/>
  <c r="L185" i="8"/>
  <c r="L191" i="8"/>
  <c r="D109" i="8"/>
  <c r="D201" i="8"/>
  <c r="F221" i="8"/>
  <c r="G221" i="8" s="1"/>
  <c r="E104" i="8"/>
  <c r="D203" i="8"/>
  <c r="E203" i="8" s="1"/>
  <c r="E112" i="8"/>
  <c r="J203" i="8"/>
  <c r="J192" i="8"/>
  <c r="E109" i="8"/>
  <c r="F196" i="8"/>
  <c r="L196" i="8" s="1"/>
  <c r="L221" i="8"/>
  <c r="D224" i="8"/>
  <c r="E217" i="8"/>
  <c r="D47" i="8"/>
  <c r="F104" i="8"/>
  <c r="G104" i="8" s="1"/>
  <c r="J112" i="8"/>
  <c r="D213" i="8"/>
  <c r="J105" i="8"/>
  <c r="E226" i="8"/>
  <c r="F188" i="8"/>
  <c r="J213" i="8"/>
  <c r="J200" i="8"/>
  <c r="D193" i="8"/>
  <c r="D208" i="8"/>
  <c r="F201" i="8"/>
  <c r="E196" i="8"/>
  <c r="E123" i="8"/>
  <c r="F106" i="8"/>
  <c r="L187" i="8"/>
  <c r="F184" i="8"/>
  <c r="L184" i="8" s="1"/>
  <c r="J140" i="8"/>
  <c r="F195" i="8"/>
  <c r="L195" i="8"/>
  <c r="D115" i="8"/>
  <c r="F116" i="8"/>
  <c r="E215" i="8"/>
  <c r="F203" i="8"/>
  <c r="E186" i="8"/>
  <c r="F107" i="8"/>
  <c r="F190" i="8"/>
  <c r="E216" i="8"/>
  <c r="L106" i="8"/>
  <c r="E200" i="8"/>
  <c r="L26" i="8"/>
  <c r="E220" i="8"/>
  <c r="J191" i="8"/>
  <c r="E209" i="8"/>
  <c r="F218" i="8"/>
  <c r="J97" i="8"/>
  <c r="F222" i="8"/>
  <c r="F197" i="8"/>
  <c r="F113" i="8"/>
  <c r="E25" i="8"/>
  <c r="L219" i="8"/>
  <c r="J48" i="8"/>
  <c r="L97" i="8"/>
  <c r="G199" i="8"/>
  <c r="L25" i="8"/>
  <c r="F194" i="8"/>
  <c r="L194" i="8" s="1"/>
  <c r="E194" i="8"/>
  <c r="E114" i="8"/>
  <c r="J114" i="8"/>
  <c r="F53" i="8"/>
  <c r="E53" i="8"/>
  <c r="E187" i="8"/>
  <c r="J187" i="8"/>
  <c r="E28" i="8"/>
  <c r="F211" i="8"/>
  <c r="J211" i="8"/>
  <c r="F140" i="8"/>
  <c r="E24" i="8"/>
  <c r="G204" i="8"/>
  <c r="L204" i="8"/>
  <c r="E108" i="8"/>
  <c r="J218" i="8"/>
  <c r="E218" i="8"/>
  <c r="F207" i="8"/>
  <c r="E207" i="8"/>
  <c r="J109" i="8"/>
  <c r="F109" i="8"/>
  <c r="L109" i="8" s="1"/>
  <c r="J201" i="8"/>
  <c r="E201" i="8"/>
  <c r="J224" i="8"/>
  <c r="F224" i="8"/>
  <c r="E224" i="8"/>
  <c r="J47" i="8"/>
  <c r="F47" i="8"/>
  <c r="E213" i="8"/>
  <c r="F213" i="8"/>
  <c r="L188" i="8"/>
  <c r="F193" i="8"/>
  <c r="J193" i="8"/>
  <c r="E193" i="8"/>
  <c r="E208" i="8"/>
  <c r="F208" i="8"/>
  <c r="F115" i="8"/>
  <c r="E115" i="8"/>
  <c r="J115" i="8"/>
  <c r="L107" i="8"/>
  <c r="G190" i="8"/>
  <c r="L222" i="8"/>
  <c r="G222" i="8"/>
  <c r="L113" i="8"/>
  <c r="G113" i="8"/>
  <c r="G53" i="8"/>
  <c r="G211" i="8"/>
  <c r="L211" i="8"/>
  <c r="L140" i="8"/>
  <c r="G140" i="8"/>
  <c r="L224" i="8"/>
  <c r="G224" i="8"/>
  <c r="G193" i="8"/>
  <c r="L193" i="8"/>
  <c r="G208" i="8"/>
  <c r="L208" i="8"/>
  <c r="O212" i="8" l="1"/>
  <c r="Q212" i="8" s="1"/>
  <c r="O113" i="8"/>
  <c r="Q113" i="8" s="1"/>
  <c r="O26" i="8"/>
  <c r="Q26" i="8" s="1"/>
  <c r="O216" i="8"/>
  <c r="Q216" i="8" s="1"/>
  <c r="O187" i="8"/>
  <c r="O208" i="8"/>
  <c r="Q208" i="8" s="1"/>
  <c r="O221" i="8"/>
  <c r="Q221" i="8" s="1"/>
  <c r="O211" i="8"/>
  <c r="O194" i="8"/>
  <c r="O185" i="8"/>
  <c r="O195" i="8"/>
  <c r="O106" i="8"/>
  <c r="Q106" i="8" s="1"/>
  <c r="O107" i="8"/>
  <c r="Q107" i="8" s="1"/>
  <c r="O188" i="8"/>
  <c r="Q188" i="8" s="1"/>
  <c r="O97" i="8"/>
  <c r="O184" i="8"/>
  <c r="Q184" i="8" s="1"/>
  <c r="O27" i="8"/>
  <c r="Q27" i="8" s="1"/>
  <c r="O222" i="8"/>
  <c r="Q222" i="8" s="1"/>
  <c r="O199" i="8"/>
  <c r="Q199" i="8" s="1"/>
  <c r="O66" i="8"/>
  <c r="O192" i="8"/>
  <c r="O196" i="8"/>
  <c r="O193" i="8"/>
  <c r="O224" i="8"/>
  <c r="O204" i="8"/>
  <c r="Q204" i="8" s="1"/>
  <c r="O186" i="8"/>
  <c r="Q186" i="8" s="1"/>
  <c r="O140" i="8"/>
  <c r="O191" i="8"/>
  <c r="O219" i="8"/>
  <c r="Q219" i="8" s="1"/>
  <c r="O217" i="8"/>
  <c r="Q217" i="8" s="1"/>
  <c r="O189" i="8"/>
  <c r="Q189" i="8" s="1"/>
  <c r="O109" i="8"/>
  <c r="O25" i="8"/>
  <c r="G115" i="8"/>
  <c r="G207" i="8"/>
  <c r="G218" i="8"/>
  <c r="G107" i="8"/>
  <c r="L116" i="8"/>
  <c r="G201" i="8"/>
  <c r="L111" i="8"/>
  <c r="G103" i="8"/>
  <c r="F108" i="8"/>
  <c r="L108" i="8" s="1"/>
  <c r="E140" i="8"/>
  <c r="L200" i="8"/>
  <c r="J198" i="8"/>
  <c r="F226" i="8"/>
  <c r="J188" i="8"/>
  <c r="G47" i="8"/>
  <c r="F220" i="8"/>
  <c r="E60" i="8"/>
  <c r="G109" i="8"/>
  <c r="G184" i="8"/>
  <c r="E47" i="8"/>
  <c r="J53" i="8"/>
  <c r="F202" i="8"/>
  <c r="P208" i="8"/>
  <c r="P189" i="8"/>
  <c r="F65" i="8"/>
  <c r="P193" i="8"/>
  <c r="P191" i="8"/>
  <c r="J66" i="8"/>
  <c r="P199" i="8"/>
  <c r="P217" i="8"/>
  <c r="L218" i="8"/>
  <c r="L207" i="8"/>
  <c r="J184" i="8"/>
  <c r="J204" i="8"/>
  <c r="J194" i="8"/>
  <c r="L102" i="8"/>
  <c r="P187" i="8"/>
  <c r="P196" i="8"/>
  <c r="J220" i="8"/>
  <c r="G60" i="8"/>
  <c r="G108" i="8"/>
  <c r="L215" i="8"/>
  <c r="E26" i="8"/>
  <c r="L201" i="8"/>
  <c r="G194" i="8"/>
  <c r="J199" i="8"/>
  <c r="P113" i="8"/>
  <c r="P184" i="8"/>
  <c r="G197" i="8"/>
  <c r="L47" i="8"/>
  <c r="D67" i="8"/>
  <c r="P192" i="8"/>
  <c r="J212" i="8"/>
  <c r="D124" i="8"/>
  <c r="J67" i="8"/>
  <c r="J124" i="8"/>
  <c r="J222" i="8"/>
  <c r="P194" i="8"/>
  <c r="D141" i="8"/>
  <c r="F67" i="8"/>
  <c r="L103" i="8"/>
  <c r="F48" i="8"/>
  <c r="G196" i="8"/>
  <c r="J116" i="8"/>
  <c r="P26" i="8"/>
  <c r="P27" i="8"/>
  <c r="L223" i="8"/>
  <c r="P66" i="8"/>
  <c r="E102" i="8"/>
  <c r="E141" i="8"/>
  <c r="G48" i="8"/>
  <c r="F124" i="8"/>
  <c r="G124" i="8"/>
  <c r="F209" i="8"/>
  <c r="L209" i="8"/>
  <c r="G202" i="8"/>
  <c r="E124" i="8"/>
  <c r="L213" i="8"/>
  <c r="L53" i="8"/>
  <c r="L190" i="8"/>
  <c r="L203" i="8"/>
  <c r="G195" i="8"/>
  <c r="G188" i="8"/>
  <c r="L29" i="8"/>
  <c r="G102" i="8"/>
  <c r="F24" i="8"/>
  <c r="J28" i="8"/>
  <c r="L123" i="8"/>
  <c r="J65" i="8"/>
  <c r="F206" i="8"/>
  <c r="L197" i="8"/>
  <c r="E29" i="8"/>
  <c r="F225" i="8"/>
  <c r="G225" i="8" s="1"/>
  <c r="L210" i="8"/>
  <c r="G106" i="8"/>
  <c r="F198" i="8"/>
  <c r="G198" i="8" s="1"/>
  <c r="L115" i="8"/>
  <c r="G213" i="8"/>
  <c r="P216" i="8"/>
  <c r="P107" i="8"/>
  <c r="F114" i="8"/>
  <c r="L220" i="8"/>
  <c r="P195" i="8"/>
  <c r="L105" i="8"/>
  <c r="F214" i="8"/>
  <c r="J123" i="8"/>
  <c r="P106" i="8"/>
  <c r="P186" i="8"/>
  <c r="J226" i="8"/>
  <c r="G114" i="8"/>
  <c r="G200" i="8"/>
  <c r="G203" i="8"/>
  <c r="G116" i="8"/>
  <c r="P212" i="8"/>
  <c r="P188" i="8"/>
  <c r="F112" i="8"/>
  <c r="P97" i="8"/>
  <c r="P109" i="8"/>
  <c r="D61" i="8"/>
  <c r="E61" i="8"/>
  <c r="P61" i="8"/>
  <c r="G219" i="8"/>
  <c r="G66" i="8"/>
  <c r="L104" i="8"/>
  <c r="G111" i="8"/>
  <c r="J107" i="8"/>
  <c r="G226" i="8"/>
  <c r="F28" i="8"/>
  <c r="P222" i="8"/>
  <c r="P211" i="8"/>
  <c r="D98" i="8"/>
  <c r="F98" i="8" s="1"/>
  <c r="P140" i="8"/>
  <c r="E225" i="8"/>
  <c r="L114" i="8"/>
  <c r="E98" i="8"/>
  <c r="P204" i="8"/>
  <c r="P25" i="8"/>
  <c r="P224" i="8"/>
  <c r="J141" i="8"/>
  <c r="G29" i="8"/>
  <c r="J208" i="8"/>
  <c r="F110" i="8"/>
  <c r="E221" i="8"/>
  <c r="P221" i="8"/>
  <c r="P219" i="8"/>
  <c r="P185" i="8"/>
  <c r="D183" i="8"/>
  <c r="J98" i="8"/>
  <c r="L124" i="8"/>
  <c r="G24" i="8"/>
  <c r="L24" i="8"/>
  <c r="G206" i="8"/>
  <c r="G214" i="8"/>
  <c r="L214" i="8"/>
  <c r="J61" i="8"/>
  <c r="F61" i="8"/>
  <c r="G98" i="8"/>
  <c r="L98" i="8"/>
  <c r="L110" i="8"/>
  <c r="J183" i="8"/>
  <c r="O24" i="8" l="1"/>
  <c r="O123" i="8"/>
  <c r="O29" i="8"/>
  <c r="O203" i="8"/>
  <c r="O190" i="8"/>
  <c r="O53" i="8"/>
  <c r="O213" i="8"/>
  <c r="O200" i="8"/>
  <c r="O108" i="8"/>
  <c r="O111" i="8"/>
  <c r="O116" i="8"/>
  <c r="O104" i="8"/>
  <c r="O215" i="8"/>
  <c r="Q215" i="8" s="1"/>
  <c r="O210" i="8"/>
  <c r="O197" i="8"/>
  <c r="Q197" i="8" s="1"/>
  <c r="O110" i="8"/>
  <c r="O207" i="8"/>
  <c r="Q207" i="8" s="1"/>
  <c r="O103" i="8"/>
  <c r="Q103" i="8" s="1"/>
  <c r="O115" i="8"/>
  <c r="O201" i="8"/>
  <c r="O124" i="8"/>
  <c r="O98" i="8"/>
  <c r="Q98" i="8" s="1"/>
  <c r="O209" i="8"/>
  <c r="Q209" i="8" s="1"/>
  <c r="O214" i="8"/>
  <c r="Q214" i="8" s="1"/>
  <c r="O114" i="8"/>
  <c r="Q114" i="8" s="1"/>
  <c r="O105" i="8"/>
  <c r="O218" i="8"/>
  <c r="O220" i="8"/>
  <c r="O223" i="8"/>
  <c r="O47" i="8"/>
  <c r="Q47" i="8" s="1"/>
  <c r="O102" i="8"/>
  <c r="Q66" i="8"/>
  <c r="Q203" i="8"/>
  <c r="Q25" i="8"/>
  <c r="Q109" i="8"/>
  <c r="Q110" i="8"/>
  <c r="Q191" i="8"/>
  <c r="Q140" i="8"/>
  <c r="Q224" i="8"/>
  <c r="Q193" i="8"/>
  <c r="Q196" i="8"/>
  <c r="Q192" i="8"/>
  <c r="Q104" i="8"/>
  <c r="Q97" i="8"/>
  <c r="Q195" i="8"/>
  <c r="Q24" i="8"/>
  <c r="Q185" i="8"/>
  <c r="Q111" i="8"/>
  <c r="Q194" i="8"/>
  <c r="Q211" i="8"/>
  <c r="Q187" i="8"/>
  <c r="P24" i="8"/>
  <c r="G110" i="8"/>
  <c r="L206" i="8"/>
  <c r="P123" i="8"/>
  <c r="P203" i="8"/>
  <c r="P53" i="8"/>
  <c r="L48" i="8"/>
  <c r="P200" i="8"/>
  <c r="P111" i="8"/>
  <c r="L67" i="8"/>
  <c r="G61" i="8"/>
  <c r="G220" i="8"/>
  <c r="L65" i="8"/>
  <c r="D130" i="8"/>
  <c r="P214" i="8"/>
  <c r="P47" i="8"/>
  <c r="D135" i="8"/>
  <c r="F130" i="8"/>
  <c r="L130" i="8"/>
  <c r="P102" i="8"/>
  <c r="L202" i="8"/>
  <c r="D62" i="8"/>
  <c r="P209" i="8"/>
  <c r="D125" i="8"/>
  <c r="D68" i="8"/>
  <c r="F68" i="8"/>
  <c r="G130" i="8"/>
  <c r="F62" i="8"/>
  <c r="F125" i="8"/>
  <c r="G209" i="8"/>
  <c r="P215" i="8"/>
  <c r="L225" i="8"/>
  <c r="P110" i="8"/>
  <c r="G28" i="8"/>
  <c r="D129" i="8"/>
  <c r="D205" i="8"/>
  <c r="D126" i="8"/>
  <c r="P105" i="8"/>
  <c r="F135" i="8"/>
  <c r="P223" i="8"/>
  <c r="E129" i="8"/>
  <c r="P115" i="8"/>
  <c r="D127" i="8"/>
  <c r="P114" i="8"/>
  <c r="D69" i="8"/>
  <c r="J135" i="8"/>
  <c r="J62" i="8"/>
  <c r="J125" i="8"/>
  <c r="G62" i="8"/>
  <c r="L125" i="8"/>
  <c r="E205" i="8"/>
  <c r="J126" i="8"/>
  <c r="L135" i="8"/>
  <c r="E183" i="8"/>
  <c r="L28" i="8"/>
  <c r="D228" i="8"/>
  <c r="P29" i="8"/>
  <c r="P190" i="8"/>
  <c r="P213" i="8"/>
  <c r="L226" i="8"/>
  <c r="P108" i="8"/>
  <c r="P116" i="8"/>
  <c r="P104" i="8"/>
  <c r="P210" i="8"/>
  <c r="L198" i="8"/>
  <c r="D136" i="8"/>
  <c r="F136" i="8" s="1"/>
  <c r="D133" i="8"/>
  <c r="E133" i="8" s="1"/>
  <c r="P220" i="8"/>
  <c r="E136" i="8"/>
  <c r="J130" i="8"/>
  <c r="P201" i="8"/>
  <c r="P124" i="8"/>
  <c r="D128" i="8"/>
  <c r="J128" i="8" s="1"/>
  <c r="E62" i="8"/>
  <c r="J133" i="8"/>
  <c r="G136" i="8"/>
  <c r="F128" i="8"/>
  <c r="L128" i="8" s="1"/>
  <c r="L112" i="8"/>
  <c r="P197" i="8"/>
  <c r="D138" i="8"/>
  <c r="D132" i="8"/>
  <c r="G112" i="8"/>
  <c r="F129" i="8"/>
  <c r="F133" i="8"/>
  <c r="G133" i="8"/>
  <c r="J136" i="8"/>
  <c r="P98" i="8"/>
  <c r="D131" i="8"/>
  <c r="E127" i="8"/>
  <c r="E126" i="8"/>
  <c r="L129" i="8"/>
  <c r="E125" i="8"/>
  <c r="G128" i="8"/>
  <c r="F126" i="8"/>
  <c r="L126" i="8" s="1"/>
  <c r="J131" i="8"/>
  <c r="P218" i="8"/>
  <c r="E135" i="8"/>
  <c r="D134" i="8"/>
  <c r="L62" i="8"/>
  <c r="F141" i="8"/>
  <c r="G141" i="8" s="1"/>
  <c r="P103" i="8"/>
  <c r="D99" i="8"/>
  <c r="E130" i="8"/>
  <c r="P207" i="8"/>
  <c r="D137" i="8"/>
  <c r="L183" i="8"/>
  <c r="J132" i="8"/>
  <c r="F127" i="8"/>
  <c r="F69" i="8"/>
  <c r="E128" i="8"/>
  <c r="G127" i="8"/>
  <c r="G125" i="8"/>
  <c r="E99" i="8"/>
  <c r="J205" i="8"/>
  <c r="G135" i="8"/>
  <c r="G126" i="8"/>
  <c r="E228" i="8"/>
  <c r="F228" i="8"/>
  <c r="J228" i="8"/>
  <c r="E138" i="8"/>
  <c r="F138" i="8"/>
  <c r="F132" i="8"/>
  <c r="G132" i="8" s="1"/>
  <c r="E131" i="8"/>
  <c r="F131" i="8"/>
  <c r="J134" i="8"/>
  <c r="E134" i="8"/>
  <c r="F134" i="8"/>
  <c r="J99" i="8"/>
  <c r="F99" i="8"/>
  <c r="G99" i="8" s="1"/>
  <c r="E137" i="8"/>
  <c r="J137" i="8"/>
  <c r="L228" i="8"/>
  <c r="G228" i="8"/>
  <c r="L138" i="8"/>
  <c r="G138" i="8"/>
  <c r="G131" i="8"/>
  <c r="L131" i="8"/>
  <c r="L134" i="8"/>
  <c r="G134" i="8"/>
  <c r="O226" i="8" l="1"/>
  <c r="Q226" i="8"/>
  <c r="O28" i="8"/>
  <c r="O48" i="8"/>
  <c r="O206" i="8"/>
  <c r="Q108" i="8"/>
  <c r="Q190" i="8"/>
  <c r="Q29" i="8"/>
  <c r="Q213" i="8"/>
  <c r="Q116" i="8"/>
  <c r="Q200" i="8"/>
  <c r="Q53" i="8"/>
  <c r="Q123" i="8"/>
  <c r="O225" i="8"/>
  <c r="M205" i="8"/>
  <c r="O112" i="8"/>
  <c r="O228" i="8"/>
  <c r="Q210" i="8"/>
  <c r="O202" i="8"/>
  <c r="Q202" i="8" s="1"/>
  <c r="O198" i="8"/>
  <c r="M183" i="8"/>
  <c r="O183" i="8" s="1"/>
  <c r="Q183" i="8" s="1"/>
  <c r="Q115" i="8"/>
  <c r="Q201" i="8"/>
  <c r="O126" i="8"/>
  <c r="Q126" i="8" s="1"/>
  <c r="O128" i="8"/>
  <c r="Q128" i="8" s="1"/>
  <c r="O135" i="8"/>
  <c r="Q135" i="8" s="1"/>
  <c r="O131" i="8"/>
  <c r="Q131" i="8" s="1"/>
  <c r="O125" i="8"/>
  <c r="O129" i="8"/>
  <c r="Q129" i="8" s="1"/>
  <c r="O134" i="8"/>
  <c r="O138" i="8"/>
  <c r="O130" i="8"/>
  <c r="Q130" i="8" s="1"/>
  <c r="O62" i="8"/>
  <c r="Q102" i="8"/>
  <c r="Q223" i="8"/>
  <c r="Q220" i="8"/>
  <c r="Q218" i="8"/>
  <c r="Q105" i="8"/>
  <c r="Q124" i="8"/>
  <c r="D234" i="8"/>
  <c r="D243" i="8"/>
  <c r="D240" i="8"/>
  <c r="D235" i="8"/>
  <c r="D238" i="8"/>
  <c r="D231" i="8"/>
  <c r="D239" i="8"/>
  <c r="D236" i="8"/>
  <c r="D242" i="8"/>
  <c r="D229" i="8"/>
  <c r="L127" i="8"/>
  <c r="L133" i="8"/>
  <c r="E132" i="8"/>
  <c r="P226" i="8"/>
  <c r="P28" i="8"/>
  <c r="J127" i="8"/>
  <c r="P48" i="8"/>
  <c r="L141" i="8"/>
  <c r="L136" i="8"/>
  <c r="L9" i="8"/>
  <c r="P135" i="8"/>
  <c r="P183" i="8"/>
  <c r="P62" i="8"/>
  <c r="L99" i="8"/>
  <c r="L132" i="8"/>
  <c r="P112" i="8"/>
  <c r="L205" i="8"/>
  <c r="J68" i="8"/>
  <c r="P198" i="8"/>
  <c r="P126" i="8"/>
  <c r="P130" i="8"/>
  <c r="F205" i="8"/>
  <c r="P125" i="8"/>
  <c r="P131" i="8"/>
  <c r="D237" i="8"/>
  <c r="D232" i="8"/>
  <c r="D230" i="8"/>
  <c r="D248" i="8"/>
  <c r="D233" i="8"/>
  <c r="D246" i="8"/>
  <c r="D245" i="8"/>
  <c r="D247" i="8"/>
  <c r="D241" i="8"/>
  <c r="D244" i="8"/>
  <c r="F137" i="8"/>
  <c r="G129" i="8"/>
  <c r="J138" i="8"/>
  <c r="J69" i="8"/>
  <c r="J129" i="8"/>
  <c r="P206" i="8"/>
  <c r="L69" i="8"/>
  <c r="D143" i="8"/>
  <c r="P202" i="8"/>
  <c r="L68" i="8"/>
  <c r="P134" i="8"/>
  <c r="P128" i="8"/>
  <c r="P129" i="8"/>
  <c r="D63" i="8"/>
  <c r="F9" i="8"/>
  <c r="F183" i="8"/>
  <c r="P225" i="8"/>
  <c r="D142" i="8"/>
  <c r="E142" i="8" s="1"/>
  <c r="P228" i="8"/>
  <c r="D100" i="8"/>
  <c r="E100" i="8" s="1"/>
  <c r="F100" i="8"/>
  <c r="L100" i="8" s="1"/>
  <c r="D70" i="8"/>
  <c r="P138" i="8"/>
  <c r="D71" i="8"/>
  <c r="J71" i="8" s="1"/>
  <c r="G9" i="8"/>
  <c r="J142" i="8"/>
  <c r="J100" i="8"/>
  <c r="E143" i="8"/>
  <c r="F142" i="8"/>
  <c r="G100" i="8"/>
  <c r="L142" i="8"/>
  <c r="J234" i="8"/>
  <c r="F234" i="8"/>
  <c r="E234" i="8"/>
  <c r="F243" i="8"/>
  <c r="J243" i="8"/>
  <c r="E243" i="8"/>
  <c r="J240" i="8"/>
  <c r="E240" i="8"/>
  <c r="F240" i="8"/>
  <c r="J235" i="8"/>
  <c r="E235" i="8"/>
  <c r="F235" i="8"/>
  <c r="F238" i="8"/>
  <c r="E238" i="8"/>
  <c r="J238" i="8"/>
  <c r="E231" i="8"/>
  <c r="F231" i="8"/>
  <c r="J231" i="8"/>
  <c r="F239" i="8"/>
  <c r="E239" i="8"/>
  <c r="E236" i="8"/>
  <c r="F236" i="8"/>
  <c r="J236" i="8"/>
  <c r="J242" i="8"/>
  <c r="F242" i="8"/>
  <c r="E242" i="8"/>
  <c r="F229" i="8"/>
  <c r="E229" i="8"/>
  <c r="J237" i="8"/>
  <c r="E237" i="8"/>
  <c r="F237" i="8"/>
  <c r="E232" i="8"/>
  <c r="F232" i="8"/>
  <c r="J232" i="8"/>
  <c r="J230" i="8"/>
  <c r="E230" i="8"/>
  <c r="F248" i="8"/>
  <c r="E248" i="8"/>
  <c r="J233" i="8"/>
  <c r="E233" i="8"/>
  <c r="F233" i="8"/>
  <c r="E246" i="8"/>
  <c r="F246" i="8"/>
  <c r="F245" i="8"/>
  <c r="J245" i="8"/>
  <c r="E245" i="8"/>
  <c r="J247" i="8"/>
  <c r="F247" i="8"/>
  <c r="E247" i="8"/>
  <c r="E241" i="8"/>
  <c r="F241" i="8"/>
  <c r="J241" i="8"/>
  <c r="E244" i="8"/>
  <c r="J244" i="8"/>
  <c r="F244" i="8"/>
  <c r="L137" i="8"/>
  <c r="F143" i="8"/>
  <c r="J143" i="8"/>
  <c r="F63" i="8"/>
  <c r="E63" i="8"/>
  <c r="J70" i="8"/>
  <c r="F70" i="8"/>
  <c r="G234" i="8"/>
  <c r="L234" i="8"/>
  <c r="G243" i="8"/>
  <c r="L240" i="8"/>
  <c r="G240" i="8"/>
  <c r="G235" i="8"/>
  <c r="G238" i="8"/>
  <c r="L238" i="8"/>
  <c r="G231" i="8"/>
  <c r="G239" i="8"/>
  <c r="L236" i="8"/>
  <c r="G236" i="8"/>
  <c r="G242" i="8"/>
  <c r="L242" i="8"/>
  <c r="G229" i="8"/>
  <c r="L229" i="8"/>
  <c r="L237" i="8"/>
  <c r="G237" i="8"/>
  <c r="L232" i="8"/>
  <c r="G232" i="8"/>
  <c r="G248" i="8"/>
  <c r="L248" i="8"/>
  <c r="L233" i="8"/>
  <c r="G233" i="8"/>
  <c r="G246" i="8"/>
  <c r="L246" i="8"/>
  <c r="L245" i="8"/>
  <c r="G245" i="8"/>
  <c r="L247" i="8"/>
  <c r="G247" i="8"/>
  <c r="G241" i="8"/>
  <c r="L241" i="8"/>
  <c r="G244" i="8"/>
  <c r="L244" i="8"/>
  <c r="G143" i="8"/>
  <c r="L143" i="8"/>
  <c r="G63" i="8"/>
  <c r="G70" i="8"/>
  <c r="O244" i="8" l="1"/>
  <c r="O241" i="8"/>
  <c r="O247" i="8"/>
  <c r="O246" i="8"/>
  <c r="O248" i="8"/>
  <c r="O232" i="8"/>
  <c r="O229" i="8"/>
  <c r="O242" i="8"/>
  <c r="O238" i="8"/>
  <c r="O234" i="8"/>
  <c r="O137" i="8"/>
  <c r="O133" i="8"/>
  <c r="O127" i="8"/>
  <c r="Q206" i="8"/>
  <c r="Q48" i="8"/>
  <c r="Q28" i="8"/>
  <c r="O142" i="8"/>
  <c r="Q142" i="8" s="1"/>
  <c r="O143" i="8"/>
  <c r="O233" i="8"/>
  <c r="O205" i="8"/>
  <c r="O132" i="8"/>
  <c r="M117" i="8"/>
  <c r="N183" i="8"/>
  <c r="O99" i="8"/>
  <c r="O136" i="8"/>
  <c r="Q136" i="8" s="1"/>
  <c r="O236" i="8"/>
  <c r="Q236" i="8" s="1"/>
  <c r="O141" i="8"/>
  <c r="Q141" i="8" s="1"/>
  <c r="O237" i="8"/>
  <c r="Q237" i="8" s="1"/>
  <c r="O245" i="8"/>
  <c r="O240" i="8"/>
  <c r="Q228" i="8"/>
  <c r="Q225" i="8"/>
  <c r="Q112" i="8"/>
  <c r="Q198" i="8"/>
  <c r="O100" i="8"/>
  <c r="N205" i="8"/>
  <c r="Q205" i="8"/>
  <c r="Q62" i="8"/>
  <c r="Q138" i="8"/>
  <c r="Q134" i="8"/>
  <c r="Q234" i="8"/>
  <c r="Q241" i="8"/>
  <c r="Q247" i="8"/>
  <c r="Q125" i="8"/>
  <c r="Q246" i="8"/>
  <c r="Q248" i="8"/>
  <c r="Q242" i="8"/>
  <c r="Q244" i="8"/>
  <c r="Q232" i="8"/>
  <c r="Q238" i="8"/>
  <c r="P244" i="8"/>
  <c r="P247" i="8"/>
  <c r="P248" i="8"/>
  <c r="P229" i="8"/>
  <c r="P238" i="8"/>
  <c r="L70" i="8"/>
  <c r="P137" i="8"/>
  <c r="L239" i="8"/>
  <c r="L235" i="8"/>
  <c r="G137" i="8"/>
  <c r="J248" i="8"/>
  <c r="G205" i="8"/>
  <c r="P133" i="8"/>
  <c r="J229" i="8"/>
  <c r="G142" i="8"/>
  <c r="D157" i="8"/>
  <c r="D151" i="8"/>
  <c r="D156" i="8"/>
  <c r="D144" i="8"/>
  <c r="P205" i="8"/>
  <c r="P136" i="8"/>
  <c r="P237" i="8"/>
  <c r="N9" i="8"/>
  <c r="D101" i="8"/>
  <c r="F101" i="8"/>
  <c r="D154" i="8"/>
  <c r="D148" i="8"/>
  <c r="D150" i="8"/>
  <c r="D145" i="8"/>
  <c r="D152" i="8"/>
  <c r="P233" i="8"/>
  <c r="G183" i="8"/>
  <c r="J63" i="8"/>
  <c r="P245" i="8"/>
  <c r="D64" i="8"/>
  <c r="J101" i="8"/>
  <c r="J64" i="8"/>
  <c r="F157" i="8"/>
  <c r="J151" i="8"/>
  <c r="E151" i="8"/>
  <c r="E156" i="8"/>
  <c r="J156" i="8"/>
  <c r="E144" i="8"/>
  <c r="F154" i="8"/>
  <c r="J154" i="8"/>
  <c r="J148" i="8"/>
  <c r="E148" i="8"/>
  <c r="E150" i="8"/>
  <c r="F145" i="8"/>
  <c r="E152" i="8"/>
  <c r="J152" i="8"/>
  <c r="L154" i="8"/>
  <c r="G145" i="8"/>
  <c r="P241" i="8"/>
  <c r="P246" i="8"/>
  <c r="P232" i="8"/>
  <c r="P242" i="8"/>
  <c r="P234" i="8"/>
  <c r="L63" i="8"/>
  <c r="D227" i="8"/>
  <c r="L231" i="8"/>
  <c r="L243" i="8"/>
  <c r="J246" i="8"/>
  <c r="F230" i="8"/>
  <c r="D117" i="8"/>
  <c r="P127" i="8"/>
  <c r="J239" i="8"/>
  <c r="D159" i="8"/>
  <c r="D149" i="8"/>
  <c r="E149" i="8" s="1"/>
  <c r="F71" i="8"/>
  <c r="P99" i="8"/>
  <c r="P141" i="8"/>
  <c r="P100" i="8"/>
  <c r="D73" i="8"/>
  <c r="F73" i="8" s="1"/>
  <c r="D158" i="8"/>
  <c r="F158" i="8" s="1"/>
  <c r="L158" i="8" s="1"/>
  <c r="D147" i="8"/>
  <c r="J147" i="8" s="1"/>
  <c r="F64" i="8"/>
  <c r="J73" i="8"/>
  <c r="E157" i="8"/>
  <c r="J157" i="8"/>
  <c r="F151" i="8"/>
  <c r="G151" i="8" s="1"/>
  <c r="F156" i="8"/>
  <c r="G156" i="8" s="1"/>
  <c r="J144" i="8"/>
  <c r="E154" i="8"/>
  <c r="J158" i="8"/>
  <c r="F150" i="8"/>
  <c r="L150" i="8" s="1"/>
  <c r="J145" i="8"/>
  <c r="E147" i="8"/>
  <c r="L151" i="8"/>
  <c r="G150" i="8"/>
  <c r="L145" i="8"/>
  <c r="P142" i="8"/>
  <c r="D155" i="8"/>
  <c r="J155" i="8" s="1"/>
  <c r="D146" i="8"/>
  <c r="E146" i="8" s="1"/>
  <c r="P240" i="8"/>
  <c r="E101" i="8"/>
  <c r="P143" i="8"/>
  <c r="D153" i="8"/>
  <c r="D160" i="8"/>
  <c r="E70" i="8"/>
  <c r="P132" i="8"/>
  <c r="P236" i="8"/>
  <c r="G101" i="8"/>
  <c r="F159" i="8"/>
  <c r="E155" i="8"/>
  <c r="J149" i="8"/>
  <c r="F149" i="8"/>
  <c r="J146" i="8"/>
  <c r="F144" i="8"/>
  <c r="J153" i="8"/>
  <c r="F148" i="8"/>
  <c r="L148" i="8" s="1"/>
  <c r="J150" i="8"/>
  <c r="J160" i="8"/>
  <c r="E145" i="8"/>
  <c r="F152" i="8"/>
  <c r="G152" i="8" s="1"/>
  <c r="L157" i="8"/>
  <c r="L156" i="8"/>
  <c r="G158" i="8"/>
  <c r="L152" i="8"/>
  <c r="J227" i="8"/>
  <c r="E227" i="8"/>
  <c r="G230" i="8"/>
  <c r="L230" i="8"/>
  <c r="E117" i="8"/>
  <c r="J117" i="8"/>
  <c r="E159" i="8"/>
  <c r="J159" i="8"/>
  <c r="L64" i="8"/>
  <c r="G64" i="8"/>
  <c r="F153" i="8"/>
  <c r="E153" i="8"/>
  <c r="F160" i="8"/>
  <c r="E160" i="8"/>
  <c r="L159" i="8"/>
  <c r="G159" i="8"/>
  <c r="G149" i="8"/>
  <c r="L149" i="8"/>
  <c r="L144" i="8"/>
  <c r="G144" i="8"/>
  <c r="G153" i="8"/>
  <c r="L153" i="8"/>
  <c r="G160" i="8"/>
  <c r="L160" i="8"/>
  <c r="O230" i="8" l="1"/>
  <c r="Q230" i="8"/>
  <c r="M227" i="8"/>
  <c r="O243" i="8"/>
  <c r="O231" i="8"/>
  <c r="O63" i="8"/>
  <c r="O235" i="8"/>
  <c r="O239" i="8"/>
  <c r="O70" i="8"/>
  <c r="Q127" i="8"/>
  <c r="Q133" i="8"/>
  <c r="Q137" i="8"/>
  <c r="Q229" i="8"/>
  <c r="O152" i="8"/>
  <c r="O145" i="8"/>
  <c r="O160" i="8"/>
  <c r="Q160" i="8" s="1"/>
  <c r="O150" i="8"/>
  <c r="O158" i="8"/>
  <c r="O148" i="8"/>
  <c r="O153" i="8"/>
  <c r="Q153" i="8" s="1"/>
  <c r="O154" i="8"/>
  <c r="Q154" i="8" s="1"/>
  <c r="O144" i="8"/>
  <c r="O156" i="8"/>
  <c r="Q156" i="8" s="1"/>
  <c r="O149" i="8"/>
  <c r="O151" i="8"/>
  <c r="Q151" i="8" s="1"/>
  <c r="O157" i="8"/>
  <c r="O159" i="8"/>
  <c r="Q159" i="8" s="1"/>
  <c r="Q245" i="8"/>
  <c r="Q132" i="8"/>
  <c r="Q143" i="8"/>
  <c r="Q233" i="8"/>
  <c r="Q240" i="8"/>
  <c r="Q99" i="8"/>
  <c r="O64" i="8"/>
  <c r="Q149" i="8"/>
  <c r="Q158" i="8"/>
  <c r="Q100" i="8"/>
  <c r="P230" i="8"/>
  <c r="L117" i="8"/>
  <c r="P63" i="8"/>
  <c r="P235" i="8"/>
  <c r="P160" i="8"/>
  <c r="P153" i="8"/>
  <c r="P151" i="8"/>
  <c r="G154" i="8"/>
  <c r="L101" i="8"/>
  <c r="F155" i="8"/>
  <c r="D75" i="8"/>
  <c r="P64" i="8"/>
  <c r="P145" i="8"/>
  <c r="P148" i="8"/>
  <c r="P144" i="8"/>
  <c r="P157" i="8"/>
  <c r="L73" i="8"/>
  <c r="F146" i="8"/>
  <c r="E75" i="8"/>
  <c r="F75" i="8"/>
  <c r="G155" i="8"/>
  <c r="G148" i="8"/>
  <c r="L71" i="8"/>
  <c r="D74" i="8"/>
  <c r="F74" i="8" s="1"/>
  <c r="L146" i="8"/>
  <c r="L227" i="8"/>
  <c r="P243" i="8"/>
  <c r="P231" i="8"/>
  <c r="E64" i="8"/>
  <c r="P239" i="8"/>
  <c r="P70" i="8"/>
  <c r="P152" i="8"/>
  <c r="P158" i="8"/>
  <c r="P156" i="8"/>
  <c r="P159" i="8"/>
  <c r="G157" i="8"/>
  <c r="E158" i="8"/>
  <c r="D72" i="8"/>
  <c r="D95" i="8"/>
  <c r="E95" i="8" s="1"/>
  <c r="J75" i="8"/>
  <c r="L95" i="8"/>
  <c r="P150" i="8"/>
  <c r="P154" i="8"/>
  <c r="P149" i="8"/>
  <c r="F147" i="8"/>
  <c r="L147" i="8" s="1"/>
  <c r="J95" i="8"/>
  <c r="L75" i="8"/>
  <c r="J72" i="8"/>
  <c r="L155" i="8"/>
  <c r="G147" i="8"/>
  <c r="F117" i="8"/>
  <c r="F227" i="8"/>
  <c r="F72" i="8"/>
  <c r="E72" i="8"/>
  <c r="G117" i="8"/>
  <c r="G72" i="8"/>
  <c r="L72" i="8"/>
  <c r="Q227" i="8" l="1"/>
  <c r="O227" i="8"/>
  <c r="O117" i="8"/>
  <c r="Q117" i="8"/>
  <c r="Q231" i="8"/>
  <c r="Q70" i="8"/>
  <c r="Q239" i="8"/>
  <c r="Q235" i="8"/>
  <c r="Q63" i="8"/>
  <c r="Q243" i="8"/>
  <c r="O72" i="8"/>
  <c r="O146" i="8"/>
  <c r="M139" i="8"/>
  <c r="Q146" i="8"/>
  <c r="O147" i="8"/>
  <c r="Q147" i="8" s="1"/>
  <c r="O155" i="8"/>
  <c r="Q155" i="8" s="1"/>
  <c r="N227" i="8"/>
  <c r="M95" i="8"/>
  <c r="O95" i="8" s="1"/>
  <c r="O101" i="8"/>
  <c r="Q101" i="8" s="1"/>
  <c r="Q157" i="8"/>
  <c r="Q148" i="8"/>
  <c r="Q150" i="8"/>
  <c r="Q145" i="8"/>
  <c r="Q144" i="8"/>
  <c r="Q152" i="8"/>
  <c r="O75" i="8"/>
  <c r="Q64" i="8"/>
  <c r="N117" i="8"/>
  <c r="P227" i="8"/>
  <c r="P117" i="8"/>
  <c r="P147" i="8"/>
  <c r="J74" i="8"/>
  <c r="D139" i="8"/>
  <c r="P95" i="8"/>
  <c r="G146" i="8"/>
  <c r="L74" i="8"/>
  <c r="D76" i="8"/>
  <c r="F76" i="8"/>
  <c r="E139" i="8"/>
  <c r="E76" i="8"/>
  <c r="G75" i="8"/>
  <c r="P72" i="8"/>
  <c r="P155" i="8"/>
  <c r="G227" i="8"/>
  <c r="F95" i="8"/>
  <c r="P146" i="8"/>
  <c r="P101" i="8"/>
  <c r="P75" i="8"/>
  <c r="G95" i="8"/>
  <c r="G76" i="8"/>
  <c r="J139" i="8"/>
  <c r="J76" i="8"/>
  <c r="Q72" i="8" l="1"/>
  <c r="Q95" i="8"/>
  <c r="Q75" i="8"/>
  <c r="L76" i="8"/>
  <c r="N95" i="8"/>
  <c r="L139" i="8"/>
  <c r="F139" i="8" s="1"/>
  <c r="D77" i="8"/>
  <c r="E77" i="8" s="1"/>
  <c r="J77" i="8"/>
  <c r="F77" i="8"/>
  <c r="G77" i="8" s="1"/>
  <c r="G139" i="8"/>
  <c r="O76" i="8" l="1"/>
  <c r="O139" i="8"/>
  <c r="P76" i="8"/>
  <c r="L77" i="8"/>
  <c r="P139" i="8"/>
  <c r="N139" i="8"/>
  <c r="D78" i="8"/>
  <c r="E78" i="8"/>
  <c r="J78" i="8"/>
  <c r="F78" i="8"/>
  <c r="G78" i="8" s="1"/>
  <c r="Q76" i="8" l="1"/>
  <c r="O77" i="8"/>
  <c r="Q139" i="8"/>
  <c r="D79" i="8"/>
  <c r="P77" i="8"/>
  <c r="E79" i="8"/>
  <c r="L78" i="8"/>
  <c r="F79" i="8"/>
  <c r="J79" i="8"/>
  <c r="G79" i="8"/>
  <c r="O78" i="8" l="1"/>
  <c r="Q77" i="8"/>
  <c r="L79" i="8"/>
  <c r="P78" i="8"/>
  <c r="D80" i="8"/>
  <c r="E80" i="8"/>
  <c r="J80" i="8"/>
  <c r="F80" i="8"/>
  <c r="L80" i="8"/>
  <c r="G80" i="8"/>
  <c r="O79" i="8" l="1"/>
  <c r="Q78" i="8"/>
  <c r="O80" i="8"/>
  <c r="Q80" i="8" s="1"/>
  <c r="D81" i="8"/>
  <c r="F81" i="8"/>
  <c r="E81" i="8"/>
  <c r="P79" i="8"/>
  <c r="P80" i="8"/>
  <c r="J81" i="8"/>
  <c r="G81" i="8"/>
  <c r="Q79" i="8" l="1"/>
  <c r="D82" i="8"/>
  <c r="D87" i="8"/>
  <c r="F82" i="8"/>
  <c r="J87" i="8"/>
  <c r="L81" i="8"/>
  <c r="E82" i="8"/>
  <c r="E87" i="8"/>
  <c r="J82" i="8"/>
  <c r="L82" i="8"/>
  <c r="O81" i="8" l="1"/>
  <c r="O82" i="8"/>
  <c r="Q82" i="8" s="1"/>
  <c r="G82" i="8"/>
  <c r="D162" i="8"/>
  <c r="P82" i="8"/>
  <c r="F87" i="8"/>
  <c r="G87" i="8"/>
  <c r="P81" i="8"/>
  <c r="F162" i="8"/>
  <c r="G162" i="8" s="1"/>
  <c r="J162" i="8"/>
  <c r="E162" i="8"/>
  <c r="D83" i="8"/>
  <c r="J83" i="8" s="1"/>
  <c r="L162" i="8"/>
  <c r="E83" i="8"/>
  <c r="Q81" i="8" l="1"/>
  <c r="O162" i="8"/>
  <c r="Q162" i="8" s="1"/>
  <c r="F83" i="8"/>
  <c r="D165" i="8"/>
  <c r="D173" i="8"/>
  <c r="D163" i="8"/>
  <c r="D174" i="8"/>
  <c r="D179" i="8"/>
  <c r="E163" i="8"/>
  <c r="J174" i="8"/>
  <c r="E179" i="8"/>
  <c r="J163" i="8"/>
  <c r="F174" i="8"/>
  <c r="J179" i="8"/>
  <c r="L174" i="8"/>
  <c r="L87" i="8"/>
  <c r="D182" i="8"/>
  <c r="D166" i="8"/>
  <c r="D170" i="8"/>
  <c r="D169" i="8"/>
  <c r="J182" i="8"/>
  <c r="E170" i="8"/>
  <c r="J166" i="8"/>
  <c r="E173" i="8"/>
  <c r="F170" i="8"/>
  <c r="J169" i="8"/>
  <c r="L170" i="8"/>
  <c r="F182" i="8"/>
  <c r="E166" i="8"/>
  <c r="D167" i="8"/>
  <c r="D180" i="8"/>
  <c r="D168" i="8"/>
  <c r="J168" i="8" s="1"/>
  <c r="D178" i="8"/>
  <c r="F178" i="8" s="1"/>
  <c r="G178" i="8" s="1"/>
  <c r="D177" i="8"/>
  <c r="F177" i="8" s="1"/>
  <c r="D181" i="8"/>
  <c r="J181" i="8" s="1"/>
  <c r="J167" i="8"/>
  <c r="J165" i="8"/>
  <c r="J180" i="8"/>
  <c r="J173" i="8"/>
  <c r="E168" i="8"/>
  <c r="G177" i="8"/>
  <c r="J178" i="8"/>
  <c r="E177" i="8"/>
  <c r="F181" i="8"/>
  <c r="G181" i="8" s="1"/>
  <c r="L181" i="8"/>
  <c r="P162" i="8"/>
  <c r="D172" i="8"/>
  <c r="E172" i="8" s="1"/>
  <c r="D176" i="8"/>
  <c r="J176" i="8" s="1"/>
  <c r="F165" i="8"/>
  <c r="L165" i="8" s="1"/>
  <c r="F173" i="8"/>
  <c r="L173" i="8" s="1"/>
  <c r="D164" i="8"/>
  <c r="D171" i="8"/>
  <c r="D175" i="8"/>
  <c r="E164" i="8"/>
  <c r="J172" i="8"/>
  <c r="E165" i="8"/>
  <c r="E171" i="8"/>
  <c r="F169" i="8"/>
  <c r="G169" i="8" s="1"/>
  <c r="F176" i="8"/>
  <c r="F168" i="8"/>
  <c r="L168" i="8" s="1"/>
  <c r="G165" i="8"/>
  <c r="G173" i="8"/>
  <c r="F163" i="8"/>
  <c r="E178" i="8"/>
  <c r="E174" i="8"/>
  <c r="J177" i="8"/>
  <c r="F179" i="8"/>
  <c r="E181" i="8"/>
  <c r="G174" i="8"/>
  <c r="L179" i="8"/>
  <c r="G83" i="8"/>
  <c r="E182" i="8"/>
  <c r="F172" i="8"/>
  <c r="L172" i="8" s="1"/>
  <c r="F166" i="8"/>
  <c r="G166" i="8" s="1"/>
  <c r="E176" i="8"/>
  <c r="G176" i="8"/>
  <c r="L182" i="8"/>
  <c r="G172" i="8"/>
  <c r="L166" i="8"/>
  <c r="E167" i="8"/>
  <c r="F167" i="8"/>
  <c r="E180" i="8"/>
  <c r="F180" i="8"/>
  <c r="J164" i="8"/>
  <c r="F171" i="8"/>
  <c r="E175" i="8"/>
  <c r="F175" i="8"/>
  <c r="L175" i="8" s="1"/>
  <c r="G163" i="8"/>
  <c r="L167" i="8"/>
  <c r="G180" i="8"/>
  <c r="L180" i="8"/>
  <c r="G171" i="8"/>
  <c r="O87" i="8" l="1"/>
  <c r="O181" i="8"/>
  <c r="Q181" i="8" s="1"/>
  <c r="O168" i="8"/>
  <c r="Q168" i="8" s="1"/>
  <c r="O175" i="8"/>
  <c r="Q175" i="8" s="1"/>
  <c r="O179" i="8"/>
  <c r="Q179" i="8" s="1"/>
  <c r="O173" i="8"/>
  <c r="Q173" i="8" s="1"/>
  <c r="O180" i="8"/>
  <c r="O166" i="8"/>
  <c r="Q166" i="8" s="1"/>
  <c r="O174" i="8"/>
  <c r="Q174" i="8" s="1"/>
  <c r="O165" i="8"/>
  <c r="O170" i="8"/>
  <c r="O172" i="8"/>
  <c r="O167" i="8"/>
  <c r="O182" i="8"/>
  <c r="L171" i="8"/>
  <c r="G179" i="8"/>
  <c r="J175" i="8"/>
  <c r="F164" i="8"/>
  <c r="E169" i="8"/>
  <c r="G175" i="8"/>
  <c r="L177" i="8"/>
  <c r="D88" i="8"/>
  <c r="P173" i="8"/>
  <c r="P179" i="8"/>
  <c r="P182" i="8"/>
  <c r="G168" i="8"/>
  <c r="P87" i="8"/>
  <c r="D84" i="8"/>
  <c r="P165" i="8"/>
  <c r="P174" i="8"/>
  <c r="P167" i="8"/>
  <c r="J88" i="8"/>
  <c r="F88" i="8"/>
  <c r="F84" i="8"/>
  <c r="G88" i="8"/>
  <c r="L84" i="8"/>
  <c r="G167" i="8"/>
  <c r="L163" i="8"/>
  <c r="J171" i="8"/>
  <c r="G170" i="8"/>
  <c r="J170" i="8"/>
  <c r="G182" i="8"/>
  <c r="L169" i="8"/>
  <c r="L83" i="8"/>
  <c r="P168" i="8"/>
  <c r="P166" i="8"/>
  <c r="P181" i="8"/>
  <c r="P172" i="8"/>
  <c r="L176" i="8"/>
  <c r="L178" i="8"/>
  <c r="D89" i="8"/>
  <c r="P170" i="8"/>
  <c r="P175" i="8"/>
  <c r="P180" i="8"/>
  <c r="D44" i="8"/>
  <c r="E44" i="8"/>
  <c r="E88" i="8"/>
  <c r="J84" i="8"/>
  <c r="E84" i="8"/>
  <c r="F89" i="8"/>
  <c r="L88" i="8"/>
  <c r="G84" i="8"/>
  <c r="L89" i="8"/>
  <c r="L164" i="8"/>
  <c r="E89" i="8"/>
  <c r="J89" i="8"/>
  <c r="J44" i="8"/>
  <c r="O164" i="8" l="1"/>
  <c r="O163" i="8"/>
  <c r="O171" i="8"/>
  <c r="O89" i="8"/>
  <c r="O84" i="8"/>
  <c r="O88" i="8"/>
  <c r="O178" i="8"/>
  <c r="O176" i="8"/>
  <c r="O83" i="8"/>
  <c r="O177" i="8"/>
  <c r="O169" i="8"/>
  <c r="M161" i="8"/>
  <c r="Q87" i="8"/>
  <c r="Q180" i="8"/>
  <c r="Q89" i="8"/>
  <c r="Q163" i="8"/>
  <c r="Q182" i="8"/>
  <c r="Q164" i="8"/>
  <c r="Q167" i="8"/>
  <c r="Q178" i="8"/>
  <c r="Q172" i="8"/>
  <c r="Q170" i="8"/>
  <c r="Q165" i="8"/>
  <c r="Q177" i="8"/>
  <c r="Q88" i="8"/>
  <c r="P164" i="8"/>
  <c r="P163" i="8"/>
  <c r="G164" i="8"/>
  <c r="P88" i="8"/>
  <c r="P176" i="8"/>
  <c r="P169" i="8"/>
  <c r="G89" i="8"/>
  <c r="F44" i="8"/>
  <c r="D161" i="8"/>
  <c r="P171" i="8"/>
  <c r="P89" i="8"/>
  <c r="D85" i="8"/>
  <c r="J85" i="8" s="1"/>
  <c r="P83" i="8"/>
  <c r="D35" i="8"/>
  <c r="E35" i="8" s="1"/>
  <c r="P84" i="8"/>
  <c r="P178" i="8"/>
  <c r="P177" i="8"/>
  <c r="J35" i="8"/>
  <c r="E85" i="8"/>
  <c r="F85" i="8"/>
  <c r="L85" i="8" s="1"/>
  <c r="G44" i="8"/>
  <c r="E161" i="8"/>
  <c r="J161" i="8"/>
  <c r="Q171" i="8" l="1"/>
  <c r="O85" i="8"/>
  <c r="Q84" i="8"/>
  <c r="Q169" i="8"/>
  <c r="Q83" i="8"/>
  <c r="Q176" i="8"/>
  <c r="L35" i="8"/>
  <c r="L161" i="8"/>
  <c r="D91" i="8"/>
  <c r="D86" i="8"/>
  <c r="F91" i="8"/>
  <c r="E91" i="8"/>
  <c r="F86" i="8"/>
  <c r="E86" i="8"/>
  <c r="L91" i="8"/>
  <c r="G86" i="8"/>
  <c r="L44" i="8"/>
  <c r="P85" i="8"/>
  <c r="D90" i="8"/>
  <c r="J90" i="8" s="1"/>
  <c r="G85" i="8"/>
  <c r="F35" i="8"/>
  <c r="J91" i="8"/>
  <c r="E90" i="8"/>
  <c r="F90" i="8"/>
  <c r="G90" i="8" s="1"/>
  <c r="J86" i="8"/>
  <c r="G91" i="8"/>
  <c r="L90" i="8"/>
  <c r="L86" i="8"/>
  <c r="F161" i="8"/>
  <c r="G161" i="8"/>
  <c r="O44" i="8" l="1"/>
  <c r="M35" i="8"/>
  <c r="O35" i="8" s="1"/>
  <c r="O161" i="8"/>
  <c r="O86" i="8"/>
  <c r="O90" i="8"/>
  <c r="O91" i="8"/>
  <c r="Q161" i="8"/>
  <c r="Q85" i="8"/>
  <c r="N161" i="8"/>
  <c r="P161" i="8"/>
  <c r="P91" i="8"/>
  <c r="N35" i="8"/>
  <c r="D93" i="8"/>
  <c r="E93" i="8"/>
  <c r="P44" i="8"/>
  <c r="P35" i="8"/>
  <c r="P86" i="8"/>
  <c r="D92" i="8"/>
  <c r="P90" i="8"/>
  <c r="G35" i="8"/>
  <c r="F92" i="8"/>
  <c r="G92" i="8" s="1"/>
  <c r="J93" i="8"/>
  <c r="F93" i="8"/>
  <c r="L93" i="8" s="1"/>
  <c r="L92" i="8"/>
  <c r="E92" i="8"/>
  <c r="J92" i="8"/>
  <c r="Q35" i="8" l="1"/>
  <c r="Q44" i="8"/>
  <c r="O93" i="8"/>
  <c r="O92" i="8"/>
  <c r="Q90" i="8"/>
  <c r="Q91" i="8"/>
  <c r="Q86" i="8"/>
  <c r="G93" i="8"/>
  <c r="D94" i="8"/>
  <c r="J94" i="8"/>
  <c r="P93" i="8"/>
  <c r="P92" i="8"/>
  <c r="F94" i="8"/>
  <c r="G94" i="8" s="1"/>
  <c r="E94" i="8"/>
  <c r="L94" i="8"/>
  <c r="S5" i="8"/>
  <c r="S6" i="8" s="1"/>
  <c r="T5" i="8"/>
  <c r="U5" i="8" s="1"/>
  <c r="M57" i="8" l="1"/>
  <c r="O94" i="8"/>
  <c r="Q92" i="8"/>
  <c r="Q93" i="8"/>
  <c r="U4" i="8"/>
  <c r="T4" i="8"/>
  <c r="S4" i="8"/>
  <c r="P94" i="8"/>
  <c r="D57" i="8"/>
  <c r="J57" i="8" s="1"/>
  <c r="L57" i="8"/>
  <c r="F57" i="8" s="1"/>
  <c r="E57" i="8"/>
  <c r="V5" i="8"/>
  <c r="O57" i="8" l="1"/>
  <c r="Q94" i="8"/>
  <c r="V4" i="8"/>
  <c r="N57" i="8"/>
  <c r="G57" i="8"/>
  <c r="P57" i="8"/>
  <c r="W5" i="8"/>
  <c r="Q57" i="8" l="1"/>
  <c r="W4" i="8"/>
  <c r="L8" i="8"/>
  <c r="F8" i="8"/>
  <c r="G8" i="8" s="1"/>
  <c r="X5" i="8"/>
  <c r="F13" i="10" l="1"/>
  <c r="B14" i="10"/>
  <c r="F14" i="10"/>
  <c r="X4" i="8"/>
  <c r="N8" i="8"/>
  <c r="Y5" i="8"/>
  <c r="Z5" i="8" s="1"/>
  <c r="X6" i="8"/>
  <c r="AA5" i="8"/>
  <c r="AB5" i="8"/>
  <c r="AC5" i="8"/>
  <c r="AD5" i="8"/>
  <c r="AC6" i="8"/>
  <c r="AE5" i="8"/>
  <c r="AF5" i="8"/>
  <c r="AG5" i="8"/>
  <c r="AH5" i="8"/>
  <c r="AH6" i="8"/>
  <c r="AI5" i="8"/>
  <c r="AJ5" i="8" s="1"/>
  <c r="AK5" i="8" s="1"/>
  <c r="AL5" i="8" s="1"/>
  <c r="AM5" i="8" s="1"/>
  <c r="AM6" i="8"/>
  <c r="AN5" i="8"/>
  <c r="AO5" i="8" s="1"/>
  <c r="AP5" i="8" s="1"/>
  <c r="AQ5" i="8" s="1"/>
  <c r="AR5" i="8" s="1"/>
  <c r="AR6" i="8"/>
  <c r="AS5" i="8"/>
  <c r="AT5" i="8" s="1"/>
  <c r="AU5" i="8" s="1"/>
  <c r="AV5" i="8" s="1"/>
  <c r="AW5" i="8" s="1"/>
  <c r="AW6" i="8"/>
  <c r="AX5" i="8"/>
  <c r="AY5" i="8" s="1"/>
  <c r="AZ5" i="8" s="1"/>
  <c r="BA5" i="8" s="1"/>
  <c r="BB5" i="8" s="1"/>
  <c r="BB6" i="8"/>
  <c r="BC5" i="8"/>
  <c r="BD5" i="8" s="1"/>
  <c r="BE5" i="8" s="1"/>
  <c r="BF5" i="8" s="1"/>
  <c r="BG5" i="8" s="1"/>
  <c r="BG6" i="8"/>
  <c r="BH5" i="8"/>
  <c r="BI5" i="8" s="1"/>
  <c r="BJ5" i="8" s="1"/>
  <c r="BK5" i="8" s="1"/>
  <c r="BL5" i="8" s="1"/>
  <c r="BL6" i="8"/>
  <c r="BM5" i="8"/>
  <c r="BN5" i="8" s="1"/>
  <c r="BO5" i="8" s="1"/>
  <c r="BP5" i="8" s="1"/>
  <c r="BQ5" i="8" s="1"/>
  <c r="BQ6" i="8"/>
  <c r="BR5" i="8"/>
  <c r="BS5" i="8" s="1"/>
  <c r="BT5" i="8" s="1"/>
  <c r="BU5" i="8" s="1"/>
  <c r="BV5" i="8" s="1"/>
  <c r="BV6" i="8"/>
  <c r="BW5" i="8"/>
  <c r="BX5" i="8" s="1"/>
  <c r="BY5" i="8" s="1"/>
  <c r="BZ5" i="8" s="1"/>
  <c r="CA5" i="8" s="1"/>
  <c r="CA6" i="8"/>
  <c r="CB5" i="8"/>
  <c r="CC5" i="8" s="1"/>
  <c r="CD5" i="8" s="1"/>
  <c r="CE5" i="8" s="1"/>
  <c r="CF5" i="8" s="1"/>
  <c r="CF6" i="8"/>
  <c r="CG5" i="8"/>
  <c r="CH5" i="8" s="1"/>
  <c r="CI5" i="8" s="1"/>
  <c r="CJ5" i="8" s="1"/>
  <c r="CK5" i="8" s="1"/>
  <c r="CK6" i="8"/>
  <c r="CL5" i="8"/>
  <c r="CM5" i="8" s="1"/>
  <c r="CN5" i="8" s="1"/>
  <c r="CO5" i="8" s="1"/>
  <c r="CP5" i="8" s="1"/>
  <c r="CP6" i="8"/>
  <c r="CQ5" i="8"/>
  <c r="CR5" i="8" s="1"/>
  <c r="CS5" i="8" s="1"/>
  <c r="CT5" i="8" s="1"/>
  <c r="CU5" i="8" s="1"/>
  <c r="CU6" i="8"/>
  <c r="CV5" i="8"/>
  <c r="CW5" i="8" s="1"/>
  <c r="CX5" i="8" s="1"/>
  <c r="CY5" i="8" s="1"/>
  <c r="CZ5" i="8" s="1"/>
  <c r="CZ6" i="8"/>
  <c r="DA5" i="8"/>
  <c r="DB5" i="8" s="1"/>
  <c r="DC5" i="8" s="1"/>
  <c r="DD5" i="8" s="1"/>
  <c r="DE5" i="8" s="1"/>
  <c r="DE6" i="8"/>
  <c r="DF5" i="8"/>
  <c r="DG5" i="8" s="1"/>
  <c r="DH5" i="8" s="1"/>
  <c r="DI5" i="8" s="1"/>
  <c r="DJ5" i="8" s="1"/>
  <c r="DJ6" i="8"/>
  <c r="DK5" i="8"/>
  <c r="DL5" i="8" s="1"/>
  <c r="DM5" i="8" s="1"/>
  <c r="DN5" i="8" s="1"/>
  <c r="DO5" i="8" s="1"/>
  <c r="DO6" i="8"/>
  <c r="DP5" i="8"/>
  <c r="DQ5" i="8" s="1"/>
  <c r="DR5" i="8" s="1"/>
  <c r="DS5" i="8" s="1"/>
  <c r="DT5" i="8" s="1"/>
  <c r="DT6" i="8"/>
  <c r="DU5" i="8"/>
  <c r="DV5" i="8" s="1"/>
  <c r="DW5" i="8" s="1"/>
  <c r="DX5" i="8" s="1"/>
  <c r="DY5" i="8" s="1"/>
  <c r="DY6" i="8"/>
  <c r="DZ5" i="8"/>
  <c r="EA5" i="8" s="1"/>
  <c r="EB5" i="8" s="1"/>
  <c r="EC5" i="8" s="1"/>
  <c r="ED5" i="8" s="1"/>
  <c r="ED6" i="8"/>
  <c r="EE5" i="8"/>
  <c r="EF5" i="8" s="1"/>
  <c r="EG5" i="8" s="1"/>
  <c r="EH5" i="8" s="1"/>
  <c r="EI5" i="8" s="1"/>
  <c r="EI6" i="8"/>
  <c r="EJ5" i="8"/>
  <c r="EK5" i="8" s="1"/>
  <c r="EL5" i="8" s="1"/>
  <c r="EM5" i="8" s="1"/>
  <c r="EN5" i="8" s="1"/>
  <c r="EN6" i="8"/>
  <c r="EO5" i="8"/>
  <c r="EP5" i="8" s="1"/>
  <c r="EQ5" i="8" s="1"/>
  <c r="ER5" i="8" s="1"/>
  <c r="ES5" i="8" s="1"/>
  <c r="ES6" i="8"/>
  <c r="ET5" i="8"/>
  <c r="EU5" i="8" s="1"/>
  <c r="EV5" i="8" s="1"/>
  <c r="EW5" i="8" s="1"/>
  <c r="EX5" i="8" s="1"/>
  <c r="EX6" i="8"/>
  <c r="EY5" i="8"/>
  <c r="EZ5" i="8" s="1"/>
  <c r="FA5" i="8" s="1"/>
  <c r="FB5" i="8" s="1"/>
  <c r="FC5" i="8" s="1"/>
  <c r="FC6" i="8"/>
  <c r="FD5" i="8"/>
  <c r="FE5" i="8" s="1"/>
  <c r="FF5" i="8" s="1"/>
  <c r="FG5" i="8" s="1"/>
  <c r="FH5" i="8" s="1"/>
  <c r="FH6" i="8"/>
  <c r="FI5" i="8"/>
  <c r="FJ5" i="8" s="1"/>
  <c r="FK5" i="8" s="1"/>
  <c r="FL5" i="8" s="1"/>
  <c r="FM5" i="8" s="1"/>
  <c r="FM6" i="8"/>
  <c r="FN5" i="8"/>
  <c r="FO5" i="8" s="1"/>
  <c r="FP5" i="8" s="1"/>
  <c r="FQ5" i="8" s="1"/>
  <c r="FR5" i="8" s="1"/>
  <c r="FR6" i="8"/>
  <c r="FS5" i="8"/>
  <c r="FT5" i="8" s="1"/>
  <c r="FU5" i="8" s="1"/>
  <c r="FV5" i="8" s="1"/>
  <c r="FW5" i="8" s="1"/>
  <c r="FW6" i="8"/>
  <c r="FX5" i="8"/>
  <c r="FY5" i="8" s="1"/>
  <c r="FZ5" i="8" s="1"/>
  <c r="GA5" i="8" s="1"/>
  <c r="GB5" i="8" s="1"/>
  <c r="GB6" i="8"/>
  <c r="GC5" i="8"/>
  <c r="GD5" i="8" s="1"/>
  <c r="GE5" i="8" s="1"/>
  <c r="GF5" i="8" s="1"/>
  <c r="GG5" i="8" s="1"/>
  <c r="GG6" i="8"/>
  <c r="GH5" i="8"/>
  <c r="GI5" i="8" s="1"/>
  <c r="GJ5" i="8" s="1"/>
  <c r="GK5" i="8" s="1"/>
  <c r="GL5" i="8" s="1"/>
  <c r="GL6" i="8"/>
  <c r="GM5" i="8"/>
  <c r="GN5" i="8" s="1"/>
  <c r="GO5" i="8" s="1"/>
  <c r="GP5" i="8" s="1"/>
  <c r="GQ5" i="8" s="1"/>
  <c r="GQ6" i="8"/>
  <c r="GR5" i="8"/>
  <c r="GS5" i="8" s="1"/>
  <c r="GT5" i="8" s="1"/>
  <c r="GU5" i="8" s="1"/>
  <c r="GV5" i="8" s="1"/>
  <c r="GV6" i="8"/>
  <c r="GW5" i="8"/>
  <c r="GX5" i="8" s="1"/>
  <c r="GY5" i="8" s="1"/>
  <c r="GZ5" i="8" s="1"/>
  <c r="HA5" i="8" s="1"/>
  <c r="HA6" i="8"/>
  <c r="HB5" i="8"/>
  <c r="HC5" i="8" s="1"/>
  <c r="HD5" i="8" s="1"/>
  <c r="HE5" i="8" s="1"/>
  <c r="HF5" i="8" s="1"/>
  <c r="HF6" i="8"/>
  <c r="HG5" i="8"/>
  <c r="HH5" i="8" s="1"/>
  <c r="HI5" i="8" s="1"/>
  <c r="HJ5" i="8" s="1"/>
  <c r="HK5" i="8" s="1"/>
  <c r="HK6" i="8"/>
  <c r="HL5" i="8"/>
  <c r="HM5" i="8" s="1"/>
  <c r="HN5" i="8" s="1"/>
  <c r="HO5" i="8" s="1"/>
  <c r="HP5" i="8" s="1"/>
  <c r="HP6" i="8"/>
  <c r="HQ5" i="8"/>
  <c r="HR5" i="8" s="1"/>
  <c r="HS5" i="8" s="1"/>
  <c r="HT5" i="8" s="1"/>
  <c r="HU5" i="8" s="1"/>
  <c r="HU6" i="8"/>
  <c r="HV5" i="8"/>
  <c r="HW5" i="8" s="1"/>
  <c r="HX5" i="8" s="1"/>
  <c r="HY5" i="8" s="1"/>
  <c r="HZ5" i="8" s="1"/>
  <c r="HZ6" i="8"/>
  <c r="IA5" i="8"/>
  <c r="IB5" i="8" s="1"/>
  <c r="IC5" i="8" s="1"/>
  <c r="ID5" i="8" s="1"/>
  <c r="IE5" i="8" s="1"/>
  <c r="IE6" i="8"/>
  <c r="IF5" i="8"/>
  <c r="IG5" i="8" s="1"/>
  <c r="IH5" i="8" s="1"/>
  <c r="II5" i="8" s="1"/>
  <c r="IJ5" i="8" s="1"/>
  <c r="IK5" i="8"/>
  <c r="IL5" i="8" s="1"/>
  <c r="IM5" i="8" s="1"/>
  <c r="IN5" i="8" s="1"/>
  <c r="IO5" i="8" s="1"/>
  <c r="IJ6" i="8"/>
  <c r="IP5" i="8"/>
  <c r="IQ5" i="8" s="1"/>
  <c r="IR5" i="8" s="1"/>
  <c r="IS5" i="8" s="1"/>
  <c r="IT5" i="8" s="1"/>
  <c r="IO6" i="8"/>
  <c r="IT6" i="8"/>
  <c r="IU5" i="8"/>
  <c r="IV5" i="8" s="1"/>
  <c r="IW5" i="8" s="1"/>
  <c r="AG4" i="8" l="1"/>
  <c r="AF4" i="8"/>
  <c r="AE4" i="8"/>
  <c r="AD4" i="8"/>
  <c r="AC4" i="8"/>
  <c r="AB4" i="8"/>
  <c r="AA4" i="8"/>
  <c r="Z4" i="8"/>
  <c r="Y4" i="8"/>
  <c r="IW4" i="8"/>
  <c r="IX5" i="8"/>
  <c r="IV4" i="8"/>
  <c r="C5" i="8"/>
  <c r="IU4" i="8"/>
  <c r="IS4" i="8"/>
  <c r="IR4" i="8"/>
  <c r="IQ4" i="8"/>
  <c r="IP4" i="8"/>
  <c r="IN4" i="8"/>
  <c r="IM4" i="8"/>
  <c r="IL4" i="8"/>
  <c r="IK4" i="8"/>
  <c r="II4" i="8"/>
  <c r="IH4" i="8"/>
  <c r="IG4" i="8"/>
  <c r="IF4" i="8"/>
  <c r="ID4" i="8"/>
  <c r="IC4" i="8"/>
  <c r="IB4" i="8"/>
  <c r="IA4" i="8"/>
  <c r="HY4" i="8"/>
  <c r="HX4" i="8"/>
  <c r="HW4" i="8"/>
  <c r="HV4" i="8"/>
  <c r="HT4" i="8"/>
  <c r="HS4" i="8"/>
  <c r="HR4" i="8"/>
  <c r="HQ4" i="8"/>
  <c r="HO4" i="8"/>
  <c r="HN4" i="8"/>
  <c r="HM4" i="8"/>
  <c r="HL4" i="8"/>
  <c r="HJ4" i="8"/>
  <c r="HI4" i="8"/>
  <c r="HH4" i="8"/>
  <c r="HG4" i="8"/>
  <c r="HE4" i="8"/>
  <c r="HD4" i="8"/>
  <c r="HC4" i="8"/>
  <c r="HB4" i="8"/>
  <c r="GZ4" i="8"/>
  <c r="GY4" i="8"/>
  <c r="GX4" i="8"/>
  <c r="GW4" i="8"/>
  <c r="GU4" i="8"/>
  <c r="GT4" i="8"/>
  <c r="GS4" i="8"/>
  <c r="GR4" i="8"/>
  <c r="GP4" i="8"/>
  <c r="GO4" i="8"/>
  <c r="GN4" i="8"/>
  <c r="GM4" i="8"/>
  <c r="GK4" i="8"/>
  <c r="GJ4" i="8"/>
  <c r="GI4" i="8"/>
  <c r="GH4" i="8"/>
  <c r="GF4" i="8"/>
  <c r="GE4" i="8"/>
  <c r="GD4" i="8"/>
  <c r="GC4" i="8"/>
  <c r="GA4" i="8"/>
  <c r="FZ4" i="8"/>
  <c r="FY4" i="8"/>
  <c r="FX4" i="8"/>
  <c r="FV4" i="8"/>
  <c r="FU4" i="8"/>
  <c r="FT4" i="8"/>
  <c r="FS4" i="8"/>
  <c r="FQ4" i="8"/>
  <c r="FP4" i="8"/>
  <c r="FO4" i="8"/>
  <c r="FN4" i="8"/>
  <c r="FL4" i="8"/>
  <c r="FK4" i="8"/>
  <c r="FJ4" i="8"/>
  <c r="FI4" i="8"/>
  <c r="FG4" i="8"/>
  <c r="FF4" i="8"/>
  <c r="FE4" i="8"/>
  <c r="FD4" i="8"/>
  <c r="FB4" i="8"/>
  <c r="FA4" i="8"/>
  <c r="EZ4" i="8"/>
  <c r="EY4" i="8"/>
  <c r="EW4" i="8"/>
  <c r="EV4" i="8"/>
  <c r="EU4" i="8"/>
  <c r="ET4" i="8"/>
  <c r="ER4" i="8"/>
  <c r="EQ4" i="8"/>
  <c r="EP4" i="8"/>
  <c r="EO4" i="8"/>
  <c r="EM4" i="8"/>
  <c r="EL4" i="8"/>
  <c r="EK4" i="8"/>
  <c r="EJ4" i="8"/>
  <c r="EH4" i="8"/>
  <c r="EG4" i="8"/>
  <c r="EF4" i="8"/>
  <c r="EE4" i="8"/>
  <c r="EC4" i="8"/>
  <c r="EB4" i="8"/>
  <c r="EA4" i="8"/>
  <c r="DZ4" i="8"/>
  <c r="DX4" i="8"/>
  <c r="DW4" i="8"/>
  <c r="DV4" i="8"/>
  <c r="DU4" i="8"/>
  <c r="DS4" i="8"/>
  <c r="DR4" i="8"/>
  <c r="DQ4" i="8"/>
  <c r="DP4" i="8"/>
  <c r="DN4" i="8"/>
  <c r="DM4" i="8"/>
  <c r="DL4" i="8"/>
  <c r="DK4" i="8"/>
  <c r="DI4" i="8"/>
  <c r="DH4" i="8"/>
  <c r="DG4" i="8"/>
  <c r="DF4" i="8"/>
  <c r="DD4" i="8"/>
  <c r="DC4" i="8"/>
  <c r="DB4" i="8"/>
  <c r="DA4" i="8"/>
  <c r="CY4" i="8"/>
  <c r="CX4" i="8"/>
  <c r="CW4" i="8"/>
  <c r="CV4" i="8"/>
  <c r="CT4" i="8"/>
  <c r="CS4" i="8"/>
  <c r="CR4" i="8"/>
  <c r="CQ4" i="8"/>
  <c r="CO4" i="8"/>
  <c r="CN4" i="8"/>
  <c r="CM4" i="8"/>
  <c r="CL4" i="8"/>
  <c r="CJ4" i="8"/>
  <c r="CI4" i="8"/>
  <c r="CH4" i="8"/>
  <c r="CG4" i="8"/>
  <c r="CE4" i="8"/>
  <c r="CD4" i="8"/>
  <c r="CC4" i="8"/>
  <c r="CB4" i="8"/>
  <c r="BZ4" i="8"/>
  <c r="BY4" i="8"/>
  <c r="BX4" i="8"/>
  <c r="BW4" i="8"/>
  <c r="BU4" i="8"/>
  <c r="BT4" i="8"/>
  <c r="BS4" i="8"/>
  <c r="BR4" i="8"/>
  <c r="BP4" i="8"/>
  <c r="BO4" i="8"/>
  <c r="BN4" i="8"/>
  <c r="BM4" i="8"/>
  <c r="BK4" i="8"/>
  <c r="BJ4" i="8"/>
  <c r="BI4" i="8"/>
  <c r="BH4" i="8"/>
  <c r="BF4" i="8"/>
  <c r="BE4" i="8"/>
  <c r="BD4" i="8"/>
  <c r="BC4" i="8"/>
  <c r="BA4" i="8"/>
  <c r="AZ4" i="8"/>
  <c r="AY4" i="8"/>
  <c r="AX4" i="8"/>
  <c r="AV4" i="8"/>
  <c r="AU4" i="8"/>
  <c r="AT4" i="8"/>
  <c r="AS4" i="8"/>
  <c r="AQ4" i="8"/>
  <c r="AP4" i="8"/>
  <c r="AO4" i="8"/>
  <c r="AN4" i="8"/>
  <c r="AL4" i="8"/>
  <c r="AK4" i="8"/>
  <c r="AJ4" i="8"/>
  <c r="AI4" i="8"/>
  <c r="D14" i="10"/>
  <c r="IO4" i="8"/>
  <c r="IE4" i="8"/>
  <c r="HU4" i="8"/>
  <c r="HK4" i="8"/>
  <c r="HA4" i="8"/>
  <c r="GQ4" i="8"/>
  <c r="GG4" i="8"/>
  <c r="FW4" i="8"/>
  <c r="FM4" i="8"/>
  <c r="FC4" i="8"/>
  <c r="ES4" i="8"/>
  <c r="EI4" i="8"/>
  <c r="DY4" i="8"/>
  <c r="DO4" i="8"/>
  <c r="DE4" i="8"/>
  <c r="CU4" i="8"/>
  <c r="CK4" i="8"/>
  <c r="CA4" i="8"/>
  <c r="BQ4" i="8"/>
  <c r="BG4" i="8"/>
  <c r="AW4" i="8"/>
  <c r="AM4" i="8"/>
  <c r="IJ4" i="8"/>
  <c r="HP4" i="8"/>
  <c r="GV4" i="8"/>
  <c r="GB4" i="8"/>
  <c r="FH4" i="8"/>
  <c r="EN4" i="8"/>
  <c r="DT4" i="8"/>
  <c r="CZ4" i="8"/>
  <c r="CF4" i="8"/>
  <c r="BL4" i="8"/>
  <c r="AR4" i="8"/>
  <c r="IT4" i="8"/>
  <c r="HZ4" i="8"/>
  <c r="HF4" i="8"/>
  <c r="GL4" i="8"/>
  <c r="FR4" i="8"/>
  <c r="EX4" i="8"/>
  <c r="ED4" i="8"/>
  <c r="DJ4" i="8"/>
  <c r="CP4" i="8"/>
  <c r="BV4" i="8"/>
  <c r="BB4" i="8"/>
  <c r="AH4" i="8"/>
  <c r="D16" i="8"/>
  <c r="F16" i="8"/>
  <c r="L16" i="8"/>
  <c r="M9" i="8" l="1"/>
  <c r="O9" i="8" l="1"/>
  <c r="M8" i="8"/>
  <c r="P9" i="8"/>
  <c r="Q9" i="8" l="1"/>
  <c r="O8" i="8"/>
  <c r="P8" i="8"/>
  <c r="Q8" i="8" l="1"/>
</calcChain>
</file>

<file path=xl/sharedStrings.xml><?xml version="1.0" encoding="utf-8"?>
<sst xmlns="http://schemas.openxmlformats.org/spreadsheetml/2006/main" count="266" uniqueCount="182">
  <si>
    <t>WBS</t>
  </si>
  <si>
    <t>شروع</t>
  </si>
  <si>
    <t>پایان</t>
  </si>
  <si>
    <t>مدت دوره (روز)</t>
  </si>
  <si>
    <t>% تکمیل</t>
  </si>
  <si>
    <t>روزهای کاری</t>
  </si>
  <si>
    <t>روزهای مانده</t>
  </si>
  <si>
    <t>مدیر پروژه</t>
  </si>
  <si>
    <t>وظیفه</t>
  </si>
  <si>
    <t>شخص</t>
  </si>
  <si>
    <t>میزان کار انجام شده (روز)</t>
  </si>
  <si>
    <t>مناسبت</t>
  </si>
  <si>
    <t>عید نوروز</t>
  </si>
  <si>
    <t>روز جمهوري اسلامي ايران</t>
  </si>
  <si>
    <t>جشن سيزده بدر</t>
  </si>
  <si>
    <t>شهادت حضرت فاطمه زهرا سلام الله عليها </t>
  </si>
  <si>
    <t>ولادت امام علي عليه السلام</t>
  </si>
  <si>
    <t>رحلت حضرت امام خميني</t>
  </si>
  <si>
    <t>قيام 15 خرداد</t>
  </si>
  <si>
    <t>مبعث رسول اكرم </t>
  </si>
  <si>
    <t>ولادت حضرت قائم عجل الله تعالي فرجه و جشن نيمه شعبان </t>
  </si>
  <si>
    <t>شهادت حضرت علي عليه السلام</t>
  </si>
  <si>
    <t>تعطيل به مناسبت عيد سعيد فطر</t>
  </si>
  <si>
    <t>شهادت امام جعفر صادق عليه السلام</t>
  </si>
  <si>
    <t>عيد سعيد قربان</t>
  </si>
  <si>
    <t>عيد سعيد غدير خم</t>
  </si>
  <si>
    <t>تاسوعاي حسيني</t>
  </si>
  <si>
    <t>عاشوراي حسيني</t>
  </si>
  <si>
    <t>اربعين حسيني</t>
  </si>
  <si>
    <t>رحلت رسول اكرم؛شهادت امام حسن مجتبي عليه السلام</t>
  </si>
  <si>
    <t>شهادت امام رضا عليه السلام </t>
  </si>
  <si>
    <t>ميلاد رسول اكرم و امام جعفر صادق عليه السلام</t>
  </si>
  <si>
    <t>پيروزي انقلاب اسلامي</t>
  </si>
  <si>
    <t>روز ملي شدن صنعت نفت ايران</t>
  </si>
  <si>
    <t>date</t>
  </si>
  <si>
    <t>ok</t>
  </si>
  <si>
    <t>Friday</t>
  </si>
  <si>
    <t>month</t>
  </si>
  <si>
    <t>year</t>
  </si>
  <si>
    <t>0</t>
  </si>
  <si>
    <t>روز شروع فعالیت(روز هفته)</t>
  </si>
  <si>
    <t>تعداد روز بعد از فعالیت</t>
  </si>
  <si>
    <t>پیش نیاز فعالیت</t>
  </si>
  <si>
    <t>میزان ساعت مورد نیاز</t>
  </si>
  <si>
    <t>میزان روزهای پیشرفت کار</t>
  </si>
  <si>
    <t>نوع تخصص</t>
  </si>
  <si>
    <t>کد تخصص</t>
  </si>
  <si>
    <t>هزینه نفر ساعت</t>
  </si>
  <si>
    <t>مدیریت پروژه</t>
  </si>
  <si>
    <t>کارشناس ارشد تحلیل</t>
  </si>
  <si>
    <t>کارشناس توسعه و پیاده سازی</t>
  </si>
  <si>
    <t>مجموع</t>
  </si>
  <si>
    <t>گزارش هزینه پروژه</t>
  </si>
  <si>
    <t>نفر / ساعت</t>
  </si>
  <si>
    <t>نفر / ماه</t>
  </si>
  <si>
    <t>کارشناس ارشد تحلیل و طراحی</t>
  </si>
  <si>
    <t>کارشناس پیاده سازی و توسعه سرویس</t>
  </si>
  <si>
    <t>شروع پروژه</t>
  </si>
  <si>
    <t>خاتمه پروژه</t>
  </si>
  <si>
    <t>مدت پروژه</t>
  </si>
  <si>
    <t>تعداد روز کاری</t>
  </si>
  <si>
    <t xml:space="preserve">طی </t>
  </si>
  <si>
    <t>هزینه نفر ماه (ماه * 128)</t>
  </si>
  <si>
    <t>میزان نفر روز (هر روز 6 ساعت)</t>
  </si>
  <si>
    <t>شرح خدمات</t>
  </si>
  <si>
    <t>نیروی انسانی به تفکیک</t>
  </si>
  <si>
    <t>بهای تمام شده خدمات</t>
  </si>
  <si>
    <t>مبلغ قابل پرداخت</t>
  </si>
  <si>
    <t>تهيه برنامه زمانبندي msp  و گانت چارت اجرايي پروژه</t>
  </si>
  <si>
    <t>تحویل نهايي دستاوردهای پروژه</t>
  </si>
  <si>
    <t>میزان تخفیف (همکاری ویژه)</t>
  </si>
  <si>
    <t>هزینه نفر ماه (قرارداد)</t>
  </si>
  <si>
    <t>هفته در حال نمایش :</t>
  </si>
  <si>
    <t>2/21</t>
  </si>
  <si>
    <t>2/22</t>
  </si>
  <si>
    <t>2/23</t>
  </si>
  <si>
    <t>9/21</t>
  </si>
  <si>
    <t>9/22</t>
  </si>
  <si>
    <t>9/23</t>
  </si>
  <si>
    <t>کارفرما</t>
  </si>
  <si>
    <t>انتقال پورتال به دامنه اصلی کارفرما</t>
  </si>
  <si>
    <t xml:space="preserve">ارائه سند نيازمنديهاي شبکه و سخت افزار سرور و نرم افزار های مورد نیاز به کارفرما </t>
  </si>
  <si>
    <t>1398/01/01</t>
  </si>
  <si>
    <t>1398/01/02</t>
  </si>
  <si>
    <t>1398/01/03</t>
  </si>
  <si>
    <t>1398/01/04</t>
  </si>
  <si>
    <t>1398/01/12</t>
  </si>
  <si>
    <t>1398/01/13</t>
  </si>
  <si>
    <t>1398/03/14</t>
  </si>
  <si>
    <t>1398/03/15</t>
  </si>
  <si>
    <t>1398/11/22</t>
  </si>
  <si>
    <t>1398/12/29</t>
  </si>
  <si>
    <t>1398/01/14</t>
  </si>
  <si>
    <t>1398/02/01</t>
  </si>
  <si>
    <t>1398/03/05</t>
  </si>
  <si>
    <t>1398/03/16</t>
  </si>
  <si>
    <t>1398/04/08</t>
  </si>
  <si>
    <t>1398/05/21</t>
  </si>
  <si>
    <t>1398/05/29</t>
  </si>
  <si>
    <t>1398/06/18</t>
  </si>
  <si>
    <t>1398/06/19</t>
  </si>
  <si>
    <t>1398/07/27</t>
  </si>
  <si>
    <t>1398/08/05</t>
  </si>
  <si>
    <t>1398/08/07</t>
  </si>
  <si>
    <t>1398/08/15</t>
  </si>
  <si>
    <t>شهادت امام حسن عسکری علیه السلام</t>
  </si>
  <si>
    <t>1398/08/24</t>
  </si>
  <si>
    <t>1398/11/09</t>
  </si>
  <si>
    <t>1398/12/18</t>
  </si>
  <si>
    <t>مصطفی ابراهیمی مطلق</t>
  </si>
  <si>
    <t>مشترک</t>
  </si>
  <si>
    <t>پیمانکار</t>
  </si>
  <si>
    <t>تدوین سند شناخت وضع جاری</t>
  </si>
  <si>
    <t>معرفی مدیر پروژه کارفرما به پیمانکار</t>
  </si>
  <si>
    <t>اقدامات اجرایی پیکربندی، مدیریت و کاربرد نرم افزار</t>
  </si>
  <si>
    <t>ارائه طرح آموزش و برنامه زمانبندی و مکانی برگزاری جلسات آموزشی</t>
  </si>
  <si>
    <t>مدیریت، برنامه ریزی مالی و کنترل پیشرفت پروژه</t>
  </si>
  <si>
    <t>تنظیم و امضاء صورت جلسه تحویل پروژه</t>
  </si>
  <si>
    <t>پیکربندی ماژول های پست الکترونیک و پیام کوتاه  بر روی سرویس دهنده های پست الکترونیک و پیام کوتاه کارفرما</t>
  </si>
  <si>
    <t xml:space="preserve">تامين و آماده سازي شبکه و زيرساخت سخت افزاری و نرم افزاری مورد نياز (سرور  اصلی و میرور) توسط کارفرما </t>
  </si>
  <si>
    <t>پرداخت پیش پرداخت قرارداد</t>
  </si>
  <si>
    <t>استقرار زيرساخت  وآماده سازی  زیر ساخت نرم افزاری سامان سوئیت</t>
  </si>
  <si>
    <t>راه اندازی کامل زیرپورتال اینترنتی (نسخه فارسی)</t>
  </si>
  <si>
    <t>کانورت مکانیزه اطلاعات</t>
  </si>
  <si>
    <t>اعلام ماژول های محتوایی کارفرما</t>
  </si>
  <si>
    <t>ارایه فایل های اکسل ماژول های محتوایی اعلام شده از طرف کارفرما</t>
  </si>
  <si>
    <t>تکمیل و ارسال اطلاعات</t>
  </si>
  <si>
    <t>تصحیح محتوای درج شده به صورت مکانیزه در زیر ساخت جدید</t>
  </si>
  <si>
    <t>تکمیل محتوای درج شده در وب سایت قبلی حد فاصل زمان انتقال اطلاعات در پورتال جدید</t>
  </si>
  <si>
    <t>ارائه دسترسی راه دور به سرور از طریق (ssh) با حق دسترسی مدیریت</t>
  </si>
  <si>
    <t>نصب و پیکربندی سرور پورتال و زیر ساخت نرم افزاری پایه آن</t>
  </si>
  <si>
    <t>1398/06/31</t>
  </si>
  <si>
    <t>جمع بندی نيازمنديهای فرايند شناخت و تدوین سند معماری محتوا (تدریجی)</t>
  </si>
  <si>
    <t>ارائه سر صفحه اختصاصی زیر پورتال بیمه مسافرتی</t>
  </si>
  <si>
    <t>معرفی نمایندگان کارفرما به تفکیک سطوح کاربری دارای دانش و مهارت های پیش نیاز آموزش نرم افزار</t>
  </si>
  <si>
    <t>برگزاری جلسات آموزش راهبر زیر پورتال (4 ساعت)</t>
  </si>
  <si>
    <t>ارائه خدمات آموزش</t>
  </si>
  <si>
    <t>برگزاری جلسات آموزش زیر ساخت توسعه پذیری نرم افزار (6 ساعت)</t>
  </si>
  <si>
    <t>اعلام نام های کاربری و حقوق دسترسی مورد نیاز هر یک از کاربران و اطلاعات مورد نیاز جهت تنظیم</t>
  </si>
  <si>
    <t>جلسه اول پروژه (معارفه و تحویل زیر ساخت نرم افزاری)</t>
  </si>
  <si>
    <t>معرفی مدیر پروژه پیمانکار به کارفرما پس از ابلاغ قرارداد</t>
  </si>
  <si>
    <t>نصب و پیکربندی نرم افزار سامان سوئیت و سایر نرم افزاری های موضوع قرارداد بر روی سرور</t>
  </si>
  <si>
    <t>تنظیم روال های تهیه نسخه پشتیبان دوره ای از نرم افزار سامان سوئیت</t>
  </si>
  <si>
    <t>تهیه و نگهداری نسخه های پشتیبان نرم افزار سامان سوئیت</t>
  </si>
  <si>
    <t>تحویل نرم افزار نصب شده مطابق با مجوزهای جدول الف و ب پیوست 8 قرارداد بر روی سرور کارفرما به کارفرما</t>
  </si>
  <si>
    <t>ارائه خدمات اجرایی موضوع قرارداد</t>
  </si>
  <si>
    <t>تعریف و اعطای حق دسترسی به کاربران و گروه های کاربری اعلام شده</t>
  </si>
  <si>
    <t>طراحی و پیاده سازی پورتال اینترنتی و زیر پورتال های بیمه سامان</t>
  </si>
  <si>
    <t>برگزاری جلسات آموزش  راهبری و مدیریتی  (9 ساعت)</t>
  </si>
  <si>
    <t>برگزاری جلسات آموزش کاربری(9 ساعت)</t>
  </si>
  <si>
    <t>تحویل راه اندازی کامل زیر پورتال اینترنتی (نسخه فارسی)  (1 روز تست پیمانکار ، 2 روز تست  کارفرما)</t>
  </si>
  <si>
    <t xml:space="preserve">ارائه سر صفحه اختصاصی برای زیر پورتال سهامداران </t>
  </si>
  <si>
    <t>تحویل سرور اصلی  به کارفرما</t>
  </si>
  <si>
    <t>تکمیل پرسش نامه های نیاز سنجی محتوایی و گرافیکی  پورتال اصلی (فارسی)</t>
  </si>
  <si>
    <t xml:space="preserve">ارائه پرسش نامه های نیازسنجی محتوایی و گرافیکی </t>
  </si>
  <si>
    <t>نهایی سازی سر صفحه اختصاصی  برای زیر پورتال سهامداران مطابق نظر کارفرما (اعلام نظر کارفرما : 1 روز کاری و نهایی سازی: 2 روزکاری)</t>
  </si>
  <si>
    <t xml:space="preserve"> بررسی و تایید مستند معماری محتوا توسط کارفرما (تدریجی)</t>
  </si>
  <si>
    <t>نهایی سازی قالب گرافیکی  برای پورتال اینترنتی مطابق نظر کارفرما (اعلام نظر کارفرما: 3 روز کاری، نهایی سازی: 2 روزکاری)</t>
  </si>
  <si>
    <t>تکمیل پرسش نامه های نیاز سنجی محتوایی پورتال سهامداران</t>
  </si>
  <si>
    <t>راه اندازی اولیه زیرپورتال عمر</t>
  </si>
  <si>
    <t>تحویل راه اندازی اولیه زیر پورتال عمر   (1 روز تست پیمانکار ، 2 روز تست  کارفرما)</t>
  </si>
  <si>
    <t>راه اندازی  اولیه زیرپورتال بیمه مسافرتی</t>
  </si>
  <si>
    <t>تحویل راه اندازی اولیه زیر پورتال مسافرتی (1 روز تست پیمانکار ، 2 روز تست  کارفرما)</t>
  </si>
  <si>
    <t>راه اندازی کامل زیر پورتال  نمایندگان</t>
  </si>
  <si>
    <t>تحویل راه اندازی کامل زیر پورتال نمایندگان (1 روز تست پیمانکار ، 2 روز تست  کارفرما)</t>
  </si>
  <si>
    <t>راه اندازی اولیه زیرپورتال سهامداران</t>
  </si>
  <si>
    <t>تحویل راه اندازی اولیه  زیرپورتال سهامداران (1 روز تست پیمانکار ، 2 روز تست  کارفرما)</t>
  </si>
  <si>
    <t>ارائه سر صفحه اختصاصی زیر پورتال نمایندگان</t>
  </si>
  <si>
    <r>
      <t xml:space="preserve">ارائه یک قالب گرافیکی  فارسی  برای </t>
    </r>
    <r>
      <rPr>
        <b/>
        <sz val="8"/>
        <rFont val="B Nazanin"/>
        <charset val="178"/>
      </rPr>
      <t>زیر پورتال اینترنتی(فارسی)</t>
    </r>
  </si>
  <si>
    <r>
      <rPr>
        <b/>
        <sz val="10"/>
        <rFont val="B Nazanin"/>
        <charset val="178"/>
      </rPr>
      <t>راه اندازی اولیه</t>
    </r>
    <r>
      <rPr>
        <sz val="9"/>
        <rFont val="B Nazanin"/>
        <charset val="178"/>
      </rPr>
      <t xml:space="preserve"> زیر پورتال شامل موارد زیر می گردد:
ایجاد زیرپورتال بر اساس ماژولهای منتخب از پورتال اصلی
ایجاد ساختار محتوا و سرفصل های اطلاعاتی
پیاده سازی چیدمان صفحه اصلی
طراحی سرصفحه نمای گرافیکی (منطبق بر طرح پایه)
</t>
    </r>
    <r>
      <rPr>
        <sz val="10"/>
        <rFont val="B Nazanin"/>
        <charset val="178"/>
      </rPr>
      <t>راه اندازی کامل</t>
    </r>
    <r>
      <rPr>
        <sz val="9"/>
        <rFont val="B Nazanin"/>
        <charset val="178"/>
      </rPr>
      <t xml:space="preserve"> زیر پورتال مازاد بر راه اندازی اولیه زیر پورتال شامل موارد زیر می گردد:
تعریف کاربران و تنظیم حقوق دسترسی
ورود اطلاعات محتوا
آموزش راهبر پورتال</t>
    </r>
  </si>
  <si>
    <t>تکمیل پرسش نامه های نیاز سنجی محتوایی پورتال نمایندگان</t>
  </si>
  <si>
    <t>تکمیل پرسش نامه های نیاز سنجی محتوایی پورتال بیمه عمر و سرمایه گزاری</t>
  </si>
  <si>
    <t>تکمیل پرسش نامه های نیاز سنجی محتوایی پورتال  بیمه مسافرتی</t>
  </si>
  <si>
    <t>نهایی سازی سر صفحه اختصاصی زیر پورتال نمایندگان مطابق نظر کارفرما (اعلام نظر کارفرما: 1 روز کاری  و نهایی سازی: 2 روزکاری)</t>
  </si>
  <si>
    <t>ارائه سر صفحه اختصاصی زیر پورتال بیمه عمر و سرمایه گزاری</t>
  </si>
  <si>
    <t>نهایی سازی سر صفحه اختصاصی زیر پورتال بیمه عمر و سرمایه گزاری مطابق نظر کارفرما (اعلام نظر کارفرما : 1 روز کاری و  نهایی سازی: 2 روزکاری)</t>
  </si>
  <si>
    <t>نهایی سازی سر صفحه اختصاصی زیر پورتال بیمه مسافرتی مطابق نظر کارفرما (اعلام نظر کارفرما و نهایی سازی: 2 روزکاری)</t>
  </si>
  <si>
    <t>جلسه دوم پروژه (بررسی واسط کاربری)</t>
  </si>
  <si>
    <t>پرداخت مرحله اول قرارداد</t>
  </si>
  <si>
    <t>جلسه سوم (نهایی سازی واسط کاربری)</t>
  </si>
  <si>
    <t>1.9</t>
  </si>
  <si>
    <t>جلسه چهارم (بررسی سامانه سهامداران)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</si>
</sst>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&quot;ريال&quot;* #,##0.00_-;_-&quot;ريال&quot;* #,##0.00\-;_-&quot;ريال&quot;* &quot;-&quot;??_-;_-@_-"/>
    <numFmt numFmtId="165" formatCode="[h]:mm"/>
    <numFmt numFmtId="166" formatCode="_-[$ريال-429]* #,##0_-;_-[$ريال-429]* #,##0\-;_-[$ريال-429]* &quot;-&quot;??_-;_-@_-"/>
    <numFmt numFmtId="167" formatCode="_-&quot;ريال&quot;* #,##0_-;_-&quot;ريال&quot;* #,##0\-;_-&quot;ريال&quot;* &quot;-&quot;??_-;_-@_-"/>
    <numFmt numFmtId="168" formatCode="0.0"/>
    <numFmt numFmtId="169" formatCode="&quot;ريال&quot;#,##0_-"/>
    <numFmt numFmtId="170" formatCode="[$-F800]dddd\,\ mmmm\ dd\,\ yyyy"/>
  </numFmts>
  <fonts count="34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8"/>
      <name val="B Koodak"/>
      <charset val="178"/>
    </font>
    <font>
      <b/>
      <sz val="14"/>
      <color indexed="16"/>
      <name val="B Koodak"/>
      <charset val="178"/>
    </font>
    <font>
      <sz val="10"/>
      <name val="B Koodak"/>
      <charset val="178"/>
    </font>
    <font>
      <sz val="9"/>
      <name val="B Koodak"/>
      <charset val="178"/>
    </font>
    <font>
      <b/>
      <sz val="8"/>
      <name val="B Koodak"/>
      <charset val="178"/>
    </font>
    <font>
      <sz val="8.6"/>
      <name val="B Koodak"/>
      <charset val="178"/>
    </font>
    <font>
      <sz val="11"/>
      <color theme="1"/>
      <name val="Calibri"/>
      <family val="2"/>
      <scheme val="minor"/>
    </font>
    <font>
      <sz val="12"/>
      <color theme="1"/>
      <name val="B Mitra"/>
      <charset val="178"/>
    </font>
    <font>
      <sz val="11"/>
      <color theme="1"/>
      <name val="B Mitra"/>
      <charset val="178"/>
    </font>
    <font>
      <sz val="8"/>
      <name val="B Mitra"/>
      <charset val="178"/>
    </font>
    <font>
      <sz val="11"/>
      <name val="B Koodak"/>
      <charset val="178"/>
    </font>
    <font>
      <sz val="10"/>
      <name val="Arial"/>
      <family val="2"/>
    </font>
    <font>
      <sz val="8"/>
      <color theme="0"/>
      <name val="B Koodak"/>
      <charset val="178"/>
    </font>
    <font>
      <sz val="11"/>
      <name val="B Mitra"/>
      <charset val="178"/>
    </font>
    <font>
      <b/>
      <sz val="11"/>
      <name val="B Koodak"/>
      <charset val="178"/>
    </font>
    <font>
      <b/>
      <sz val="11"/>
      <name val="B Mitra"/>
      <charset val="178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8"/>
      <name val="B Nazanin"/>
      <charset val="178"/>
    </font>
    <font>
      <sz val="8"/>
      <name val="B Nazanin"/>
      <charset val="178"/>
    </font>
    <font>
      <sz val="11"/>
      <name val="B Nazanin"/>
      <charset val="178"/>
    </font>
    <font>
      <sz val="9"/>
      <name val="B Nazanin"/>
      <charset val="178"/>
    </font>
    <font>
      <b/>
      <sz val="10"/>
      <name val="B Nazanin"/>
      <charset val="178"/>
    </font>
    <font>
      <sz val="10"/>
      <name val="B Nazanin"/>
      <charset val="178"/>
    </font>
    <font>
      <u/>
      <sz val="10"/>
      <color indexed="12"/>
      <name val="B Nazanin"/>
      <charset val="178"/>
    </font>
    <font>
      <b/>
      <sz val="14"/>
      <color indexed="16"/>
      <name val="B Nazanin"/>
      <charset val="178"/>
    </font>
    <font>
      <sz val="9"/>
      <color theme="0"/>
      <name val="B Nazanin"/>
      <charset val="178"/>
    </font>
    <font>
      <b/>
      <sz val="11"/>
      <color indexed="16"/>
      <name val="B Nazanin"/>
      <charset val="178"/>
    </font>
    <font>
      <u/>
      <sz val="8"/>
      <color indexed="12"/>
      <name val="B Nazanin"/>
      <charset val="178"/>
    </font>
    <font>
      <sz val="6"/>
      <name val="B Nazanin"/>
      <charset val="178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FF9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55"/>
      </left>
      <right/>
      <top/>
      <bottom style="medium">
        <color indexed="64"/>
      </bottom>
      <diagonal/>
    </border>
    <border>
      <left/>
      <right style="thin">
        <color indexed="55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0" fillId="0" borderId="0"/>
    <xf numFmtId="164" fontId="15" fillId="0" borderId="0" applyFont="0" applyFill="0" applyBorder="0" applyAlignment="0" applyProtection="0"/>
    <xf numFmtId="0" fontId="10" fillId="0" borderId="0"/>
    <xf numFmtId="0" fontId="20" fillId="0" borderId="0" applyNumberFormat="0" applyFill="0" applyBorder="0" applyAlignment="0" applyProtection="0"/>
    <xf numFmtId="0" fontId="21" fillId="0" borderId="0"/>
  </cellStyleXfs>
  <cellXfs count="397">
    <xf numFmtId="0" fontId="0" fillId="0" borderId="0" xfId="0"/>
    <xf numFmtId="0" fontId="4" fillId="2" borderId="2" xfId="0" applyFont="1" applyFill="1" applyBorder="1"/>
    <xf numFmtId="1" fontId="4" fillId="2" borderId="2" xfId="0" applyNumberFormat="1" applyFont="1" applyFill="1" applyBorder="1"/>
    <xf numFmtId="1" fontId="4" fillId="4" borderId="2" xfId="0" applyNumberFormat="1" applyFont="1" applyFill="1" applyBorder="1" applyAlignment="1">
      <alignment horizontal="center"/>
    </xf>
    <xf numFmtId="1" fontId="4" fillId="2" borderId="2" xfId="0" applyNumberFormat="1" applyFont="1" applyFill="1" applyBorder="1" applyAlignment="1">
      <alignment horizontal="center"/>
    </xf>
    <xf numFmtId="49" fontId="4" fillId="0" borderId="2" xfId="0" applyNumberFormat="1" applyFont="1" applyBorder="1" applyAlignment="1">
      <alignment horizontal="left"/>
    </xf>
    <xf numFmtId="0" fontId="4" fillId="0" borderId="2" xfId="0" applyFont="1" applyFill="1" applyBorder="1" applyAlignment="1">
      <alignment wrapText="1"/>
    </xf>
    <xf numFmtId="0" fontId="4" fillId="0" borderId="2" xfId="0" applyFont="1" applyFill="1" applyBorder="1"/>
    <xf numFmtId="1" fontId="4" fillId="3" borderId="2" xfId="0" applyNumberFormat="1" applyFont="1" applyFill="1" applyBorder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1" fontId="4" fillId="0" borderId="2" xfId="2" applyNumberFormat="1" applyFont="1" applyFill="1" applyBorder="1" applyAlignment="1">
      <alignment horizontal="center"/>
    </xf>
    <xf numFmtId="0" fontId="4" fillId="0" borderId="2" xfId="0" applyFont="1" applyBorder="1"/>
    <xf numFmtId="1" fontId="4" fillId="0" borderId="2" xfId="0" applyNumberFormat="1" applyFont="1" applyFill="1" applyBorder="1"/>
    <xf numFmtId="0" fontId="4" fillId="0" borderId="0" xfId="0" applyFont="1"/>
    <xf numFmtId="1" fontId="4" fillId="5" borderId="2" xfId="2" applyNumberFormat="1" applyFont="1" applyFill="1" applyBorder="1" applyAlignment="1">
      <alignment horizontal="center"/>
    </xf>
    <xf numFmtId="0" fontId="11" fillId="0" borderId="0" xfId="3" applyFont="1" applyFill="1" applyAlignment="1">
      <alignment horizontal="center" vertical="center"/>
    </xf>
    <xf numFmtId="0" fontId="11" fillId="0" borderId="0" xfId="3" applyNumberFormat="1" applyFont="1" applyFill="1" applyAlignment="1">
      <alignment horizontal="center" vertical="center"/>
    </xf>
    <xf numFmtId="0" fontId="11" fillId="0" borderId="0" xfId="3" applyFont="1" applyFill="1" applyAlignment="1">
      <alignment horizontal="right" vertical="center"/>
    </xf>
    <xf numFmtId="0" fontId="12" fillId="0" borderId="0" xfId="3" applyFont="1" applyFill="1" applyAlignment="1">
      <alignment horizontal="right" vertical="center"/>
    </xf>
    <xf numFmtId="1" fontId="13" fillId="0" borderId="2" xfId="0" applyNumberFormat="1" applyFont="1" applyFill="1" applyBorder="1" applyAlignment="1">
      <alignment horizontal="center"/>
    </xf>
    <xf numFmtId="165" fontId="4" fillId="2" borderId="2" xfId="0" applyNumberFormat="1" applyFont="1" applyFill="1" applyBorder="1" applyAlignment="1">
      <alignment horizontal="center"/>
    </xf>
    <xf numFmtId="165" fontId="4" fillId="0" borderId="2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Fill="1" applyBorder="1" applyAlignment="1">
      <alignment horizontal="center" vertical="center" textRotation="90"/>
    </xf>
    <xf numFmtId="0" fontId="4" fillId="0" borderId="0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left"/>
    </xf>
    <xf numFmtId="0" fontId="17" fillId="0" borderId="0" xfId="0" applyFont="1"/>
    <xf numFmtId="166" fontId="17" fillId="0" borderId="0" xfId="4" applyNumberFormat="1" applyFont="1"/>
    <xf numFmtId="166" fontId="4" fillId="0" borderId="2" xfId="4" applyNumberFormat="1" applyFont="1" applyBorder="1" applyAlignment="1">
      <alignment horizontal="center" vertical="center"/>
    </xf>
    <xf numFmtId="167" fontId="6" fillId="0" borderId="0" xfId="4" applyNumberFormat="1" applyFont="1" applyAlignment="1">
      <alignment horizontal="center" vertical="center"/>
    </xf>
    <xf numFmtId="167" fontId="6" fillId="0" borderId="0" xfId="4" applyNumberFormat="1" applyFont="1" applyFill="1" applyBorder="1" applyAlignment="1">
      <alignment horizontal="center" vertical="center"/>
    </xf>
    <xf numFmtId="167" fontId="6" fillId="2" borderId="0" xfId="4" applyNumberFormat="1" applyFont="1" applyFill="1" applyAlignment="1">
      <alignment horizontal="center" vertical="center"/>
    </xf>
    <xf numFmtId="167" fontId="6" fillId="0" borderId="0" xfId="4" applyNumberFormat="1" applyFont="1" applyFill="1" applyBorder="1" applyAlignment="1">
      <alignment horizontal="center" vertical="center" textRotation="90"/>
    </xf>
    <xf numFmtId="167" fontId="4" fillId="0" borderId="0" xfId="4" applyNumberFormat="1" applyFont="1" applyFill="1" applyBorder="1" applyAlignment="1">
      <alignment horizontal="center" vertical="center"/>
    </xf>
    <xf numFmtId="167" fontId="4" fillId="2" borderId="2" xfId="4" applyNumberFormat="1" applyFont="1" applyFill="1" applyBorder="1" applyAlignment="1">
      <alignment horizontal="center" vertical="center"/>
    </xf>
    <xf numFmtId="167" fontId="4" fillId="0" borderId="2" xfId="4" applyNumberFormat="1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167" fontId="17" fillId="0" borderId="0" xfId="4" applyNumberFormat="1" applyFont="1"/>
    <xf numFmtId="0" fontId="4" fillId="0" borderId="0" xfId="0" applyFont="1" applyAlignment="1"/>
    <xf numFmtId="167" fontId="4" fillId="0" borderId="0" xfId="4" applyNumberFormat="1" applyFont="1" applyAlignment="1"/>
    <xf numFmtId="10" fontId="4" fillId="0" borderId="5" xfId="0" applyNumberFormat="1" applyFont="1" applyBorder="1" applyAlignment="1">
      <alignment horizontal="center"/>
    </xf>
    <xf numFmtId="165" fontId="17" fillId="0" borderId="5" xfId="0" applyNumberFormat="1" applyFont="1" applyBorder="1" applyAlignment="1">
      <alignment horizontal="center"/>
    </xf>
    <xf numFmtId="168" fontId="4" fillId="0" borderId="5" xfId="2" applyNumberFormat="1" applyFont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167" fontId="4" fillId="0" borderId="5" xfId="4" applyNumberFormat="1" applyFont="1" applyFill="1" applyBorder="1" applyAlignment="1">
      <alignment horizontal="center"/>
    </xf>
    <xf numFmtId="167" fontId="4" fillId="0" borderId="5" xfId="4" applyNumberFormat="1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166" fontId="17" fillId="0" borderId="5" xfId="4" applyNumberFormat="1" applyFont="1" applyBorder="1" applyAlignment="1">
      <alignment horizontal="center"/>
    </xf>
    <xf numFmtId="167" fontId="17" fillId="0" borderId="5" xfId="4" applyNumberFormat="1" applyFont="1" applyBorder="1" applyAlignment="1">
      <alignment horizontal="center"/>
    </xf>
    <xf numFmtId="2" fontId="4" fillId="0" borderId="0" xfId="0" applyNumberFormat="1" applyFont="1"/>
    <xf numFmtId="2" fontId="17" fillId="0" borderId="0" xfId="0" applyNumberFormat="1" applyFont="1"/>
    <xf numFmtId="1" fontId="4" fillId="0" borderId="0" xfId="0" applyNumberFormat="1" applyFont="1"/>
    <xf numFmtId="0" fontId="4" fillId="2" borderId="2" xfId="0" applyNumberFormat="1" applyFont="1" applyFill="1" applyBorder="1" applyAlignment="1">
      <alignment horizontal="left"/>
    </xf>
    <xf numFmtId="165" fontId="4" fillId="2" borderId="2" xfId="0" applyNumberFormat="1" applyFont="1" applyFill="1" applyBorder="1" applyAlignment="1">
      <alignment horizontal="center" vertical="center"/>
    </xf>
    <xf numFmtId="165" fontId="19" fillId="0" borderId="10" xfId="0" applyNumberFormat="1" applyFont="1" applyBorder="1" applyAlignment="1">
      <alignment horizontal="center"/>
    </xf>
    <xf numFmtId="167" fontId="18" fillId="0" borderId="10" xfId="0" applyNumberFormat="1" applyFont="1" applyBorder="1" applyAlignment="1">
      <alignment horizontal="center"/>
    </xf>
    <xf numFmtId="168" fontId="18" fillId="0" borderId="10" xfId="2" applyNumberFormat="1" applyFont="1" applyBorder="1" applyAlignment="1">
      <alignment horizontal="center"/>
    </xf>
    <xf numFmtId="1" fontId="19" fillId="0" borderId="5" xfId="4" applyNumberFormat="1" applyFont="1" applyBorder="1" applyAlignment="1">
      <alignment horizontal="center" vertical="center"/>
    </xf>
    <xf numFmtId="1" fontId="19" fillId="0" borderId="5" xfId="0" applyNumberFormat="1" applyFont="1" applyBorder="1" applyAlignment="1">
      <alignment horizontal="center" vertical="center"/>
    </xf>
    <xf numFmtId="1" fontId="19" fillId="0" borderId="5" xfId="0" applyNumberFormat="1" applyFont="1" applyBorder="1" applyAlignment="1">
      <alignment horizontal="center" readingOrder="2"/>
    </xf>
    <xf numFmtId="167" fontId="4" fillId="0" borderId="2" xfId="4" applyNumberFormat="1" applyFont="1" applyBorder="1" applyAlignment="1">
      <alignment horizontal="center" readingOrder="2"/>
    </xf>
    <xf numFmtId="1" fontId="19" fillId="0" borderId="0" xfId="0" applyNumberFormat="1" applyFont="1" applyBorder="1" applyAlignment="1">
      <alignment horizontal="center" readingOrder="2"/>
    </xf>
    <xf numFmtId="164" fontId="17" fillId="0" borderId="0" xfId="4" applyFont="1"/>
    <xf numFmtId="164" fontId="17" fillId="0" borderId="5" xfId="4" applyFont="1" applyBorder="1"/>
    <xf numFmtId="167" fontId="4" fillId="0" borderId="5" xfId="4" applyNumberFormat="1" applyFont="1" applyBorder="1"/>
    <xf numFmtId="167" fontId="18" fillId="0" borderId="5" xfId="4" applyNumberFormat="1" applyFont="1" applyBorder="1"/>
    <xf numFmtId="166" fontId="17" fillId="0" borderId="5" xfId="0" applyNumberFormat="1" applyFont="1" applyBorder="1" applyAlignment="1"/>
    <xf numFmtId="164" fontId="4" fillId="0" borderId="5" xfId="4" applyFont="1" applyBorder="1" applyAlignment="1">
      <alignment horizontal="center"/>
    </xf>
    <xf numFmtId="0" fontId="4" fillId="0" borderId="2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165" fontId="0" fillId="0" borderId="0" xfId="0" applyNumberFormat="1"/>
    <xf numFmtId="169" fontId="0" fillId="0" borderId="0" xfId="0" applyNumberFormat="1" applyAlignment="1">
      <alignment horizontal="center" readingOrder="2"/>
    </xf>
    <xf numFmtId="9" fontId="0" fillId="0" borderId="0" xfId="2" applyFont="1"/>
    <xf numFmtId="0" fontId="4" fillId="0" borderId="14" xfId="0" applyFont="1" applyFill="1" applyBorder="1" applyAlignment="1">
      <alignment horizontal="right" wrapText="1"/>
    </xf>
    <xf numFmtId="165" fontId="6" fillId="0" borderId="14" xfId="0" applyNumberFormat="1" applyFont="1" applyFill="1" applyBorder="1" applyAlignment="1">
      <alignment horizontal="center" vertical="center" wrapText="1"/>
    </xf>
    <xf numFmtId="166" fontId="17" fillId="0" borderId="14" xfId="4" applyNumberFormat="1" applyFont="1" applyBorder="1" applyAlignment="1">
      <alignment horizontal="center" vertical="center"/>
    </xf>
    <xf numFmtId="9" fontId="4" fillId="0" borderId="5" xfId="2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vertical="center" textRotation="90" wrapText="1"/>
    </xf>
    <xf numFmtId="167" fontId="0" fillId="0" borderId="0" xfId="0" applyNumberFormat="1"/>
    <xf numFmtId="0" fontId="4" fillId="0" borderId="0" xfId="0" applyFont="1" applyFill="1" applyBorder="1" applyAlignment="1">
      <alignment horizontal="center" wrapText="1"/>
    </xf>
    <xf numFmtId="9" fontId="4" fillId="0" borderId="0" xfId="2" applyFont="1" applyFill="1" applyBorder="1" applyAlignment="1">
      <alignment horizontal="center" vertical="center" wrapText="1"/>
    </xf>
    <xf numFmtId="166" fontId="17" fillId="0" borderId="16" xfId="4" applyNumberFormat="1" applyFont="1" applyBorder="1" applyAlignment="1">
      <alignment horizontal="center" vertical="center"/>
    </xf>
    <xf numFmtId="167" fontId="18" fillId="0" borderId="5" xfId="0" applyNumberFormat="1" applyFont="1" applyBorder="1" applyAlignment="1">
      <alignment horizontal="center"/>
    </xf>
    <xf numFmtId="0" fontId="4" fillId="0" borderId="16" xfId="0" applyFont="1" applyFill="1" applyBorder="1" applyAlignment="1">
      <alignment horizontal="right" wrapText="1"/>
    </xf>
    <xf numFmtId="165" fontId="6" fillId="0" borderId="16" xfId="0" applyNumberFormat="1" applyFont="1" applyFill="1" applyBorder="1" applyAlignment="1">
      <alignment horizontal="center" vertical="center" wrapText="1"/>
    </xf>
    <xf numFmtId="0" fontId="18" fillId="0" borderId="5" xfId="0" applyFont="1" applyFill="1" applyBorder="1" applyAlignment="1">
      <alignment horizontal="right" wrapText="1"/>
    </xf>
    <xf numFmtId="165" fontId="6" fillId="0" borderId="5" xfId="0" applyNumberFormat="1" applyFont="1" applyFill="1" applyBorder="1" applyAlignment="1">
      <alignment horizontal="center" vertical="center" wrapText="1"/>
    </xf>
    <xf numFmtId="165" fontId="0" fillId="0" borderId="5" xfId="0" applyNumberFormat="1" applyBorder="1"/>
    <xf numFmtId="0" fontId="16" fillId="0" borderId="0" xfId="0" applyFont="1" applyFill="1" applyBorder="1" applyAlignment="1">
      <alignment horizontal="center" wrapText="1"/>
    </xf>
    <xf numFmtId="166" fontId="4" fillId="0" borderId="5" xfId="0" applyNumberFormat="1" applyFont="1" applyBorder="1" applyAlignment="1">
      <alignment horizontal="center"/>
    </xf>
    <xf numFmtId="167" fontId="4" fillId="0" borderId="5" xfId="0" applyNumberFormat="1" applyFont="1" applyBorder="1" applyAlignment="1">
      <alignment horizontal="center"/>
    </xf>
    <xf numFmtId="170" fontId="4" fillId="0" borderId="0" xfId="0" applyNumberFormat="1" applyFont="1"/>
    <xf numFmtId="49" fontId="17" fillId="0" borderId="0" xfId="4" applyNumberFormat="1" applyFont="1"/>
    <xf numFmtId="9" fontId="4" fillId="0" borderId="2" xfId="2" applyFont="1" applyFill="1" applyBorder="1" applyAlignment="1">
      <alignment wrapText="1"/>
    </xf>
    <xf numFmtId="9" fontId="4" fillId="0" borderId="2" xfId="0" applyNumberFormat="1" applyFont="1" applyFill="1" applyBorder="1" applyAlignment="1">
      <alignment wrapText="1"/>
    </xf>
    <xf numFmtId="0" fontId="16" fillId="0" borderId="2" xfId="0" applyFont="1" applyFill="1" applyBorder="1" applyAlignment="1">
      <alignment wrapText="1"/>
    </xf>
    <xf numFmtId="0" fontId="4" fillId="2" borderId="2" xfId="0" applyFont="1" applyFill="1" applyBorder="1" applyAlignment="1" applyProtection="1">
      <alignment horizontal="right" wrapText="1" indent="1"/>
      <protection locked="0"/>
    </xf>
    <xf numFmtId="0" fontId="4" fillId="2" borderId="2" xfId="0" applyFont="1" applyFill="1" applyBorder="1" applyProtection="1">
      <protection locked="0"/>
    </xf>
    <xf numFmtId="1" fontId="4" fillId="2" borderId="2" xfId="0" applyNumberFormat="1" applyFont="1" applyFill="1" applyBorder="1" applyProtection="1">
      <protection locked="0"/>
    </xf>
    <xf numFmtId="0" fontId="4" fillId="2" borderId="2" xfId="0" applyNumberFormat="1" applyFont="1" applyFill="1" applyBorder="1" applyProtection="1">
      <protection locked="0"/>
    </xf>
    <xf numFmtId="0" fontId="4" fillId="0" borderId="2" xfId="0" applyFont="1" applyFill="1" applyBorder="1" applyAlignment="1" applyProtection="1">
      <alignment horizontal="right" wrapText="1" indent="1"/>
      <protection locked="0"/>
    </xf>
    <xf numFmtId="0" fontId="4" fillId="0" borderId="2" xfId="0" applyFont="1" applyFill="1" applyBorder="1" applyProtection="1">
      <protection locked="0"/>
    </xf>
    <xf numFmtId="1" fontId="4" fillId="0" borderId="2" xfId="0" applyNumberFormat="1" applyFont="1" applyFill="1" applyBorder="1" applyAlignment="1" applyProtection="1">
      <alignment horizontal="center"/>
      <protection locked="0"/>
    </xf>
    <xf numFmtId="1" fontId="4" fillId="0" borderId="2" xfId="0" applyNumberFormat="1" applyFont="1" applyFill="1" applyBorder="1" applyProtection="1">
      <protection locked="0"/>
    </xf>
    <xf numFmtId="0" fontId="4" fillId="0" borderId="2" xfId="0" applyNumberFormat="1" applyFont="1" applyFill="1" applyBorder="1" applyProtection="1">
      <protection locked="0"/>
    </xf>
    <xf numFmtId="9" fontId="4" fillId="3" borderId="2" xfId="2" applyFont="1" applyFill="1" applyBorder="1" applyAlignment="1" applyProtection="1">
      <alignment horizontal="center"/>
      <protection locked="0"/>
    </xf>
    <xf numFmtId="165" fontId="4" fillId="0" borderId="2" xfId="0" applyNumberFormat="1" applyFont="1" applyBorder="1" applyAlignment="1" applyProtection="1">
      <alignment horizontal="center" vertical="center"/>
      <protection locked="0"/>
    </xf>
    <xf numFmtId="0" fontId="4" fillId="0" borderId="2" xfId="0" applyFont="1" applyBorder="1" applyProtection="1">
      <protection locked="0"/>
    </xf>
    <xf numFmtId="1" fontId="4" fillId="8" borderId="2" xfId="0" applyNumberFormat="1" applyFont="1" applyFill="1" applyBorder="1" applyProtection="1">
      <protection locked="0"/>
    </xf>
    <xf numFmtId="0" fontId="4" fillId="8" borderId="2" xfId="0" applyNumberFormat="1" applyFont="1" applyFill="1" applyBorder="1" applyProtection="1">
      <protection locked="0"/>
    </xf>
    <xf numFmtId="0" fontId="4" fillId="0" borderId="2" xfId="0" applyFont="1" applyFill="1" applyBorder="1" applyAlignment="1" applyProtection="1">
      <alignment wrapText="1"/>
      <protection locked="0"/>
    </xf>
    <xf numFmtId="20" fontId="4" fillId="0" borderId="2" xfId="0" applyNumberFormat="1" applyFont="1" applyBorder="1" applyProtection="1">
      <protection locked="0"/>
    </xf>
    <xf numFmtId="165" fontId="4" fillId="0" borderId="2" xfId="0" applyNumberFormat="1" applyFont="1" applyBorder="1" applyProtection="1">
      <protection locked="0"/>
    </xf>
    <xf numFmtId="0" fontId="5" fillId="2" borderId="0" xfId="0" applyFont="1" applyFill="1" applyAlignment="1" applyProtection="1">
      <alignment vertical="center"/>
    </xf>
    <xf numFmtId="165" fontId="5" fillId="0" borderId="0" xfId="0" applyNumberFormat="1" applyFont="1" applyFill="1" applyAlignment="1" applyProtection="1">
      <alignment horizontal="center" vertical="center"/>
    </xf>
    <xf numFmtId="0" fontId="6" fillId="0" borderId="0" xfId="0" applyFont="1" applyProtection="1"/>
    <xf numFmtId="0" fontId="6" fillId="0" borderId="0" xfId="0" applyFont="1" applyFill="1" applyBorder="1" applyProtection="1"/>
    <xf numFmtId="0" fontId="6" fillId="0" borderId="0" xfId="0" applyFont="1" applyBorder="1" applyAlignment="1" applyProtection="1">
      <alignment horizontal="left"/>
    </xf>
    <xf numFmtId="0" fontId="6" fillId="0" borderId="0" xfId="0" applyNumberFormat="1" applyFont="1" applyBorder="1" applyAlignment="1" applyProtection="1">
      <alignment horizontal="left"/>
    </xf>
    <xf numFmtId="165" fontId="6" fillId="0" borderId="0" xfId="0" applyNumberFormat="1" applyFont="1" applyBorder="1" applyAlignment="1" applyProtection="1">
      <alignment horizontal="center"/>
    </xf>
    <xf numFmtId="0" fontId="6" fillId="0" borderId="0" xfId="0" applyFont="1" applyAlignment="1" applyProtection="1"/>
    <xf numFmtId="14" fontId="4" fillId="0" borderId="0" xfId="0" applyNumberFormat="1" applyFont="1" applyBorder="1" applyAlignment="1" applyProtection="1">
      <alignment horizontal="left"/>
    </xf>
    <xf numFmtId="14" fontId="7" fillId="0" borderId="0" xfId="0" applyNumberFormat="1" applyFont="1" applyBorder="1" applyAlignment="1" applyProtection="1">
      <alignment horizontal="left"/>
    </xf>
    <xf numFmtId="165" fontId="7" fillId="0" borderId="0" xfId="0" applyNumberFormat="1" applyFont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4" fontId="4" fillId="0" borderId="0" xfId="0" applyNumberFormat="1" applyFont="1" applyBorder="1" applyAlignment="1" applyProtection="1">
      <alignment horizontal="center"/>
    </xf>
    <xf numFmtId="14" fontId="4" fillId="0" borderId="0" xfId="0" applyNumberFormat="1" applyFont="1" applyAlignment="1" applyProtection="1">
      <alignment horizontal="left"/>
    </xf>
    <xf numFmtId="0" fontId="4" fillId="0" borderId="0" xfId="0" applyNumberFormat="1" applyFont="1" applyAlignment="1" applyProtection="1">
      <alignment horizontal="left"/>
    </xf>
    <xf numFmtId="14" fontId="14" fillId="0" borderId="0" xfId="0" applyNumberFormat="1" applyFont="1" applyAlignment="1" applyProtection="1">
      <alignment horizontal="center"/>
    </xf>
    <xf numFmtId="165" fontId="4" fillId="0" borderId="0" xfId="0" applyNumberFormat="1" applyFont="1" applyBorder="1" applyAlignment="1" applyProtection="1">
      <alignment horizontal="center"/>
    </xf>
    <xf numFmtId="0" fontId="6" fillId="0" borderId="17" xfId="0" applyFont="1" applyBorder="1" applyAlignment="1" applyProtection="1">
      <alignment horizontal="right" indent="1"/>
    </xf>
    <xf numFmtId="14" fontId="6" fillId="0" borderId="0" xfId="0" applyNumberFormat="1" applyFont="1" applyBorder="1" applyAlignment="1" applyProtection="1">
      <alignment horizontal="left"/>
    </xf>
    <xf numFmtId="14" fontId="6" fillId="0" borderId="0" xfId="0" applyNumberFormat="1" applyFont="1" applyBorder="1" applyAlignment="1" applyProtection="1">
      <alignment horizontal="center"/>
    </xf>
    <xf numFmtId="0" fontId="6" fillId="0" borderId="0" xfId="0" applyNumberFormat="1" applyFont="1" applyAlignment="1" applyProtection="1">
      <alignment horizontal="right"/>
    </xf>
    <xf numFmtId="14" fontId="6" fillId="0" borderId="0" xfId="0" applyNumberFormat="1" applyFont="1" applyFill="1" applyProtection="1"/>
    <xf numFmtId="0" fontId="8" fillId="0" borderId="1" xfId="0" applyFont="1" applyBorder="1" applyAlignment="1" applyProtection="1">
      <alignment horizontal="center"/>
    </xf>
    <xf numFmtId="165" fontId="8" fillId="0" borderId="1" xfId="0" applyNumberFormat="1" applyFont="1" applyBorder="1" applyAlignment="1" applyProtection="1">
      <alignment horizontal="center" textRotation="90"/>
    </xf>
    <xf numFmtId="0" fontId="6" fillId="0" borderId="1" xfId="0" applyFont="1" applyBorder="1" applyAlignment="1" applyProtection="1">
      <alignment horizontal="center" textRotation="90"/>
    </xf>
    <xf numFmtId="0" fontId="9" fillId="0" borderId="1" xfId="0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6" fillId="0" borderId="1" xfId="0" applyFont="1" applyBorder="1" applyAlignment="1" applyProtection="1"/>
    <xf numFmtId="49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right" indent="1"/>
    </xf>
    <xf numFmtId="0" fontId="4" fillId="0" borderId="0" xfId="0" applyFont="1" applyFill="1" applyBorder="1" applyProtection="1"/>
    <xf numFmtId="0" fontId="4" fillId="0" borderId="0" xfId="0" applyFont="1" applyFill="1" applyBorder="1" applyAlignment="1" applyProtection="1">
      <alignment horizontal="center"/>
    </xf>
    <xf numFmtId="0" fontId="4" fillId="0" borderId="0" xfId="0" applyNumberFormat="1" applyFont="1" applyFill="1" applyBorder="1" applyProtection="1"/>
    <xf numFmtId="0" fontId="14" fillId="0" borderId="0" xfId="0" applyFont="1" applyFill="1" applyBorder="1" applyAlignment="1" applyProtection="1">
      <alignment horizontal="center"/>
    </xf>
    <xf numFmtId="165" fontId="4" fillId="0" borderId="0" xfId="0" applyNumberFormat="1" applyFont="1" applyFill="1" applyBorder="1" applyAlignment="1" applyProtection="1">
      <alignment horizontal="center"/>
    </xf>
    <xf numFmtId="0" fontId="4" fillId="6" borderId="2" xfId="0" applyFont="1" applyFill="1" applyBorder="1" applyProtection="1"/>
    <xf numFmtId="1" fontId="4" fillId="6" borderId="2" xfId="0" applyNumberFormat="1" applyFont="1" applyFill="1" applyBorder="1" applyAlignment="1" applyProtection="1">
      <alignment horizontal="center"/>
    </xf>
    <xf numFmtId="1" fontId="4" fillId="6" borderId="2" xfId="0" applyNumberFormat="1" applyFont="1" applyFill="1" applyBorder="1" applyProtection="1"/>
    <xf numFmtId="165" fontId="4" fillId="6" borderId="2" xfId="0" applyNumberFormat="1" applyFont="1" applyFill="1" applyBorder="1" applyAlignment="1" applyProtection="1">
      <alignment horizontal="center"/>
    </xf>
    <xf numFmtId="1" fontId="4" fillId="6" borderId="2" xfId="2" applyNumberFormat="1" applyFont="1" applyFill="1" applyBorder="1" applyAlignment="1" applyProtection="1">
      <alignment horizontal="center"/>
    </xf>
    <xf numFmtId="1" fontId="4" fillId="5" borderId="2" xfId="2" applyNumberFormat="1" applyFont="1" applyFill="1" applyBorder="1" applyAlignment="1" applyProtection="1">
      <alignment horizontal="center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center"/>
    </xf>
    <xf numFmtId="1" fontId="4" fillId="2" borderId="2" xfId="0" applyNumberFormat="1" applyFont="1" applyFill="1" applyBorder="1" applyAlignment="1" applyProtection="1">
      <alignment horizontal="center"/>
    </xf>
    <xf numFmtId="1" fontId="4" fillId="2" borderId="2" xfId="0" applyNumberFormat="1" applyFont="1" applyFill="1" applyBorder="1" applyProtection="1"/>
    <xf numFmtId="165" fontId="4" fillId="2" borderId="2" xfId="0" applyNumberFormat="1" applyFont="1" applyFill="1" applyBorder="1" applyAlignment="1" applyProtection="1">
      <alignment horizontal="center"/>
    </xf>
    <xf numFmtId="1" fontId="4" fillId="4" borderId="2" xfId="0" applyNumberFormat="1" applyFont="1" applyFill="1" applyBorder="1" applyAlignment="1" applyProtection="1">
      <alignment horizontal="center"/>
    </xf>
    <xf numFmtId="9" fontId="4" fillId="4" borderId="2" xfId="2" applyFont="1" applyFill="1" applyBorder="1" applyAlignment="1" applyProtection="1">
      <alignment horizontal="center"/>
    </xf>
    <xf numFmtId="1" fontId="4" fillId="5" borderId="2" xfId="0" applyNumberFormat="1" applyFont="1" applyFill="1" applyBorder="1" applyAlignment="1" applyProtection="1">
      <alignment horizontal="center"/>
    </xf>
    <xf numFmtId="49" fontId="4" fillId="0" borderId="2" xfId="0" applyNumberFormat="1" applyFont="1" applyBorder="1" applyAlignment="1" applyProtection="1">
      <alignment horizontal="left"/>
    </xf>
    <xf numFmtId="0" fontId="4" fillId="0" borderId="2" xfId="0" applyFont="1" applyFill="1" applyBorder="1" applyProtection="1"/>
    <xf numFmtId="0" fontId="4" fillId="0" borderId="2" xfId="0" applyFont="1" applyFill="1" applyBorder="1" applyAlignment="1" applyProtection="1">
      <alignment horizontal="center"/>
    </xf>
    <xf numFmtId="1" fontId="4" fillId="0" borderId="2" xfId="0" applyNumberFormat="1" applyFont="1" applyFill="1" applyBorder="1" applyAlignment="1" applyProtection="1">
      <alignment horizontal="center"/>
    </xf>
    <xf numFmtId="1" fontId="4" fillId="0" borderId="2" xfId="0" applyNumberFormat="1" applyFont="1" applyFill="1" applyBorder="1" applyProtection="1"/>
    <xf numFmtId="165" fontId="4" fillId="0" borderId="2" xfId="0" applyNumberFormat="1" applyFont="1" applyFill="1" applyBorder="1" applyAlignment="1" applyProtection="1">
      <alignment horizontal="center"/>
    </xf>
    <xf numFmtId="1" fontId="4" fillId="3" borderId="2" xfId="0" applyNumberFormat="1" applyFont="1" applyFill="1" applyBorder="1" applyAlignment="1" applyProtection="1">
      <alignment horizontal="center"/>
    </xf>
    <xf numFmtId="1" fontId="4" fillId="0" borderId="2" xfId="2" applyNumberFormat="1" applyFont="1" applyFill="1" applyBorder="1" applyAlignment="1" applyProtection="1">
      <alignment horizontal="center"/>
    </xf>
    <xf numFmtId="0" fontId="4" fillId="0" borderId="2" xfId="0" applyNumberFormat="1" applyFont="1" applyBorder="1" applyAlignment="1" applyProtection="1">
      <alignment horizontal="left"/>
    </xf>
    <xf numFmtId="165" fontId="6" fillId="0" borderId="0" xfId="0" applyNumberFormat="1" applyFont="1" applyAlignment="1" applyProtection="1">
      <alignment horizontal="center" vertical="center"/>
    </xf>
    <xf numFmtId="167" fontId="6" fillId="0" borderId="0" xfId="4" applyNumberFormat="1" applyFont="1" applyAlignment="1" applyProtection="1">
      <alignment horizontal="center" readingOrder="2"/>
    </xf>
    <xf numFmtId="165" fontId="6" fillId="0" borderId="0" xfId="0" applyNumberFormat="1" applyFont="1" applyFill="1" applyBorder="1" applyAlignment="1" applyProtection="1">
      <alignment horizontal="center" vertical="center"/>
    </xf>
    <xf numFmtId="167" fontId="6" fillId="0" borderId="0" xfId="4" applyNumberFormat="1" applyFont="1" applyFill="1" applyBorder="1" applyAlignment="1" applyProtection="1">
      <alignment horizontal="center" readingOrder="2"/>
    </xf>
    <xf numFmtId="165" fontId="6" fillId="2" borderId="0" xfId="0" applyNumberFormat="1" applyFont="1" applyFill="1" applyAlignment="1" applyProtection="1">
      <alignment horizontal="center" vertical="center"/>
    </xf>
    <xf numFmtId="167" fontId="6" fillId="2" borderId="0" xfId="4" applyNumberFormat="1" applyFont="1" applyFill="1" applyAlignment="1" applyProtection="1">
      <alignment horizontal="center" readingOrder="2"/>
    </xf>
    <xf numFmtId="0" fontId="6" fillId="2" borderId="0" xfId="0" applyFont="1" applyFill="1" applyProtection="1"/>
    <xf numFmtId="165" fontId="4" fillId="0" borderId="0" xfId="0" applyNumberFormat="1" applyFont="1" applyFill="1" applyBorder="1" applyAlignment="1" applyProtection="1">
      <alignment horizontal="center" vertical="center" textRotation="90"/>
    </xf>
    <xf numFmtId="0" fontId="6" fillId="0" borderId="0" xfId="0" applyFont="1" applyFill="1" applyBorder="1" applyAlignment="1" applyProtection="1"/>
    <xf numFmtId="165" fontId="4" fillId="0" borderId="0" xfId="0" applyNumberFormat="1" applyFont="1" applyFill="1" applyBorder="1" applyAlignment="1" applyProtection="1">
      <alignment horizontal="center" vertical="center"/>
    </xf>
    <xf numFmtId="167" fontId="4" fillId="0" borderId="0" xfId="4" applyNumberFormat="1" applyFont="1" applyFill="1" applyBorder="1" applyAlignment="1" applyProtection="1">
      <alignment horizontal="center" readingOrder="2"/>
    </xf>
    <xf numFmtId="165" fontId="4" fillId="2" borderId="2" xfId="0" applyNumberFormat="1" applyFont="1" applyFill="1" applyBorder="1" applyAlignment="1" applyProtection="1">
      <alignment horizontal="center" vertical="center"/>
    </xf>
    <xf numFmtId="167" fontId="4" fillId="2" borderId="2" xfId="4" applyNumberFormat="1" applyFont="1" applyFill="1" applyBorder="1" applyAlignment="1" applyProtection="1">
      <alignment horizontal="center" readingOrder="2"/>
    </xf>
    <xf numFmtId="167" fontId="17" fillId="0" borderId="0" xfId="4" applyNumberFormat="1" applyFont="1" applyBorder="1" applyAlignment="1" applyProtection="1">
      <alignment horizontal="center" readingOrder="2"/>
    </xf>
    <xf numFmtId="0" fontId="4" fillId="0" borderId="2" xfId="0" applyFont="1" applyBorder="1" applyProtection="1"/>
    <xf numFmtId="167" fontId="4" fillId="0" borderId="2" xfId="4" applyNumberFormat="1" applyFont="1" applyBorder="1" applyAlignment="1" applyProtection="1">
      <alignment horizontal="center" readingOrder="2"/>
    </xf>
    <xf numFmtId="0" fontId="4" fillId="2" borderId="2" xfId="0" applyNumberFormat="1" applyFont="1" applyFill="1" applyBorder="1" applyAlignment="1" applyProtection="1">
      <alignment horizontal="left"/>
    </xf>
    <xf numFmtId="165" fontId="4" fillId="2" borderId="2" xfId="4" applyNumberFormat="1" applyFont="1" applyFill="1" applyBorder="1" applyAlignment="1" applyProtection="1">
      <alignment horizontal="center" readingOrder="2"/>
    </xf>
    <xf numFmtId="0" fontId="6" fillId="0" borderId="0" xfId="0" applyFont="1" applyAlignment="1" applyProtection="1">
      <alignment horizontal="right" indent="1"/>
    </xf>
    <xf numFmtId="0" fontId="6" fillId="0" borderId="0" xfId="0" applyFont="1" applyAlignment="1" applyProtection="1">
      <alignment horizontal="center"/>
    </xf>
    <xf numFmtId="0" fontId="6" fillId="0" borderId="0" xfId="0" applyNumberFormat="1" applyFont="1" applyProtection="1"/>
    <xf numFmtId="0" fontId="14" fillId="0" borderId="0" xfId="0" applyFont="1" applyAlignment="1" applyProtection="1">
      <alignment horizontal="center"/>
    </xf>
    <xf numFmtId="165" fontId="6" fillId="0" borderId="0" xfId="0" applyNumberFormat="1" applyFont="1" applyAlignment="1" applyProtection="1">
      <alignment horizontal="center"/>
    </xf>
    <xf numFmtId="0" fontId="4" fillId="0" borderId="2" xfId="0" applyFont="1" applyBorder="1" applyAlignment="1" applyProtection="1">
      <alignment horizontal="center" vertical="center"/>
      <protection locked="0"/>
    </xf>
    <xf numFmtId="20" fontId="4" fillId="0" borderId="2" xfId="0" applyNumberFormat="1" applyFont="1" applyBorder="1" applyAlignment="1" applyProtection="1">
      <alignment horizontal="center" vertical="center"/>
      <protection locked="0"/>
    </xf>
    <xf numFmtId="167" fontId="17" fillId="0" borderId="5" xfId="4" applyNumberFormat="1" applyFont="1" applyBorder="1" applyAlignment="1" applyProtection="1">
      <alignment horizontal="center"/>
      <protection locked="0"/>
    </xf>
    <xf numFmtId="9" fontId="4" fillId="0" borderId="5" xfId="2" applyFont="1" applyFill="1" applyBorder="1" applyAlignment="1" applyProtection="1">
      <alignment horizontal="center" vertical="center" wrapText="1"/>
      <protection locked="0"/>
    </xf>
    <xf numFmtId="20" fontId="4" fillId="0" borderId="2" xfId="0" applyNumberFormat="1" applyFont="1" applyBorder="1" applyProtection="1"/>
    <xf numFmtId="0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right" vertical="center"/>
    </xf>
    <xf numFmtId="0" fontId="8" fillId="0" borderId="2" xfId="0" applyFont="1" applyFill="1" applyBorder="1" applyAlignment="1" applyProtection="1">
      <alignment horizontal="right" wrapText="1" indent="1"/>
      <protection locked="0"/>
    </xf>
    <xf numFmtId="0" fontId="4" fillId="0" borderId="2" xfId="0" applyFont="1" applyBorder="1" applyAlignment="1" applyProtection="1">
      <alignment horizontal="right" indent="1"/>
    </xf>
    <xf numFmtId="49" fontId="4" fillId="0" borderId="2" xfId="0" applyNumberFormat="1" applyFont="1" applyFill="1" applyBorder="1" applyAlignment="1" applyProtection="1">
      <alignment horizontal="left"/>
    </xf>
    <xf numFmtId="9" fontId="4" fillId="10" borderId="2" xfId="2" applyFont="1" applyFill="1" applyBorder="1" applyAlignment="1" applyProtection="1">
      <alignment horizontal="center"/>
      <protection locked="0"/>
    </xf>
    <xf numFmtId="20" fontId="4" fillId="0" borderId="2" xfId="0" applyNumberFormat="1" applyFont="1" applyFill="1" applyBorder="1" applyProtection="1">
      <protection locked="0"/>
    </xf>
    <xf numFmtId="167" fontId="4" fillId="0" borderId="2" xfId="4" applyNumberFormat="1" applyFont="1" applyFill="1" applyBorder="1" applyAlignment="1" applyProtection="1">
      <alignment horizontal="center" readingOrder="2"/>
    </xf>
    <xf numFmtId="165" fontId="4" fillId="0" borderId="2" xfId="0" applyNumberFormat="1" applyFont="1" applyFill="1" applyBorder="1" applyProtection="1">
      <protection locked="0"/>
    </xf>
    <xf numFmtId="1" fontId="4" fillId="8" borderId="2" xfId="0" applyNumberFormat="1" applyFont="1" applyFill="1" applyBorder="1" applyAlignment="1" applyProtection="1">
      <alignment horizontal="center"/>
    </xf>
    <xf numFmtId="1" fontId="4" fillId="10" borderId="2" xfId="0" applyNumberFormat="1" applyFont="1" applyFill="1" applyBorder="1" applyAlignment="1" applyProtection="1">
      <alignment horizontal="center"/>
    </xf>
    <xf numFmtId="0" fontId="4" fillId="8" borderId="2" xfId="0" applyNumberFormat="1" applyFont="1" applyFill="1" applyBorder="1" applyAlignment="1">
      <alignment horizontal="left"/>
    </xf>
    <xf numFmtId="0" fontId="4" fillId="8" borderId="2" xfId="0" applyFont="1" applyFill="1" applyBorder="1" applyAlignment="1" applyProtection="1">
      <alignment horizontal="right" wrapText="1" indent="1"/>
      <protection locked="0"/>
    </xf>
    <xf numFmtId="0" fontId="4" fillId="8" borderId="2" xfId="0" applyFont="1" applyFill="1" applyBorder="1" applyProtection="1">
      <protection locked="0"/>
    </xf>
    <xf numFmtId="1" fontId="4" fillId="8" borderId="2" xfId="0" applyNumberFormat="1" applyFont="1" applyFill="1" applyBorder="1" applyAlignment="1">
      <alignment horizontal="center"/>
    </xf>
    <xf numFmtId="0" fontId="4" fillId="8" borderId="2" xfId="0" applyFont="1" applyFill="1" applyBorder="1"/>
    <xf numFmtId="165" fontId="4" fillId="8" borderId="2" xfId="0" applyNumberFormat="1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 applyProtection="1">
      <alignment horizontal="center" vertical="center"/>
    </xf>
    <xf numFmtId="167" fontId="4" fillId="8" borderId="2" xfId="4" applyNumberFormat="1" applyFont="1" applyFill="1" applyBorder="1" applyAlignment="1" applyProtection="1">
      <alignment horizontal="center" readingOrder="2"/>
    </xf>
    <xf numFmtId="0" fontId="4" fillId="8" borderId="2" xfId="0" applyFont="1" applyFill="1" applyBorder="1" applyProtection="1"/>
    <xf numFmtId="1" fontId="4" fillId="11" borderId="2" xfId="0" applyNumberFormat="1" applyFont="1" applyFill="1" applyBorder="1" applyAlignment="1">
      <alignment horizontal="center"/>
    </xf>
    <xf numFmtId="9" fontId="4" fillId="11" borderId="2" xfId="2" applyFont="1" applyFill="1" applyBorder="1" applyAlignment="1" applyProtection="1">
      <alignment horizontal="center"/>
    </xf>
    <xf numFmtId="49" fontId="23" fillId="0" borderId="2" xfId="0" applyNumberFormat="1" applyFont="1" applyBorder="1" applyAlignment="1" applyProtection="1">
      <alignment horizontal="left"/>
    </xf>
    <xf numFmtId="0" fontId="23" fillId="0" borderId="2" xfId="0" applyFont="1" applyFill="1" applyBorder="1" applyProtection="1">
      <protection locked="0"/>
    </xf>
    <xf numFmtId="1" fontId="23" fillId="0" borderId="2" xfId="0" applyNumberFormat="1" applyFont="1" applyFill="1" applyBorder="1" applyAlignment="1" applyProtection="1">
      <alignment horizontal="center"/>
    </xf>
    <xf numFmtId="1" fontId="23" fillId="0" borderId="2" xfId="0" applyNumberFormat="1" applyFont="1" applyFill="1" applyBorder="1" applyProtection="1">
      <protection locked="0"/>
    </xf>
    <xf numFmtId="0" fontId="23" fillId="0" borderId="2" xfId="0" applyNumberFormat="1" applyFont="1" applyFill="1" applyBorder="1" applyProtection="1">
      <protection locked="0"/>
    </xf>
    <xf numFmtId="1" fontId="23" fillId="3" borderId="2" xfId="0" applyNumberFormat="1" applyFont="1" applyFill="1" applyBorder="1" applyAlignment="1" applyProtection="1">
      <alignment horizontal="center"/>
    </xf>
    <xf numFmtId="9" fontId="23" fillId="3" borderId="2" xfId="2" applyFont="1" applyFill="1" applyBorder="1" applyAlignment="1" applyProtection="1">
      <alignment horizontal="center"/>
      <protection locked="0"/>
    </xf>
    <xf numFmtId="1" fontId="23" fillId="0" borderId="2" xfId="0" applyNumberFormat="1" applyFont="1" applyFill="1" applyBorder="1" applyAlignment="1" applyProtection="1">
      <alignment horizontal="center"/>
      <protection locked="0"/>
    </xf>
    <xf numFmtId="0" fontId="23" fillId="0" borderId="2" xfId="0" applyFont="1" applyFill="1" applyBorder="1" applyProtection="1"/>
    <xf numFmtId="0" fontId="23" fillId="0" borderId="2" xfId="0" applyFont="1" applyBorder="1" applyAlignment="1">
      <alignment horizontal="center" vertical="center"/>
    </xf>
    <xf numFmtId="167" fontId="23" fillId="0" borderId="2" xfId="4" applyNumberFormat="1" applyFont="1" applyBorder="1" applyAlignment="1">
      <alignment horizontal="center" vertical="center"/>
    </xf>
    <xf numFmtId="165" fontId="23" fillId="0" borderId="2" xfId="0" applyNumberFormat="1" applyFont="1" applyBorder="1" applyAlignment="1" applyProtection="1">
      <alignment horizontal="center" vertical="center"/>
      <protection locked="0"/>
    </xf>
    <xf numFmtId="167" fontId="23" fillId="0" borderId="2" xfId="4" applyNumberFormat="1" applyFont="1" applyBorder="1" applyAlignment="1" applyProtection="1">
      <alignment horizontal="center" readingOrder="2"/>
    </xf>
    <xf numFmtId="0" fontId="23" fillId="0" borderId="2" xfId="0" applyFont="1" applyBorder="1" applyProtection="1"/>
    <xf numFmtId="0" fontId="23" fillId="0" borderId="2" xfId="0" applyFont="1" applyFill="1" applyBorder="1" applyAlignment="1" applyProtection="1">
      <alignment horizontal="right" wrapText="1" indent="1"/>
      <protection locked="0"/>
    </xf>
    <xf numFmtId="0" fontId="8" fillId="0" borderId="2" xfId="0" applyFont="1" applyBorder="1" applyProtection="1"/>
    <xf numFmtId="0" fontId="23" fillId="0" borderId="2" xfId="0" applyNumberFormat="1" applyFont="1" applyFill="1" applyBorder="1" applyAlignment="1" applyProtection="1">
      <alignment horizontal="left"/>
    </xf>
    <xf numFmtId="1" fontId="23" fillId="0" borderId="2" xfId="0" applyNumberFormat="1" applyFont="1" applyFill="1" applyBorder="1" applyProtection="1"/>
    <xf numFmtId="1" fontId="23" fillId="0" borderId="2" xfId="0" applyNumberFormat="1" applyFont="1" applyFill="1" applyBorder="1" applyAlignment="1">
      <alignment horizontal="center"/>
    </xf>
    <xf numFmtId="1" fontId="23" fillId="3" borderId="2" xfId="0" applyNumberFormat="1" applyFont="1" applyFill="1" applyBorder="1" applyAlignment="1">
      <alignment horizontal="center"/>
    </xf>
    <xf numFmtId="0" fontId="23" fillId="0" borderId="2" xfId="0" applyFont="1" applyFill="1" applyBorder="1"/>
    <xf numFmtId="0" fontId="23" fillId="0" borderId="2" xfId="0" applyFont="1" applyFill="1" applyBorder="1" applyAlignment="1">
      <alignment horizontal="center" vertical="center"/>
    </xf>
    <xf numFmtId="165" fontId="23" fillId="0" borderId="2" xfId="0" applyNumberFormat="1" applyFont="1" applyFill="1" applyBorder="1" applyAlignment="1" applyProtection="1">
      <alignment horizontal="center" vertical="center"/>
      <protection locked="0"/>
    </xf>
    <xf numFmtId="167" fontId="23" fillId="0" borderId="2" xfId="4" applyNumberFormat="1" applyFont="1" applyFill="1" applyBorder="1" applyAlignment="1">
      <alignment horizontal="center" readingOrder="2"/>
    </xf>
    <xf numFmtId="1" fontId="23" fillId="0" borderId="2" xfId="0" applyNumberFormat="1" applyFont="1" applyFill="1" applyBorder="1"/>
    <xf numFmtId="0" fontId="23" fillId="0" borderId="2" xfId="0" applyNumberFormat="1" applyFont="1" applyBorder="1" applyAlignment="1" applyProtection="1">
      <alignment horizontal="left"/>
    </xf>
    <xf numFmtId="0" fontId="23" fillId="0" borderId="2" xfId="0" applyFont="1" applyBorder="1" applyProtection="1">
      <protection locked="0"/>
    </xf>
    <xf numFmtId="167" fontId="23" fillId="0" borderId="2" xfId="4" applyNumberFormat="1" applyFont="1" applyBorder="1" applyAlignment="1">
      <alignment horizontal="center" readingOrder="2"/>
    </xf>
    <xf numFmtId="0" fontId="23" fillId="0" borderId="2" xfId="0" applyFont="1" applyBorder="1"/>
    <xf numFmtId="0" fontId="23" fillId="0" borderId="2" xfId="0" applyNumberFormat="1" applyFont="1" applyBorder="1" applyAlignment="1">
      <alignment horizontal="left"/>
    </xf>
    <xf numFmtId="0" fontId="23" fillId="0" borderId="2" xfId="0" applyNumberFormat="1" applyFont="1" applyFill="1" applyBorder="1" applyAlignment="1">
      <alignment horizontal="left"/>
    </xf>
    <xf numFmtId="1" fontId="23" fillId="10" borderId="2" xfId="0" applyNumberFormat="1" applyFont="1" applyFill="1" applyBorder="1" applyAlignment="1">
      <alignment horizontal="center"/>
    </xf>
    <xf numFmtId="49" fontId="23" fillId="2" borderId="2" xfId="0" applyNumberFormat="1" applyFont="1" applyFill="1" applyBorder="1" applyAlignment="1" applyProtection="1">
      <alignment horizontal="left"/>
    </xf>
    <xf numFmtId="0" fontId="23" fillId="2" borderId="2" xfId="0" applyFont="1" applyFill="1" applyBorder="1" applyAlignment="1" applyProtection="1">
      <alignment horizontal="right" wrapText="1" indent="1"/>
      <protection locked="0"/>
    </xf>
    <xf numFmtId="0" fontId="23" fillId="2" borderId="2" xfId="0" applyFont="1" applyFill="1" applyBorder="1" applyProtection="1">
      <protection locked="0"/>
    </xf>
    <xf numFmtId="1" fontId="23" fillId="2" borderId="2" xfId="0" applyNumberFormat="1" applyFont="1" applyFill="1" applyBorder="1" applyProtection="1">
      <protection locked="0"/>
    </xf>
    <xf numFmtId="0" fontId="23" fillId="2" borderId="2" xfId="0" applyNumberFormat="1" applyFont="1" applyFill="1" applyBorder="1" applyProtection="1">
      <protection locked="0"/>
    </xf>
    <xf numFmtId="1" fontId="23" fillId="2" borderId="2" xfId="0" applyNumberFormat="1" applyFont="1" applyFill="1" applyBorder="1" applyAlignment="1" applyProtection="1">
      <alignment horizontal="center"/>
    </xf>
    <xf numFmtId="1" fontId="23" fillId="4" borderId="2" xfId="0" applyNumberFormat="1" applyFont="1" applyFill="1" applyBorder="1" applyAlignment="1" applyProtection="1">
      <alignment horizontal="center"/>
    </xf>
    <xf numFmtId="9" fontId="23" fillId="4" borderId="2" xfId="2" applyFont="1" applyFill="1" applyBorder="1" applyAlignment="1" applyProtection="1">
      <alignment horizontal="center"/>
    </xf>
    <xf numFmtId="1" fontId="23" fillId="5" borderId="2" xfId="0" applyNumberFormat="1" applyFont="1" applyFill="1" applyBorder="1" applyAlignment="1" applyProtection="1">
      <alignment horizontal="center"/>
    </xf>
    <xf numFmtId="0" fontId="23" fillId="0" borderId="2" xfId="0" applyFont="1" applyBorder="1" applyAlignment="1" applyProtection="1">
      <alignment horizontal="right" indent="1"/>
    </xf>
    <xf numFmtId="49" fontId="23" fillId="0" borderId="2" xfId="0" applyNumberFormat="1" applyFont="1" applyFill="1" applyBorder="1" applyAlignment="1" applyProtection="1">
      <alignment horizontal="left"/>
    </xf>
    <xf numFmtId="1" fontId="23" fillId="10" borderId="2" xfId="0" applyNumberFormat="1" applyFont="1" applyFill="1" applyBorder="1" applyAlignment="1" applyProtection="1">
      <alignment horizontal="center"/>
    </xf>
    <xf numFmtId="9" fontId="23" fillId="10" borderId="2" xfId="2" applyFont="1" applyFill="1" applyBorder="1" applyAlignment="1" applyProtection="1">
      <alignment horizontal="center"/>
      <protection locked="0"/>
    </xf>
    <xf numFmtId="165" fontId="23" fillId="0" borderId="2" xfId="0" applyNumberFormat="1" applyFont="1" applyFill="1" applyBorder="1" applyAlignment="1">
      <alignment horizontal="center" vertical="center"/>
    </xf>
    <xf numFmtId="165" fontId="23" fillId="0" borderId="2" xfId="4" applyNumberFormat="1" applyFont="1" applyFill="1" applyBorder="1" applyAlignment="1" applyProtection="1">
      <alignment horizontal="center" readingOrder="2"/>
      <protection locked="0"/>
    </xf>
    <xf numFmtId="20" fontId="23" fillId="0" borderId="2" xfId="0" applyNumberFormat="1" applyFont="1" applyFill="1" applyBorder="1" applyProtection="1">
      <protection locked="0"/>
    </xf>
    <xf numFmtId="167" fontId="23" fillId="0" borderId="2" xfId="4" applyNumberFormat="1" applyFont="1" applyFill="1" applyBorder="1" applyAlignment="1" applyProtection="1">
      <alignment horizontal="center" readingOrder="2"/>
    </xf>
    <xf numFmtId="0" fontId="23" fillId="0" borderId="0" xfId="0" applyFont="1" applyFill="1" applyBorder="1" applyProtection="1"/>
    <xf numFmtId="165" fontId="23" fillId="0" borderId="2" xfId="0" applyNumberFormat="1" applyFont="1" applyFill="1" applyBorder="1" applyProtection="1">
      <protection locked="0"/>
    </xf>
    <xf numFmtId="49" fontId="23" fillId="6" borderId="0" xfId="0" applyNumberFormat="1" applyFont="1" applyFill="1" applyBorder="1" applyProtection="1"/>
    <xf numFmtId="0" fontId="23" fillId="6" borderId="0" xfId="0" applyFont="1" applyFill="1" applyBorder="1" applyAlignment="1" applyProtection="1">
      <alignment horizontal="right" indent="1"/>
      <protection locked="0"/>
    </xf>
    <xf numFmtId="0" fontId="23" fillId="6" borderId="0" xfId="0" applyFont="1" applyFill="1" applyBorder="1" applyProtection="1">
      <protection locked="0"/>
    </xf>
    <xf numFmtId="0" fontId="23" fillId="6" borderId="0" xfId="0" applyFont="1" applyFill="1" applyBorder="1" applyAlignment="1" applyProtection="1">
      <alignment horizontal="center"/>
      <protection locked="0"/>
    </xf>
    <xf numFmtId="1" fontId="23" fillId="6" borderId="2" xfId="0" applyNumberFormat="1" applyFont="1" applyFill="1" applyBorder="1" applyAlignment="1" applyProtection="1">
      <alignment horizontal="center"/>
    </xf>
    <xf numFmtId="1" fontId="23" fillId="6" borderId="2" xfId="0" applyNumberFormat="1" applyFont="1" applyFill="1" applyBorder="1" applyProtection="1">
      <protection locked="0"/>
    </xf>
    <xf numFmtId="0" fontId="23" fillId="6" borderId="2" xfId="0" applyNumberFormat="1" applyFont="1" applyFill="1" applyBorder="1" applyProtection="1">
      <protection locked="0"/>
    </xf>
    <xf numFmtId="1" fontId="24" fillId="6" borderId="2" xfId="0" applyNumberFormat="1" applyFont="1" applyFill="1" applyBorder="1" applyAlignment="1" applyProtection="1">
      <alignment horizontal="center"/>
    </xf>
    <xf numFmtId="1" fontId="23" fillId="7" borderId="2" xfId="0" applyNumberFormat="1" applyFont="1" applyFill="1" applyBorder="1" applyAlignment="1" applyProtection="1">
      <alignment horizontal="center"/>
    </xf>
    <xf numFmtId="9" fontId="23" fillId="7" borderId="2" xfId="2" applyFont="1" applyFill="1" applyBorder="1" applyAlignment="1" applyProtection="1">
      <alignment horizontal="center"/>
    </xf>
    <xf numFmtId="1" fontId="23" fillId="6" borderId="2" xfId="0" applyNumberFormat="1" applyFont="1" applyFill="1" applyBorder="1" applyAlignment="1" applyProtection="1">
      <alignment horizontal="center"/>
      <protection locked="0"/>
    </xf>
    <xf numFmtId="0" fontId="23" fillId="6" borderId="0" xfId="0" applyFont="1" applyFill="1" applyBorder="1" applyProtection="1"/>
    <xf numFmtId="0" fontId="23" fillId="6" borderId="0" xfId="0" applyFont="1" applyFill="1" applyBorder="1" applyAlignment="1">
      <alignment horizontal="center" vertical="center"/>
    </xf>
    <xf numFmtId="167" fontId="23" fillId="6" borderId="0" xfId="4" applyNumberFormat="1" applyFont="1" applyFill="1" applyBorder="1" applyAlignment="1">
      <alignment horizontal="center" vertical="center"/>
    </xf>
    <xf numFmtId="165" fontId="23" fillId="6" borderId="0" xfId="0" applyNumberFormat="1" applyFont="1" applyFill="1" applyBorder="1" applyAlignment="1" applyProtection="1">
      <alignment horizontal="center" vertical="center"/>
    </xf>
    <xf numFmtId="167" fontId="23" fillId="6" borderId="0" xfId="4" applyNumberFormat="1" applyFont="1" applyFill="1" applyBorder="1" applyAlignment="1" applyProtection="1">
      <alignment horizontal="center" readingOrder="2"/>
    </xf>
    <xf numFmtId="0" fontId="25" fillId="0" borderId="0" xfId="0" applyFont="1" applyAlignment="1" applyProtection="1">
      <alignment horizontal="right" wrapText="1" indent="1"/>
    </xf>
    <xf numFmtId="0" fontId="28" fillId="0" borderId="0" xfId="1" applyFont="1" applyFill="1" applyAlignment="1" applyProtection="1">
      <alignment horizontal="center" vertical="center"/>
    </xf>
    <xf numFmtId="0" fontId="29" fillId="2" borderId="0" xfId="0" applyFont="1" applyFill="1" applyAlignment="1" applyProtection="1">
      <alignment horizontal="right" vertical="center" indent="1"/>
    </xf>
    <xf numFmtId="0" fontId="29" fillId="2" borderId="0" xfId="0" applyFont="1" applyFill="1" applyAlignment="1" applyProtection="1">
      <alignment vertical="center"/>
    </xf>
    <xf numFmtId="0" fontId="29" fillId="2" borderId="0" xfId="0" applyFont="1" applyFill="1" applyAlignment="1" applyProtection="1">
      <alignment horizontal="center" vertical="center"/>
    </xf>
    <xf numFmtId="0" fontId="27" fillId="0" borderId="0" xfId="0" applyFont="1" applyFill="1" applyBorder="1" applyProtection="1"/>
    <xf numFmtId="0" fontId="27" fillId="0" borderId="17" xfId="0" applyFont="1" applyBorder="1" applyAlignment="1" applyProtection="1">
      <alignment horizontal="right"/>
    </xf>
    <xf numFmtId="0" fontId="27" fillId="0" borderId="18" xfId="0" applyFont="1" applyBorder="1" applyAlignment="1" applyProtection="1">
      <alignment horizontal="right"/>
    </xf>
    <xf numFmtId="14" fontId="22" fillId="0" borderId="0" xfId="0" applyNumberFormat="1" applyFont="1" applyBorder="1" applyAlignment="1" applyProtection="1">
      <alignment horizontal="left"/>
    </xf>
    <xf numFmtId="14" fontId="30" fillId="0" borderId="0" xfId="0" applyNumberFormat="1" applyFont="1" applyFill="1" applyBorder="1" applyAlignment="1" applyProtection="1">
      <alignment horizontal="left"/>
    </xf>
    <xf numFmtId="14" fontId="25" fillId="0" borderId="0" xfId="0" applyNumberFormat="1" applyFont="1" applyBorder="1" applyAlignment="1" applyProtection="1">
      <alignment horizontal="center"/>
    </xf>
    <xf numFmtId="0" fontId="29" fillId="2" borderId="0" xfId="0" applyNumberFormat="1" applyFont="1" applyFill="1" applyAlignment="1" applyProtection="1">
      <alignment vertical="center"/>
    </xf>
    <xf numFmtId="0" fontId="31" fillId="2" borderId="0" xfId="0" applyFont="1" applyFill="1" applyAlignment="1" applyProtection="1">
      <alignment horizontal="center" vertical="center"/>
    </xf>
    <xf numFmtId="0" fontId="27" fillId="0" borderId="0" xfId="0" applyFont="1" applyBorder="1" applyAlignment="1" applyProtection="1">
      <alignment horizontal="left"/>
    </xf>
    <xf numFmtId="0" fontId="27" fillId="0" borderId="0" xfId="0" applyNumberFormat="1" applyFont="1" applyBorder="1" applyAlignment="1" applyProtection="1">
      <alignment horizontal="left"/>
    </xf>
    <xf numFmtId="0" fontId="24" fillId="0" borderId="0" xfId="0" applyFont="1" applyBorder="1" applyAlignment="1" applyProtection="1">
      <alignment horizontal="center"/>
    </xf>
    <xf numFmtId="14" fontId="25" fillId="0" borderId="0" xfId="0" applyNumberFormat="1" applyFont="1" applyBorder="1" applyAlignment="1" applyProtection="1">
      <alignment horizontal="left"/>
    </xf>
    <xf numFmtId="0" fontId="25" fillId="0" borderId="0" xfId="0" applyNumberFormat="1" applyFont="1" applyBorder="1" applyAlignment="1" applyProtection="1">
      <alignment horizontal="left"/>
    </xf>
    <xf numFmtId="14" fontId="24" fillId="0" borderId="0" xfId="0" applyNumberFormat="1" applyFont="1" applyBorder="1" applyAlignment="1" applyProtection="1">
      <alignment horizontal="center"/>
    </xf>
    <xf numFmtId="0" fontId="29" fillId="9" borderId="0" xfId="0" applyFont="1" applyFill="1" applyAlignment="1" applyProtection="1">
      <alignment vertical="center"/>
    </xf>
    <xf numFmtId="0" fontId="32" fillId="0" borderId="0" xfId="1" applyFont="1" applyFill="1" applyAlignment="1" applyProtection="1">
      <alignment horizontal="right"/>
    </xf>
    <xf numFmtId="0" fontId="33" fillId="0" borderId="0" xfId="0" applyFont="1" applyFill="1" applyProtection="1"/>
    <xf numFmtId="0" fontId="27" fillId="0" borderId="0" xfId="0" applyFont="1" applyAlignment="1" applyProtection="1"/>
    <xf numFmtId="0" fontId="27" fillId="0" borderId="0" xfId="0" applyFont="1" applyProtection="1"/>
    <xf numFmtId="0" fontId="22" fillId="0" borderId="1" xfId="0" applyFont="1" applyFill="1" applyBorder="1" applyAlignment="1" applyProtection="1">
      <alignment horizontal="center"/>
    </xf>
    <xf numFmtId="0" fontId="22" fillId="0" borderId="1" xfId="0" applyFont="1" applyBorder="1" applyAlignment="1" applyProtection="1">
      <alignment horizontal="right" indent="1"/>
    </xf>
    <xf numFmtId="0" fontId="22" fillId="0" borderId="1" xfId="0" applyFont="1" applyBorder="1" applyAlignment="1" applyProtection="1">
      <alignment horizontal="center"/>
    </xf>
    <xf numFmtId="0" fontId="22" fillId="0" borderId="1" xfId="0" applyFont="1" applyBorder="1" applyAlignment="1" applyProtection="1">
      <alignment horizontal="center" textRotation="90"/>
    </xf>
    <xf numFmtId="0" fontId="22" fillId="0" borderId="1" xfId="0" applyNumberFormat="1" applyFont="1" applyBorder="1" applyAlignment="1" applyProtection="1">
      <alignment horizontal="center" textRotation="90"/>
    </xf>
    <xf numFmtId="0" fontId="27" fillId="0" borderId="1" xfId="0" applyFont="1" applyBorder="1" applyAlignment="1" applyProtection="1">
      <alignment horizontal="center" textRotation="90" wrapText="1"/>
    </xf>
    <xf numFmtId="0" fontId="27" fillId="0" borderId="1" xfId="0" applyFont="1" applyBorder="1" applyAlignment="1" applyProtection="1">
      <alignment horizontal="center" textRotation="90"/>
    </xf>
    <xf numFmtId="0" fontId="22" fillId="2" borderId="2" xfId="0" applyNumberFormat="1" applyFont="1" applyFill="1" applyBorder="1" applyAlignment="1" applyProtection="1">
      <alignment horizontal="left"/>
    </xf>
    <xf numFmtId="0" fontId="22" fillId="2" borderId="2" xfId="0" applyFont="1" applyFill="1" applyBorder="1" applyAlignment="1" applyProtection="1">
      <alignment horizontal="right" wrapText="1" indent="1"/>
      <protection locked="0"/>
    </xf>
    <xf numFmtId="0" fontId="22" fillId="2" borderId="2" xfId="0" applyFont="1" applyFill="1" applyBorder="1" applyProtection="1">
      <protection locked="0"/>
    </xf>
    <xf numFmtId="1" fontId="22" fillId="2" borderId="2" xfId="0" applyNumberFormat="1" applyFont="1" applyFill="1" applyBorder="1" applyAlignment="1" applyProtection="1">
      <alignment horizontal="center"/>
    </xf>
    <xf numFmtId="1" fontId="22" fillId="8" borderId="2" xfId="0" applyNumberFormat="1" applyFont="1" applyFill="1" applyBorder="1" applyProtection="1">
      <protection locked="0"/>
    </xf>
    <xf numFmtId="0" fontId="22" fillId="8" borderId="2" xfId="0" applyNumberFormat="1" applyFont="1" applyFill="1" applyBorder="1" applyProtection="1">
      <protection locked="0"/>
    </xf>
    <xf numFmtId="1" fontId="22" fillId="4" borderId="2" xfId="0" applyNumberFormat="1" applyFont="1" applyFill="1" applyBorder="1" applyAlignment="1" applyProtection="1">
      <alignment horizontal="center"/>
    </xf>
    <xf numFmtId="9" fontId="22" fillId="4" borderId="2" xfId="2" applyFont="1" applyFill="1" applyBorder="1" applyAlignment="1" applyProtection="1">
      <alignment horizontal="center"/>
    </xf>
    <xf numFmtId="1" fontId="22" fillId="5" borderId="2" xfId="0" applyNumberFormat="1" applyFont="1" applyFill="1" applyBorder="1" applyAlignment="1" applyProtection="1">
      <alignment horizontal="center"/>
    </xf>
    <xf numFmtId="0" fontId="8" fillId="2" borderId="2" xfId="0" applyFont="1" applyFill="1" applyBorder="1" applyProtection="1"/>
    <xf numFmtId="0" fontId="8" fillId="2" borderId="2" xfId="0" applyFont="1" applyFill="1" applyBorder="1" applyAlignment="1">
      <alignment horizontal="center" vertical="center"/>
    </xf>
    <xf numFmtId="167" fontId="8" fillId="2" borderId="2" xfId="4" applyNumberFormat="1" applyFont="1" applyFill="1" applyBorder="1" applyAlignment="1">
      <alignment horizontal="center" vertical="center"/>
    </xf>
    <xf numFmtId="165" fontId="8" fillId="2" borderId="2" xfId="0" applyNumberFormat="1" applyFont="1" applyFill="1" applyBorder="1" applyAlignment="1" applyProtection="1">
      <alignment horizontal="center" vertical="center"/>
    </xf>
    <xf numFmtId="167" fontId="8" fillId="2" borderId="2" xfId="4" applyNumberFormat="1" applyFont="1" applyFill="1" applyBorder="1" applyAlignment="1" applyProtection="1">
      <alignment horizontal="center" readingOrder="2"/>
    </xf>
    <xf numFmtId="49" fontId="22" fillId="2" borderId="2" xfId="0" applyNumberFormat="1" applyFont="1" applyFill="1" applyBorder="1" applyAlignment="1" applyProtection="1">
      <alignment horizontal="left"/>
    </xf>
    <xf numFmtId="1" fontId="22" fillId="2" borderId="2" xfId="0" applyNumberFormat="1" applyFont="1" applyFill="1" applyBorder="1" applyProtection="1">
      <protection locked="0"/>
    </xf>
    <xf numFmtId="0" fontId="22" fillId="2" borderId="2" xfId="0" applyNumberFormat="1" applyFont="1" applyFill="1" applyBorder="1" applyProtection="1">
      <protection locked="0"/>
    </xf>
    <xf numFmtId="1" fontId="22" fillId="2" borderId="2" xfId="0" applyNumberFormat="1" applyFont="1" applyFill="1" applyBorder="1" applyProtection="1"/>
    <xf numFmtId="0" fontId="22" fillId="2" borderId="2" xfId="0" applyFont="1" applyFill="1" applyBorder="1" applyProtection="1"/>
    <xf numFmtId="0" fontId="22" fillId="2" borderId="2" xfId="0" applyFont="1" applyFill="1" applyBorder="1" applyAlignment="1">
      <alignment horizontal="center" vertical="center"/>
    </xf>
    <xf numFmtId="167" fontId="22" fillId="2" borderId="2" xfId="4" applyNumberFormat="1" applyFont="1" applyFill="1" applyBorder="1" applyAlignment="1">
      <alignment horizontal="center" vertical="center"/>
    </xf>
    <xf numFmtId="165" fontId="22" fillId="2" borderId="2" xfId="0" applyNumberFormat="1" applyFont="1" applyFill="1" applyBorder="1" applyAlignment="1" applyProtection="1">
      <alignment horizontal="center" vertical="center"/>
    </xf>
    <xf numFmtId="167" fontId="22" fillId="2" borderId="2" xfId="4" applyNumberFormat="1" applyFont="1" applyFill="1" applyBorder="1" applyAlignment="1" applyProtection="1">
      <alignment horizontal="center" readingOrder="2"/>
    </xf>
    <xf numFmtId="0" fontId="22" fillId="8" borderId="2" xfId="0" applyFont="1" applyFill="1" applyBorder="1" applyAlignment="1" applyProtection="1">
      <alignment horizontal="right" wrapText="1" indent="1"/>
      <protection locked="0"/>
    </xf>
    <xf numFmtId="0" fontId="22" fillId="8" borderId="2" xfId="0" applyFont="1" applyFill="1" applyBorder="1" applyProtection="1">
      <protection locked="0"/>
    </xf>
    <xf numFmtId="165" fontId="8" fillId="2" borderId="2" xfId="0" applyNumberFormat="1" applyFont="1" applyFill="1" applyBorder="1" applyAlignment="1">
      <alignment horizontal="center" vertical="center"/>
    </xf>
    <xf numFmtId="165" fontId="8" fillId="2" borderId="2" xfId="4" applyNumberFormat="1" applyFont="1" applyFill="1" applyBorder="1" applyAlignment="1" applyProtection="1">
      <alignment horizontal="center" readingOrder="2"/>
    </xf>
    <xf numFmtId="1" fontId="8" fillId="2" borderId="2" xfId="0" applyNumberFormat="1" applyFont="1" applyFill="1" applyBorder="1" applyAlignment="1" applyProtection="1">
      <alignment horizontal="center"/>
    </xf>
    <xf numFmtId="0" fontId="23" fillId="0" borderId="2" xfId="0" applyFont="1" applyFill="1" applyBorder="1" applyAlignment="1" applyProtection="1">
      <alignment horizontal="left"/>
    </xf>
    <xf numFmtId="1" fontId="23" fillId="0" borderId="2" xfId="0" applyNumberFormat="1" applyFont="1" applyFill="1" applyBorder="1" applyAlignment="1" applyProtection="1">
      <alignment horizontal="left"/>
    </xf>
    <xf numFmtId="1" fontId="22" fillId="2" borderId="2" xfId="0" applyNumberFormat="1" applyFont="1" applyFill="1" applyBorder="1" applyAlignment="1" applyProtection="1">
      <alignment horizontal="left" readingOrder="1"/>
    </xf>
    <xf numFmtId="1" fontId="22" fillId="2" borderId="2" xfId="0" applyNumberFormat="1" applyFont="1" applyFill="1" applyBorder="1" applyAlignment="1" applyProtection="1">
      <alignment horizontal="left"/>
    </xf>
    <xf numFmtId="1" fontId="23" fillId="0" borderId="2" xfId="0" applyNumberFormat="1" applyFont="1" applyFill="1" applyBorder="1" applyAlignment="1">
      <alignment horizontal="left"/>
    </xf>
    <xf numFmtId="1" fontId="23" fillId="2" borderId="2" xfId="0" applyNumberFormat="1" applyFont="1" applyFill="1" applyBorder="1" applyAlignment="1" applyProtection="1">
      <alignment horizontal="left"/>
    </xf>
    <xf numFmtId="14" fontId="4" fillId="0" borderId="3" xfId="0" applyNumberFormat="1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4" fillId="0" borderId="4" xfId="0" applyFont="1" applyBorder="1" applyAlignment="1" applyProtection="1">
      <alignment horizontal="center" textRotation="90"/>
    </xf>
    <xf numFmtId="14" fontId="6" fillId="0" borderId="0" xfId="0" applyNumberFormat="1" applyFont="1" applyBorder="1" applyAlignment="1" applyProtection="1">
      <alignment horizontal="center"/>
    </xf>
    <xf numFmtId="0" fontId="27" fillId="0" borderId="0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17" fillId="0" borderId="5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0" fontId="17" fillId="0" borderId="5" xfId="0" applyFont="1" applyBorder="1" applyAlignment="1">
      <alignment horizontal="center" vertical="center"/>
    </xf>
    <xf numFmtId="167" fontId="17" fillId="0" borderId="5" xfId="4" applyNumberFormat="1" applyFont="1" applyBorder="1" applyAlignment="1">
      <alignment horizontal="center" vertical="center"/>
    </xf>
    <xf numFmtId="0" fontId="17" fillId="0" borderId="6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166" fontId="17" fillId="0" borderId="6" xfId="4" applyNumberFormat="1" applyFont="1" applyBorder="1" applyAlignment="1">
      <alignment horizontal="center"/>
    </xf>
    <xf numFmtId="166" fontId="17" fillId="0" borderId="7" xfId="4" applyNumberFormat="1" applyFont="1" applyBorder="1" applyAlignment="1">
      <alignment horizontal="center"/>
    </xf>
    <xf numFmtId="166" fontId="17" fillId="0" borderId="6" xfId="4" applyNumberFormat="1" applyFont="1" applyBorder="1" applyAlignment="1" applyProtection="1">
      <alignment horizontal="center"/>
      <protection locked="0"/>
    </xf>
    <xf numFmtId="166" fontId="17" fillId="0" borderId="7" xfId="4" applyNumberFormat="1" applyFont="1" applyBorder="1" applyAlignment="1" applyProtection="1">
      <alignment horizontal="center"/>
      <protection locked="0"/>
    </xf>
    <xf numFmtId="165" fontId="19" fillId="0" borderId="2" xfId="0" applyNumberFormat="1" applyFont="1" applyFill="1" applyBorder="1" applyAlignment="1">
      <alignment horizontal="center" vertical="center" wrapText="1"/>
    </xf>
    <xf numFmtId="165" fontId="19" fillId="0" borderId="1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" fillId="0" borderId="1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wrapText="1"/>
    </xf>
    <xf numFmtId="169" fontId="4" fillId="0" borderId="13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169" fontId="4" fillId="0" borderId="14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9" fontId="4" fillId="0" borderId="13" xfId="2" applyFont="1" applyFill="1" applyBorder="1" applyAlignment="1">
      <alignment horizontal="center" vertical="center" textRotation="90" wrapText="1"/>
    </xf>
    <xf numFmtId="9" fontId="4" fillId="0" borderId="14" xfId="2" applyFont="1" applyFill="1" applyBorder="1" applyAlignment="1">
      <alignment horizontal="center" vertical="center" textRotation="90" wrapText="1"/>
    </xf>
    <xf numFmtId="0" fontId="4" fillId="0" borderId="13" xfId="0" applyFont="1" applyFill="1" applyBorder="1" applyAlignment="1">
      <alignment horizontal="center" vertical="center" textRotation="90" wrapText="1"/>
    </xf>
    <xf numFmtId="0" fontId="4" fillId="0" borderId="14" xfId="0" applyFont="1" applyFill="1" applyBorder="1" applyAlignment="1">
      <alignment horizontal="center" vertical="center" textRotation="90" wrapText="1"/>
    </xf>
    <xf numFmtId="169" fontId="4" fillId="0" borderId="13" xfId="0" applyNumberFormat="1" applyFont="1" applyFill="1" applyBorder="1" applyAlignment="1">
      <alignment horizontal="center" vertical="center" textRotation="90" wrapText="1" readingOrder="2"/>
    </xf>
    <xf numFmtId="169" fontId="4" fillId="0" borderId="14" xfId="0" applyNumberFormat="1" applyFont="1" applyFill="1" applyBorder="1" applyAlignment="1">
      <alignment horizontal="center" vertical="center" textRotation="90" wrapText="1" readingOrder="2"/>
    </xf>
    <xf numFmtId="0" fontId="23" fillId="2" borderId="2" xfId="0" applyFont="1" applyFill="1" applyBorder="1" applyAlignment="1" applyProtection="1">
      <alignment horizontal="left"/>
    </xf>
    <xf numFmtId="0" fontId="23" fillId="0" borderId="2" xfId="0" applyFont="1" applyFill="1" applyBorder="1" applyAlignment="1">
      <alignment horizontal="left"/>
    </xf>
  </cellXfs>
  <cellStyles count="8">
    <cellStyle name="Currency" xfId="4" builtinId="4"/>
    <cellStyle name="Hyperlink" xfId="1" builtinId="8"/>
    <cellStyle name="Normal" xfId="0" builtinId="0"/>
    <cellStyle name="Normal 2" xfId="3"/>
    <cellStyle name="Normal 2 2" xfId="7"/>
    <cellStyle name="Percent" xfId="2" builtinId="5"/>
    <cellStyle name="فراپیوند 2" xfId="6"/>
    <cellStyle name="معمولی 2" xfId="5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theme="1" tint="0.24994659260841701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indexed="63"/>
        </patternFill>
      </fill>
    </dxf>
    <dxf>
      <fill>
        <patternFill>
          <bgColor indexed="4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99FF99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D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5F5F5F"/>
    </indexedColors>
    <mruColors>
      <color rgb="FF99FF99"/>
      <color rgb="FF66FF66"/>
      <color rgb="FF99FF66"/>
      <color rgb="FF00FF00"/>
      <color rgb="FFEAEAEA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16" fmlaLink="$R$5" horiz="1" max="100" page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3</xdr:row>
          <xdr:rowOff>209550</xdr:rowOff>
        </xdr:from>
        <xdr:to>
          <xdr:col>132</xdr:col>
          <xdr:colOff>0</xdr:colOff>
          <xdr:row>5</xdr:row>
          <xdr:rowOff>238125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Holieday" displayName="Holieday" ref="A1:F28" totalsRowCount="1" headerRowDxfId="13" dataDxfId="12" headerRowCellStyle="Normal 2" dataCellStyle="Normal 2">
  <autoFilter ref="A1:F27"/>
  <tableColumns count="6">
    <tableColumn id="1" name="date" totalsRowLabel="مجموع" dataDxfId="11" totalsRowDxfId="10" dataCellStyle="Normal 2"/>
    <tableColumn id="2" name="year" dataDxfId="9" totalsRowDxfId="8" dataCellStyle="Normal 2">
      <calculatedColumnFormula>LEFT(A2,4)</calculatedColumnFormula>
    </tableColumn>
    <tableColumn id="6" name="month" dataDxfId="7" totalsRowDxfId="6" dataCellStyle="Normal 2">
      <calculatedColumnFormula>MID(A2,6,2)</calculatedColumnFormula>
    </tableColumn>
    <tableColumn id="3" name="ok" totalsRowFunction="sum" dataDxfId="5" totalsRowDxfId="4" dataCellStyle="Normal 2"/>
    <tableColumn id="4" name="Friday" totalsRowFunction="sum" dataDxfId="3" totalsRowDxfId="2" dataCellStyle="Normal 2"/>
    <tableColumn id="5" name="مناسبت" dataDxfId="1" totalsRow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ه1" filterMode="1">
    <tabColor rgb="FF92D050"/>
  </sheetPr>
  <dimension ref="A1:XFD251"/>
  <sheetViews>
    <sheetView showGridLines="0" rightToLeft="1" tabSelected="1" topLeftCell="A95" zoomScale="106" zoomScaleNormal="106" workbookViewId="0">
      <selection activeCell="D36" sqref="D36:D44"/>
    </sheetView>
  </sheetViews>
  <sheetFormatPr defaultColWidth="9.140625" defaultRowHeight="14.25"/>
  <cols>
    <col min="1" max="1" width="4.42578125" style="122" bestFit="1" customWidth="1"/>
    <col min="2" max="2" width="85" style="195" customWidth="1"/>
    <col min="3" max="3" width="8.7109375" style="121" customWidth="1"/>
    <col min="4" max="4" width="9.85546875" style="196" customWidth="1"/>
    <col min="5" max="5" width="7.85546875" style="121" hidden="1" customWidth="1"/>
    <col min="6" max="6" width="9.28515625" style="196" customWidth="1"/>
    <col min="7" max="7" width="7.85546875" style="121" hidden="1" customWidth="1"/>
    <col min="8" max="8" width="4.7109375" style="121" customWidth="1"/>
    <col min="9" max="9" width="4.42578125" style="197" customWidth="1"/>
    <col min="10" max="10" width="5.28515625" style="198" customWidth="1"/>
    <col min="11" max="11" width="6.7109375" style="199" hidden="1" customWidth="1"/>
    <col min="12" max="12" width="7" style="121" bestFit="1" customWidth="1"/>
    <col min="13" max="13" width="9" style="121" customWidth="1"/>
    <col min="14" max="14" width="3.5703125" style="121" customWidth="1"/>
    <col min="15" max="15" width="3.85546875" style="121" hidden="1" customWidth="1"/>
    <col min="16" max="16" width="7.85546875" style="121" hidden="1" customWidth="1"/>
    <col min="17" max="17" width="5.85546875" style="121" hidden="1" customWidth="1"/>
    <col min="18" max="18" width="2.7109375" style="121" customWidth="1"/>
    <col min="19" max="234" width="0.42578125" style="121" customWidth="1"/>
    <col min="235" max="258" width="0.42578125" style="122" customWidth="1"/>
    <col min="259" max="259" width="4.42578125" style="24" customWidth="1"/>
    <col min="260" max="260" width="20.7109375" style="35" customWidth="1"/>
    <col min="261" max="261" width="4.7109375" style="179" bestFit="1" customWidth="1"/>
    <col min="262" max="263" width="5.5703125" style="179" bestFit="1" customWidth="1"/>
    <col min="264" max="264" width="20.5703125" style="180" customWidth="1"/>
    <col min="265" max="16384" width="9.140625" style="122"/>
  </cols>
  <sheetData>
    <row r="1" spans="1:264" s="121" customFormat="1" ht="22.5">
      <c r="A1" s="295"/>
      <c r="B1" s="296" t="str">
        <f>CONCATENATE("برنامه زمانبندی ",B8)</f>
        <v>برنامه زمانبندی طراحی و پیاده سازی پورتال اینترنتی و زیر پورتال های بیمه سامان</v>
      </c>
      <c r="C1" s="297"/>
      <c r="D1" s="298"/>
      <c r="E1" s="119"/>
      <c r="F1" s="298"/>
      <c r="G1" s="119"/>
      <c r="H1" s="297"/>
      <c r="I1" s="305"/>
      <c r="J1" s="306"/>
      <c r="K1" s="120"/>
      <c r="L1" s="313"/>
      <c r="M1" s="314"/>
      <c r="N1" s="315"/>
      <c r="IY1" s="23"/>
      <c r="IZ1" s="34"/>
      <c r="JA1" s="177"/>
      <c r="JB1" s="177"/>
      <c r="JC1" s="177"/>
      <c r="JD1" s="178"/>
    </row>
    <row r="2" spans="1:264" ht="18">
      <c r="A2" s="299"/>
      <c r="B2" s="300" t="s">
        <v>7</v>
      </c>
      <c r="C2" s="363" t="s">
        <v>109</v>
      </c>
      <c r="D2" s="363"/>
      <c r="E2" s="364"/>
      <c r="F2" s="363"/>
      <c r="G2" s="123"/>
      <c r="H2" s="307"/>
      <c r="I2" s="308"/>
      <c r="J2" s="309"/>
      <c r="K2" s="125"/>
      <c r="L2" s="316"/>
      <c r="M2" s="316"/>
      <c r="N2" s="317"/>
    </row>
    <row r="3" spans="1:264" ht="18">
      <c r="A3" s="299"/>
      <c r="B3" s="301"/>
      <c r="C3" s="302" t="str">
        <f ca="1">J_TODAY(1)</f>
        <v>1398/08/06</v>
      </c>
      <c r="D3" s="303">
        <f ca="1">VALUE(J_normdate(C3))</f>
        <v>13980806</v>
      </c>
      <c r="E3" s="128"/>
      <c r="F3" s="304"/>
      <c r="G3" s="128"/>
      <c r="H3" s="310"/>
      <c r="I3" s="311"/>
      <c r="J3" s="312"/>
      <c r="K3" s="129"/>
      <c r="L3" s="316"/>
      <c r="M3" s="316"/>
      <c r="N3" s="317"/>
    </row>
    <row r="4" spans="1:264" hidden="1">
      <c r="B4" s="130"/>
      <c r="C4" s="127"/>
      <c r="D4" s="127"/>
      <c r="E4" s="127"/>
      <c r="F4" s="131"/>
      <c r="G4" s="132"/>
      <c r="H4" s="132"/>
      <c r="I4" s="133"/>
      <c r="J4" s="134"/>
      <c r="K4" s="135"/>
      <c r="L4" s="126"/>
      <c r="M4" s="126"/>
      <c r="S4" s="121" t="e">
        <f t="shared" ref="S4:CD4" ca="1" si="0">VALUE(S5)</f>
        <v>#VALUE!</v>
      </c>
      <c r="T4" s="121" t="e">
        <f t="shared" ca="1" si="0"/>
        <v>#VALUE!</v>
      </c>
      <c r="U4" s="121" t="e">
        <f t="shared" ca="1" si="0"/>
        <v>#VALUE!</v>
      </c>
      <c r="V4" s="121" t="e">
        <f t="shared" ca="1" si="0"/>
        <v>#VALUE!</v>
      </c>
      <c r="W4" s="121" t="e">
        <f t="shared" ca="1" si="0"/>
        <v>#VALUE!</v>
      </c>
      <c r="X4" s="121" t="e">
        <f t="shared" ca="1" si="0"/>
        <v>#VALUE!</v>
      </c>
      <c r="Y4" s="121" t="e">
        <f t="shared" ca="1" si="0"/>
        <v>#VALUE!</v>
      </c>
      <c r="Z4" s="121" t="e">
        <f t="shared" ca="1" si="0"/>
        <v>#VALUE!</v>
      </c>
      <c r="AA4" s="121" t="e">
        <f t="shared" ca="1" si="0"/>
        <v>#VALUE!</v>
      </c>
      <c r="AB4" s="121" t="e">
        <f t="shared" ca="1" si="0"/>
        <v>#VALUE!</v>
      </c>
      <c r="AC4" s="121" t="e">
        <f t="shared" ca="1" si="0"/>
        <v>#VALUE!</v>
      </c>
      <c r="AD4" s="121" t="e">
        <f t="shared" ca="1" si="0"/>
        <v>#VALUE!</v>
      </c>
      <c r="AE4" s="121" t="e">
        <f t="shared" ca="1" si="0"/>
        <v>#VALUE!</v>
      </c>
      <c r="AF4" s="121" t="e">
        <f t="shared" ca="1" si="0"/>
        <v>#VALUE!</v>
      </c>
      <c r="AG4" s="121" t="e">
        <f t="shared" ca="1" si="0"/>
        <v>#VALUE!</v>
      </c>
      <c r="AH4" s="121" t="e">
        <f t="shared" ca="1" si="0"/>
        <v>#VALUE!</v>
      </c>
      <c r="AI4" s="121" t="e">
        <f t="shared" ca="1" si="0"/>
        <v>#VALUE!</v>
      </c>
      <c r="AJ4" s="121" t="e">
        <f t="shared" ca="1" si="0"/>
        <v>#VALUE!</v>
      </c>
      <c r="AK4" s="121" t="e">
        <f t="shared" ca="1" si="0"/>
        <v>#VALUE!</v>
      </c>
      <c r="AL4" s="121" t="e">
        <f t="shared" ca="1" si="0"/>
        <v>#VALUE!</v>
      </c>
      <c r="AM4" s="121" t="e">
        <f t="shared" ca="1" si="0"/>
        <v>#VALUE!</v>
      </c>
      <c r="AN4" s="121" t="e">
        <f t="shared" ca="1" si="0"/>
        <v>#VALUE!</v>
      </c>
      <c r="AO4" s="121" t="e">
        <f t="shared" ca="1" si="0"/>
        <v>#VALUE!</v>
      </c>
      <c r="AP4" s="121" t="e">
        <f t="shared" ca="1" si="0"/>
        <v>#VALUE!</v>
      </c>
      <c r="AQ4" s="121" t="e">
        <f t="shared" ca="1" si="0"/>
        <v>#VALUE!</v>
      </c>
      <c r="AR4" s="121" t="e">
        <f t="shared" ca="1" si="0"/>
        <v>#VALUE!</v>
      </c>
      <c r="AS4" s="121" t="e">
        <f t="shared" ca="1" si="0"/>
        <v>#VALUE!</v>
      </c>
      <c r="AT4" s="121" t="e">
        <f t="shared" ca="1" si="0"/>
        <v>#VALUE!</v>
      </c>
      <c r="AU4" s="121" t="e">
        <f t="shared" ca="1" si="0"/>
        <v>#VALUE!</v>
      </c>
      <c r="AV4" s="121" t="e">
        <f t="shared" ca="1" si="0"/>
        <v>#VALUE!</v>
      </c>
      <c r="AW4" s="121" t="e">
        <f t="shared" ca="1" si="0"/>
        <v>#VALUE!</v>
      </c>
      <c r="AX4" s="121" t="e">
        <f t="shared" ca="1" si="0"/>
        <v>#VALUE!</v>
      </c>
      <c r="AY4" s="121" t="e">
        <f t="shared" ca="1" si="0"/>
        <v>#VALUE!</v>
      </c>
      <c r="AZ4" s="121" t="e">
        <f t="shared" ca="1" si="0"/>
        <v>#VALUE!</v>
      </c>
      <c r="BA4" s="121" t="e">
        <f t="shared" ca="1" si="0"/>
        <v>#VALUE!</v>
      </c>
      <c r="BB4" s="121" t="e">
        <f t="shared" ca="1" si="0"/>
        <v>#VALUE!</v>
      </c>
      <c r="BC4" s="121" t="e">
        <f t="shared" ca="1" si="0"/>
        <v>#VALUE!</v>
      </c>
      <c r="BD4" s="121" t="e">
        <f t="shared" ca="1" si="0"/>
        <v>#VALUE!</v>
      </c>
      <c r="BE4" s="121" t="e">
        <f t="shared" ca="1" si="0"/>
        <v>#VALUE!</v>
      </c>
      <c r="BF4" s="121" t="e">
        <f t="shared" ca="1" si="0"/>
        <v>#VALUE!</v>
      </c>
      <c r="BG4" s="121" t="e">
        <f t="shared" ca="1" si="0"/>
        <v>#VALUE!</v>
      </c>
      <c r="BH4" s="121" t="e">
        <f t="shared" ca="1" si="0"/>
        <v>#VALUE!</v>
      </c>
      <c r="BI4" s="121" t="e">
        <f t="shared" ca="1" si="0"/>
        <v>#VALUE!</v>
      </c>
      <c r="BJ4" s="121" t="e">
        <f t="shared" ca="1" si="0"/>
        <v>#VALUE!</v>
      </c>
      <c r="BK4" s="121" t="e">
        <f t="shared" ca="1" si="0"/>
        <v>#VALUE!</v>
      </c>
      <c r="BL4" s="121" t="e">
        <f t="shared" ca="1" si="0"/>
        <v>#VALUE!</v>
      </c>
      <c r="BM4" s="121" t="e">
        <f t="shared" ca="1" si="0"/>
        <v>#VALUE!</v>
      </c>
      <c r="BN4" s="121" t="e">
        <f t="shared" ca="1" si="0"/>
        <v>#VALUE!</v>
      </c>
      <c r="BO4" s="121" t="e">
        <f t="shared" ca="1" si="0"/>
        <v>#VALUE!</v>
      </c>
      <c r="BP4" s="121" t="e">
        <f t="shared" ca="1" si="0"/>
        <v>#VALUE!</v>
      </c>
      <c r="BQ4" s="121" t="e">
        <f t="shared" ca="1" si="0"/>
        <v>#VALUE!</v>
      </c>
      <c r="BR4" s="121" t="e">
        <f t="shared" ca="1" si="0"/>
        <v>#VALUE!</v>
      </c>
      <c r="BS4" s="121" t="e">
        <f t="shared" ca="1" si="0"/>
        <v>#VALUE!</v>
      </c>
      <c r="BT4" s="121" t="e">
        <f t="shared" ca="1" si="0"/>
        <v>#VALUE!</v>
      </c>
      <c r="BU4" s="121" t="e">
        <f t="shared" ca="1" si="0"/>
        <v>#VALUE!</v>
      </c>
      <c r="BV4" s="121" t="e">
        <f t="shared" ca="1" si="0"/>
        <v>#VALUE!</v>
      </c>
      <c r="BW4" s="121" t="e">
        <f t="shared" ca="1" si="0"/>
        <v>#VALUE!</v>
      </c>
      <c r="BX4" s="121" t="e">
        <f t="shared" ca="1" si="0"/>
        <v>#VALUE!</v>
      </c>
      <c r="BY4" s="121" t="e">
        <f t="shared" ca="1" si="0"/>
        <v>#VALUE!</v>
      </c>
      <c r="BZ4" s="121" t="e">
        <f t="shared" ca="1" si="0"/>
        <v>#VALUE!</v>
      </c>
      <c r="CA4" s="121" t="e">
        <f t="shared" ca="1" si="0"/>
        <v>#VALUE!</v>
      </c>
      <c r="CB4" s="121" t="e">
        <f t="shared" ca="1" si="0"/>
        <v>#VALUE!</v>
      </c>
      <c r="CC4" s="121" t="e">
        <f t="shared" ca="1" si="0"/>
        <v>#VALUE!</v>
      </c>
      <c r="CD4" s="121" t="e">
        <f t="shared" ca="1" si="0"/>
        <v>#VALUE!</v>
      </c>
      <c r="CE4" s="121" t="e">
        <f t="shared" ref="CE4:EP4" ca="1" si="1">VALUE(CE5)</f>
        <v>#VALUE!</v>
      </c>
      <c r="CF4" s="121" t="e">
        <f t="shared" ca="1" si="1"/>
        <v>#VALUE!</v>
      </c>
      <c r="CG4" s="121" t="e">
        <f t="shared" ca="1" si="1"/>
        <v>#VALUE!</v>
      </c>
      <c r="CH4" s="121" t="e">
        <f t="shared" ca="1" si="1"/>
        <v>#VALUE!</v>
      </c>
      <c r="CI4" s="121" t="e">
        <f t="shared" ca="1" si="1"/>
        <v>#VALUE!</v>
      </c>
      <c r="CJ4" s="121" t="e">
        <f t="shared" ca="1" si="1"/>
        <v>#VALUE!</v>
      </c>
      <c r="CK4" s="121" t="e">
        <f t="shared" ca="1" si="1"/>
        <v>#VALUE!</v>
      </c>
      <c r="CL4" s="121" t="e">
        <f t="shared" ca="1" si="1"/>
        <v>#VALUE!</v>
      </c>
      <c r="CM4" s="121" t="e">
        <f t="shared" ca="1" si="1"/>
        <v>#VALUE!</v>
      </c>
      <c r="CN4" s="121" t="e">
        <f t="shared" ca="1" si="1"/>
        <v>#VALUE!</v>
      </c>
      <c r="CO4" s="121" t="e">
        <f t="shared" ca="1" si="1"/>
        <v>#VALUE!</v>
      </c>
      <c r="CP4" s="121" t="e">
        <f t="shared" ca="1" si="1"/>
        <v>#VALUE!</v>
      </c>
      <c r="CQ4" s="121" t="e">
        <f t="shared" ca="1" si="1"/>
        <v>#VALUE!</v>
      </c>
      <c r="CR4" s="121" t="e">
        <f t="shared" ca="1" si="1"/>
        <v>#VALUE!</v>
      </c>
      <c r="CS4" s="121" t="e">
        <f t="shared" ca="1" si="1"/>
        <v>#VALUE!</v>
      </c>
      <c r="CT4" s="121" t="e">
        <f t="shared" ca="1" si="1"/>
        <v>#VALUE!</v>
      </c>
      <c r="CU4" s="121" t="e">
        <f t="shared" ca="1" si="1"/>
        <v>#VALUE!</v>
      </c>
      <c r="CV4" s="121" t="e">
        <f t="shared" ca="1" si="1"/>
        <v>#VALUE!</v>
      </c>
      <c r="CW4" s="121" t="e">
        <f t="shared" ca="1" si="1"/>
        <v>#VALUE!</v>
      </c>
      <c r="CX4" s="121" t="e">
        <f t="shared" ca="1" si="1"/>
        <v>#VALUE!</v>
      </c>
      <c r="CY4" s="121" t="e">
        <f t="shared" ca="1" si="1"/>
        <v>#VALUE!</v>
      </c>
      <c r="CZ4" s="121" t="e">
        <f t="shared" ca="1" si="1"/>
        <v>#VALUE!</v>
      </c>
      <c r="DA4" s="121" t="e">
        <f t="shared" ca="1" si="1"/>
        <v>#VALUE!</v>
      </c>
      <c r="DB4" s="121" t="e">
        <f t="shared" ca="1" si="1"/>
        <v>#VALUE!</v>
      </c>
      <c r="DC4" s="121" t="e">
        <f t="shared" ca="1" si="1"/>
        <v>#VALUE!</v>
      </c>
      <c r="DD4" s="121" t="e">
        <f t="shared" ca="1" si="1"/>
        <v>#VALUE!</v>
      </c>
      <c r="DE4" s="121" t="e">
        <f t="shared" ca="1" si="1"/>
        <v>#VALUE!</v>
      </c>
      <c r="DF4" s="121" t="e">
        <f t="shared" ca="1" si="1"/>
        <v>#VALUE!</v>
      </c>
      <c r="DG4" s="121" t="e">
        <f t="shared" ca="1" si="1"/>
        <v>#VALUE!</v>
      </c>
      <c r="DH4" s="121" t="e">
        <f t="shared" ca="1" si="1"/>
        <v>#VALUE!</v>
      </c>
      <c r="DI4" s="121" t="e">
        <f t="shared" ca="1" si="1"/>
        <v>#VALUE!</v>
      </c>
      <c r="DJ4" s="121" t="e">
        <f t="shared" ca="1" si="1"/>
        <v>#VALUE!</v>
      </c>
      <c r="DK4" s="121" t="e">
        <f t="shared" ca="1" si="1"/>
        <v>#VALUE!</v>
      </c>
      <c r="DL4" s="121" t="e">
        <f t="shared" ca="1" si="1"/>
        <v>#VALUE!</v>
      </c>
      <c r="DM4" s="121" t="e">
        <f t="shared" ca="1" si="1"/>
        <v>#VALUE!</v>
      </c>
      <c r="DN4" s="121" t="e">
        <f t="shared" ca="1" si="1"/>
        <v>#VALUE!</v>
      </c>
      <c r="DO4" s="121" t="e">
        <f t="shared" ca="1" si="1"/>
        <v>#VALUE!</v>
      </c>
      <c r="DP4" s="121" t="e">
        <f t="shared" ca="1" si="1"/>
        <v>#VALUE!</v>
      </c>
      <c r="DQ4" s="121" t="e">
        <f t="shared" ca="1" si="1"/>
        <v>#VALUE!</v>
      </c>
      <c r="DR4" s="121" t="e">
        <f t="shared" ca="1" si="1"/>
        <v>#VALUE!</v>
      </c>
      <c r="DS4" s="121" t="e">
        <f t="shared" ca="1" si="1"/>
        <v>#VALUE!</v>
      </c>
      <c r="DT4" s="121" t="e">
        <f t="shared" ca="1" si="1"/>
        <v>#VALUE!</v>
      </c>
      <c r="DU4" s="121" t="e">
        <f t="shared" ca="1" si="1"/>
        <v>#VALUE!</v>
      </c>
      <c r="DV4" s="121" t="e">
        <f t="shared" ca="1" si="1"/>
        <v>#VALUE!</v>
      </c>
      <c r="DW4" s="121" t="e">
        <f t="shared" ca="1" si="1"/>
        <v>#VALUE!</v>
      </c>
      <c r="DX4" s="121" t="e">
        <f t="shared" ca="1" si="1"/>
        <v>#VALUE!</v>
      </c>
      <c r="DY4" s="121" t="e">
        <f t="shared" ca="1" si="1"/>
        <v>#VALUE!</v>
      </c>
      <c r="DZ4" s="121" t="e">
        <f t="shared" ca="1" si="1"/>
        <v>#VALUE!</v>
      </c>
      <c r="EA4" s="121" t="e">
        <f t="shared" ca="1" si="1"/>
        <v>#VALUE!</v>
      </c>
      <c r="EB4" s="121" t="e">
        <f t="shared" ca="1" si="1"/>
        <v>#VALUE!</v>
      </c>
      <c r="EC4" s="121" t="e">
        <f t="shared" ca="1" si="1"/>
        <v>#VALUE!</v>
      </c>
      <c r="ED4" s="121" t="e">
        <f t="shared" ca="1" si="1"/>
        <v>#VALUE!</v>
      </c>
      <c r="EE4" s="121" t="e">
        <f t="shared" ca="1" si="1"/>
        <v>#VALUE!</v>
      </c>
      <c r="EF4" s="121" t="e">
        <f t="shared" ca="1" si="1"/>
        <v>#VALUE!</v>
      </c>
      <c r="EG4" s="121" t="e">
        <f t="shared" ca="1" si="1"/>
        <v>#VALUE!</v>
      </c>
      <c r="EH4" s="121" t="e">
        <f t="shared" ca="1" si="1"/>
        <v>#VALUE!</v>
      </c>
      <c r="EI4" s="121" t="e">
        <f t="shared" ca="1" si="1"/>
        <v>#VALUE!</v>
      </c>
      <c r="EJ4" s="121" t="e">
        <f t="shared" ca="1" si="1"/>
        <v>#VALUE!</v>
      </c>
      <c r="EK4" s="121" t="e">
        <f t="shared" ca="1" si="1"/>
        <v>#VALUE!</v>
      </c>
      <c r="EL4" s="121" t="e">
        <f t="shared" ca="1" si="1"/>
        <v>#VALUE!</v>
      </c>
      <c r="EM4" s="121" t="e">
        <f t="shared" ca="1" si="1"/>
        <v>#VALUE!</v>
      </c>
      <c r="EN4" s="121" t="e">
        <f t="shared" ca="1" si="1"/>
        <v>#VALUE!</v>
      </c>
      <c r="EO4" s="121" t="e">
        <f t="shared" ca="1" si="1"/>
        <v>#VALUE!</v>
      </c>
      <c r="EP4" s="121" t="e">
        <f t="shared" ca="1" si="1"/>
        <v>#VALUE!</v>
      </c>
      <c r="EQ4" s="121" t="e">
        <f t="shared" ref="EQ4:HB4" ca="1" si="2">VALUE(EQ5)</f>
        <v>#VALUE!</v>
      </c>
      <c r="ER4" s="121" t="e">
        <f t="shared" ca="1" si="2"/>
        <v>#VALUE!</v>
      </c>
      <c r="ES4" s="121" t="e">
        <f t="shared" ca="1" si="2"/>
        <v>#VALUE!</v>
      </c>
      <c r="ET4" s="121" t="e">
        <f t="shared" ca="1" si="2"/>
        <v>#VALUE!</v>
      </c>
      <c r="EU4" s="121" t="e">
        <f t="shared" ca="1" si="2"/>
        <v>#VALUE!</v>
      </c>
      <c r="EV4" s="121" t="e">
        <f t="shared" ca="1" si="2"/>
        <v>#VALUE!</v>
      </c>
      <c r="EW4" s="121" t="e">
        <f t="shared" ca="1" si="2"/>
        <v>#VALUE!</v>
      </c>
      <c r="EX4" s="121" t="e">
        <f t="shared" ca="1" si="2"/>
        <v>#VALUE!</v>
      </c>
      <c r="EY4" s="121" t="e">
        <f t="shared" ca="1" si="2"/>
        <v>#VALUE!</v>
      </c>
      <c r="EZ4" s="121" t="e">
        <f t="shared" ca="1" si="2"/>
        <v>#VALUE!</v>
      </c>
      <c r="FA4" s="121" t="e">
        <f t="shared" ca="1" si="2"/>
        <v>#VALUE!</v>
      </c>
      <c r="FB4" s="121" t="e">
        <f t="shared" ca="1" si="2"/>
        <v>#VALUE!</v>
      </c>
      <c r="FC4" s="121" t="e">
        <f t="shared" ca="1" si="2"/>
        <v>#VALUE!</v>
      </c>
      <c r="FD4" s="121" t="e">
        <f t="shared" ca="1" si="2"/>
        <v>#VALUE!</v>
      </c>
      <c r="FE4" s="121" t="e">
        <f t="shared" ca="1" si="2"/>
        <v>#VALUE!</v>
      </c>
      <c r="FF4" s="121" t="e">
        <f t="shared" ca="1" si="2"/>
        <v>#VALUE!</v>
      </c>
      <c r="FG4" s="121" t="e">
        <f t="shared" ca="1" si="2"/>
        <v>#VALUE!</v>
      </c>
      <c r="FH4" s="121" t="e">
        <f t="shared" ca="1" si="2"/>
        <v>#VALUE!</v>
      </c>
      <c r="FI4" s="121" t="e">
        <f t="shared" ca="1" si="2"/>
        <v>#VALUE!</v>
      </c>
      <c r="FJ4" s="121" t="e">
        <f t="shared" ca="1" si="2"/>
        <v>#VALUE!</v>
      </c>
      <c r="FK4" s="121" t="e">
        <f t="shared" ca="1" si="2"/>
        <v>#VALUE!</v>
      </c>
      <c r="FL4" s="121" t="e">
        <f t="shared" ca="1" si="2"/>
        <v>#VALUE!</v>
      </c>
      <c r="FM4" s="121" t="e">
        <f t="shared" ca="1" si="2"/>
        <v>#VALUE!</v>
      </c>
      <c r="FN4" s="121" t="e">
        <f t="shared" ca="1" si="2"/>
        <v>#VALUE!</v>
      </c>
      <c r="FO4" s="121" t="e">
        <f t="shared" ca="1" si="2"/>
        <v>#VALUE!</v>
      </c>
      <c r="FP4" s="121" t="e">
        <f t="shared" ca="1" si="2"/>
        <v>#VALUE!</v>
      </c>
      <c r="FQ4" s="121" t="e">
        <f t="shared" ca="1" si="2"/>
        <v>#VALUE!</v>
      </c>
      <c r="FR4" s="121" t="e">
        <f t="shared" ca="1" si="2"/>
        <v>#VALUE!</v>
      </c>
      <c r="FS4" s="121" t="e">
        <f t="shared" ca="1" si="2"/>
        <v>#VALUE!</v>
      </c>
      <c r="FT4" s="121" t="e">
        <f t="shared" ca="1" si="2"/>
        <v>#VALUE!</v>
      </c>
      <c r="FU4" s="121" t="e">
        <f t="shared" ca="1" si="2"/>
        <v>#VALUE!</v>
      </c>
      <c r="FV4" s="121" t="e">
        <f t="shared" ca="1" si="2"/>
        <v>#VALUE!</v>
      </c>
      <c r="FW4" s="121" t="e">
        <f t="shared" ca="1" si="2"/>
        <v>#VALUE!</v>
      </c>
      <c r="FX4" s="121" t="e">
        <f t="shared" ca="1" si="2"/>
        <v>#VALUE!</v>
      </c>
      <c r="FY4" s="121" t="e">
        <f t="shared" ca="1" si="2"/>
        <v>#VALUE!</v>
      </c>
      <c r="FZ4" s="121" t="e">
        <f t="shared" ca="1" si="2"/>
        <v>#VALUE!</v>
      </c>
      <c r="GA4" s="121" t="e">
        <f t="shared" ca="1" si="2"/>
        <v>#VALUE!</v>
      </c>
      <c r="GB4" s="121" t="e">
        <f t="shared" ca="1" si="2"/>
        <v>#VALUE!</v>
      </c>
      <c r="GC4" s="121" t="e">
        <f t="shared" ca="1" si="2"/>
        <v>#VALUE!</v>
      </c>
      <c r="GD4" s="121" t="e">
        <f t="shared" ca="1" si="2"/>
        <v>#VALUE!</v>
      </c>
      <c r="GE4" s="121" t="e">
        <f t="shared" ca="1" si="2"/>
        <v>#VALUE!</v>
      </c>
      <c r="GF4" s="121" t="e">
        <f t="shared" ca="1" si="2"/>
        <v>#VALUE!</v>
      </c>
      <c r="GG4" s="121" t="e">
        <f t="shared" ca="1" si="2"/>
        <v>#VALUE!</v>
      </c>
      <c r="GH4" s="121" t="e">
        <f t="shared" ca="1" si="2"/>
        <v>#VALUE!</v>
      </c>
      <c r="GI4" s="121" t="e">
        <f t="shared" ca="1" si="2"/>
        <v>#VALUE!</v>
      </c>
      <c r="GJ4" s="121" t="e">
        <f t="shared" ca="1" si="2"/>
        <v>#VALUE!</v>
      </c>
      <c r="GK4" s="121" t="e">
        <f t="shared" ca="1" si="2"/>
        <v>#VALUE!</v>
      </c>
      <c r="GL4" s="121" t="e">
        <f t="shared" ca="1" si="2"/>
        <v>#VALUE!</v>
      </c>
      <c r="GM4" s="121" t="e">
        <f t="shared" ca="1" si="2"/>
        <v>#VALUE!</v>
      </c>
      <c r="GN4" s="121" t="e">
        <f t="shared" ca="1" si="2"/>
        <v>#VALUE!</v>
      </c>
      <c r="GO4" s="121" t="e">
        <f t="shared" ca="1" si="2"/>
        <v>#VALUE!</v>
      </c>
      <c r="GP4" s="121" t="e">
        <f t="shared" ca="1" si="2"/>
        <v>#VALUE!</v>
      </c>
      <c r="GQ4" s="121" t="e">
        <f t="shared" ca="1" si="2"/>
        <v>#VALUE!</v>
      </c>
      <c r="GR4" s="121" t="e">
        <f t="shared" ca="1" si="2"/>
        <v>#VALUE!</v>
      </c>
      <c r="GS4" s="121" t="e">
        <f t="shared" ca="1" si="2"/>
        <v>#VALUE!</v>
      </c>
      <c r="GT4" s="121" t="e">
        <f t="shared" ca="1" si="2"/>
        <v>#VALUE!</v>
      </c>
      <c r="GU4" s="121" t="e">
        <f t="shared" ca="1" si="2"/>
        <v>#VALUE!</v>
      </c>
      <c r="GV4" s="121" t="e">
        <f t="shared" ca="1" si="2"/>
        <v>#VALUE!</v>
      </c>
      <c r="GW4" s="121" t="e">
        <f t="shared" ca="1" si="2"/>
        <v>#VALUE!</v>
      </c>
      <c r="GX4" s="121" t="e">
        <f t="shared" ca="1" si="2"/>
        <v>#VALUE!</v>
      </c>
      <c r="GY4" s="121" t="e">
        <f t="shared" ca="1" si="2"/>
        <v>#VALUE!</v>
      </c>
      <c r="GZ4" s="121" t="e">
        <f t="shared" ca="1" si="2"/>
        <v>#VALUE!</v>
      </c>
      <c r="HA4" s="121" t="e">
        <f t="shared" ca="1" si="2"/>
        <v>#VALUE!</v>
      </c>
      <c r="HB4" s="121" t="e">
        <f t="shared" ca="1" si="2"/>
        <v>#VALUE!</v>
      </c>
      <c r="HC4" s="121" t="e">
        <f t="shared" ref="HC4:IW4" ca="1" si="3">VALUE(HC5)</f>
        <v>#VALUE!</v>
      </c>
      <c r="HD4" s="121" t="e">
        <f t="shared" ca="1" si="3"/>
        <v>#VALUE!</v>
      </c>
      <c r="HE4" s="121" t="e">
        <f t="shared" ca="1" si="3"/>
        <v>#VALUE!</v>
      </c>
      <c r="HF4" s="121" t="e">
        <f t="shared" ca="1" si="3"/>
        <v>#VALUE!</v>
      </c>
      <c r="HG4" s="121" t="e">
        <f t="shared" ca="1" si="3"/>
        <v>#VALUE!</v>
      </c>
      <c r="HH4" s="121" t="e">
        <f t="shared" ca="1" si="3"/>
        <v>#VALUE!</v>
      </c>
      <c r="HI4" s="121" t="e">
        <f t="shared" ca="1" si="3"/>
        <v>#VALUE!</v>
      </c>
      <c r="HJ4" s="121" t="e">
        <f t="shared" ca="1" si="3"/>
        <v>#VALUE!</v>
      </c>
      <c r="HK4" s="121" t="e">
        <f t="shared" ca="1" si="3"/>
        <v>#VALUE!</v>
      </c>
      <c r="HL4" s="121" t="e">
        <f t="shared" ca="1" si="3"/>
        <v>#VALUE!</v>
      </c>
      <c r="HM4" s="121" t="e">
        <f t="shared" ca="1" si="3"/>
        <v>#VALUE!</v>
      </c>
      <c r="HN4" s="121" t="e">
        <f t="shared" ca="1" si="3"/>
        <v>#VALUE!</v>
      </c>
      <c r="HO4" s="121" t="e">
        <f t="shared" ca="1" si="3"/>
        <v>#VALUE!</v>
      </c>
      <c r="HP4" s="121" t="e">
        <f t="shared" ca="1" si="3"/>
        <v>#VALUE!</v>
      </c>
      <c r="HQ4" s="121" t="e">
        <f t="shared" ca="1" si="3"/>
        <v>#VALUE!</v>
      </c>
      <c r="HR4" s="121" t="e">
        <f t="shared" ca="1" si="3"/>
        <v>#VALUE!</v>
      </c>
      <c r="HS4" s="121" t="e">
        <f t="shared" ca="1" si="3"/>
        <v>#VALUE!</v>
      </c>
      <c r="HT4" s="121" t="e">
        <f t="shared" ca="1" si="3"/>
        <v>#VALUE!</v>
      </c>
      <c r="HU4" s="121" t="e">
        <f t="shared" ca="1" si="3"/>
        <v>#VALUE!</v>
      </c>
      <c r="HV4" s="121" t="e">
        <f t="shared" ca="1" si="3"/>
        <v>#VALUE!</v>
      </c>
      <c r="HW4" s="121" t="e">
        <f t="shared" ca="1" si="3"/>
        <v>#VALUE!</v>
      </c>
      <c r="HX4" s="121" t="e">
        <f t="shared" ca="1" si="3"/>
        <v>#VALUE!</v>
      </c>
      <c r="HY4" s="121" t="e">
        <f t="shared" ca="1" si="3"/>
        <v>#VALUE!</v>
      </c>
      <c r="HZ4" s="121" t="e">
        <f t="shared" ca="1" si="3"/>
        <v>#VALUE!</v>
      </c>
      <c r="IA4" s="121" t="e">
        <f t="shared" ca="1" si="3"/>
        <v>#VALUE!</v>
      </c>
      <c r="IB4" s="121" t="e">
        <f t="shared" ca="1" si="3"/>
        <v>#VALUE!</v>
      </c>
      <c r="IC4" s="121" t="e">
        <f t="shared" ca="1" si="3"/>
        <v>#VALUE!</v>
      </c>
      <c r="ID4" s="121" t="e">
        <f t="shared" ca="1" si="3"/>
        <v>#VALUE!</v>
      </c>
      <c r="IE4" s="121" t="e">
        <f t="shared" ca="1" si="3"/>
        <v>#VALUE!</v>
      </c>
      <c r="IF4" s="121" t="e">
        <f t="shared" ca="1" si="3"/>
        <v>#VALUE!</v>
      </c>
      <c r="IG4" s="121" t="e">
        <f t="shared" ca="1" si="3"/>
        <v>#VALUE!</v>
      </c>
      <c r="IH4" s="121" t="e">
        <f t="shared" ca="1" si="3"/>
        <v>#VALUE!</v>
      </c>
      <c r="II4" s="121" t="e">
        <f t="shared" ca="1" si="3"/>
        <v>#VALUE!</v>
      </c>
      <c r="IJ4" s="121" t="e">
        <f t="shared" ca="1" si="3"/>
        <v>#VALUE!</v>
      </c>
      <c r="IK4" s="121" t="e">
        <f t="shared" ca="1" si="3"/>
        <v>#VALUE!</v>
      </c>
      <c r="IL4" s="121" t="e">
        <f t="shared" ca="1" si="3"/>
        <v>#VALUE!</v>
      </c>
      <c r="IM4" s="121" t="e">
        <f t="shared" ca="1" si="3"/>
        <v>#VALUE!</v>
      </c>
      <c r="IN4" s="121" t="e">
        <f t="shared" ca="1" si="3"/>
        <v>#VALUE!</v>
      </c>
      <c r="IO4" s="121" t="e">
        <f t="shared" ca="1" si="3"/>
        <v>#VALUE!</v>
      </c>
      <c r="IP4" s="121" t="e">
        <f t="shared" ca="1" si="3"/>
        <v>#VALUE!</v>
      </c>
      <c r="IQ4" s="121" t="e">
        <f t="shared" ca="1" si="3"/>
        <v>#VALUE!</v>
      </c>
      <c r="IR4" s="121" t="e">
        <f t="shared" ca="1" si="3"/>
        <v>#VALUE!</v>
      </c>
      <c r="IS4" s="121" t="e">
        <f t="shared" ca="1" si="3"/>
        <v>#VALUE!</v>
      </c>
      <c r="IT4" s="121" t="e">
        <f t="shared" ca="1" si="3"/>
        <v>#VALUE!</v>
      </c>
      <c r="IU4" s="121" t="e">
        <f t="shared" ca="1" si="3"/>
        <v>#VALUE!</v>
      </c>
      <c r="IV4" s="121" t="e">
        <f t="shared" ca="1" si="3"/>
        <v>#VALUE!</v>
      </c>
      <c r="IW4" s="121" t="e">
        <f t="shared" ca="1" si="3"/>
        <v>#VALUE!</v>
      </c>
    </row>
    <row r="5" spans="1:264" s="183" customFormat="1" ht="12.75" hidden="1">
      <c r="A5" s="122"/>
      <c r="B5" s="136" t="s">
        <v>72</v>
      </c>
      <c r="C5" s="362" t="e">
        <f ca="1">S6&amp;" - "&amp;IT6</f>
        <v>#VALUE!</v>
      </c>
      <c r="D5" s="362"/>
      <c r="E5" s="362"/>
      <c r="F5" s="362"/>
      <c r="G5" s="362"/>
      <c r="H5" s="362"/>
      <c r="I5" s="124"/>
      <c r="J5" s="138"/>
      <c r="K5" s="125"/>
      <c r="L5" s="137"/>
      <c r="M5" s="126"/>
      <c r="N5" s="121"/>
      <c r="O5" s="126"/>
      <c r="P5" s="126"/>
      <c r="Q5" s="121"/>
      <c r="R5" s="139">
        <v>0</v>
      </c>
      <c r="S5" s="140" t="e">
        <f ca="1">J_normdate(J_ADDDAY(J_SUBDAY(FDate(MIN(OFFSET(E6,0,0,500,1))),j_WEEKDAY(FDate(MIN(OFFSET(E6,0,0,500,1))),0),1),7*R5,1))</f>
        <v>#VALUE!</v>
      </c>
      <c r="T5" s="140" t="e">
        <f ca="1">J_normdate(J_ADDDAY(FDate(S5),1,1))</f>
        <v>#VALUE!</v>
      </c>
      <c r="U5" s="140" t="e">
        <f ca="1">J_normdate(J_ADDDAY(FDate(T5),1,1))</f>
        <v>#VALUE!</v>
      </c>
      <c r="V5" s="140" t="e">
        <f ca="1">J_normdate(J_ADDDAY(FDate(U5),1,1))</f>
        <v>#VALUE!</v>
      </c>
      <c r="W5" s="140" t="e">
        <f ca="1">J_normdate(J_ADDDAY(FDate(V5),1,1))</f>
        <v>#VALUE!</v>
      </c>
      <c r="X5" s="140" t="e">
        <f ca="1">J_normdate(J_ADDDAY(FDate(W5),1,1))</f>
        <v>#VALUE!</v>
      </c>
      <c r="Y5" s="140" t="e">
        <f ca="1">J_normdate(J_ADDDAY(FDate(X5),1,1))</f>
        <v>#VALUE!</v>
      </c>
      <c r="Z5" s="140" t="e">
        <f ca="1">J_normdate(J_ADDDAY(FDate(Y5),1,1))</f>
        <v>#VALUE!</v>
      </c>
      <c r="AA5" s="140" t="e">
        <f ca="1">J_normdate(J_ADDDAY(FDate(Z5),1,1))</f>
        <v>#VALUE!</v>
      </c>
      <c r="AB5" s="140" t="e">
        <f ca="1">J_normdate(J_ADDDAY(FDate(AA5),1,1))</f>
        <v>#VALUE!</v>
      </c>
      <c r="AC5" s="140" t="e">
        <f ca="1">J_normdate(J_ADDDAY(FDate(AB5),1,1))</f>
        <v>#VALUE!</v>
      </c>
      <c r="AD5" s="140" t="e">
        <f ca="1">J_normdate(J_ADDDAY(FDate(AC5),1,1))</f>
        <v>#VALUE!</v>
      </c>
      <c r="AE5" s="140" t="e">
        <f ca="1">J_normdate(J_ADDDAY(FDate(AD5),1,1))</f>
        <v>#VALUE!</v>
      </c>
      <c r="AF5" s="140" t="e">
        <f ca="1">J_normdate(J_ADDDAY(FDate(AE5),1,1))</f>
        <v>#VALUE!</v>
      </c>
      <c r="AG5" s="140" t="e">
        <f ca="1">J_normdate(J_ADDDAY(FDate(AF5),1,1))</f>
        <v>#VALUE!</v>
      </c>
      <c r="AH5" s="140" t="e">
        <f ca="1">J_normdate(J_ADDDAY(FDate(AG5),1,1))</f>
        <v>#VALUE!</v>
      </c>
      <c r="AI5" s="140" t="e">
        <f ca="1">J_normdate(J_ADDDAY(FDate(AH5),1,1))</f>
        <v>#VALUE!</v>
      </c>
      <c r="AJ5" s="140" t="e">
        <f ca="1">J_normdate(J_ADDDAY(FDate(AI5),1,1))</f>
        <v>#VALUE!</v>
      </c>
      <c r="AK5" s="140" t="e">
        <f ca="1">J_normdate(J_ADDDAY(FDate(AJ5),1,1))</f>
        <v>#VALUE!</v>
      </c>
      <c r="AL5" s="140" t="e">
        <f ca="1">J_normdate(J_ADDDAY(FDate(AK5),1,1))</f>
        <v>#VALUE!</v>
      </c>
      <c r="AM5" s="140" t="e">
        <f ca="1">J_normdate(J_ADDDAY(FDate(AL5),1,1))</f>
        <v>#VALUE!</v>
      </c>
      <c r="AN5" s="140" t="e">
        <f ca="1">J_normdate(J_ADDDAY(FDate(AM5),1,1))</f>
        <v>#VALUE!</v>
      </c>
      <c r="AO5" s="140" t="e">
        <f ca="1">J_normdate(J_ADDDAY(FDate(AN5),1,1))</f>
        <v>#VALUE!</v>
      </c>
      <c r="AP5" s="140" t="e">
        <f ca="1">J_normdate(J_ADDDAY(FDate(AO5),1,1))</f>
        <v>#VALUE!</v>
      </c>
      <c r="AQ5" s="140" t="e">
        <f ca="1">J_normdate(J_ADDDAY(FDate(AP5),1,1))</f>
        <v>#VALUE!</v>
      </c>
      <c r="AR5" s="140" t="e">
        <f ca="1">J_normdate(J_ADDDAY(FDate(AQ5),1,1))</f>
        <v>#VALUE!</v>
      </c>
      <c r="AS5" s="140" t="e">
        <f ca="1">J_normdate(J_ADDDAY(FDate(AR5),1,1))</f>
        <v>#VALUE!</v>
      </c>
      <c r="AT5" s="140" t="e">
        <f ca="1">J_normdate(J_ADDDAY(FDate(AS5),1,1))</f>
        <v>#VALUE!</v>
      </c>
      <c r="AU5" s="140" t="e">
        <f ca="1">J_normdate(J_ADDDAY(FDate(AT5),1,1))</f>
        <v>#VALUE!</v>
      </c>
      <c r="AV5" s="140" t="e">
        <f ca="1">J_normdate(J_ADDDAY(FDate(AU5),1,1))</f>
        <v>#VALUE!</v>
      </c>
      <c r="AW5" s="140" t="e">
        <f ca="1">J_normdate(J_ADDDAY(FDate(AV5),1,1))</f>
        <v>#VALUE!</v>
      </c>
      <c r="AX5" s="140" t="e">
        <f ca="1">J_normdate(J_ADDDAY(FDate(AW5),1,1))</f>
        <v>#VALUE!</v>
      </c>
      <c r="AY5" s="140" t="e">
        <f ca="1">J_normdate(J_ADDDAY(FDate(AX5),1,1))</f>
        <v>#VALUE!</v>
      </c>
      <c r="AZ5" s="140" t="e">
        <f ca="1">J_normdate(J_ADDDAY(FDate(AY5),1,1))</f>
        <v>#VALUE!</v>
      </c>
      <c r="BA5" s="140" t="e">
        <f ca="1">J_normdate(J_ADDDAY(FDate(AZ5),1,1))</f>
        <v>#VALUE!</v>
      </c>
      <c r="BB5" s="140" t="e">
        <f ca="1">J_normdate(J_ADDDAY(FDate(BA5),1,1))</f>
        <v>#VALUE!</v>
      </c>
      <c r="BC5" s="140" t="e">
        <f ca="1">J_normdate(J_ADDDAY(FDate(BB5),1,1))</f>
        <v>#VALUE!</v>
      </c>
      <c r="BD5" s="140" t="e">
        <f ca="1">J_normdate(J_ADDDAY(FDate(BC5),1,1))</f>
        <v>#VALUE!</v>
      </c>
      <c r="BE5" s="140" t="e">
        <f ca="1">J_normdate(J_ADDDAY(FDate(BD5),1,1))</f>
        <v>#VALUE!</v>
      </c>
      <c r="BF5" s="140" t="e">
        <f ca="1">J_normdate(J_ADDDAY(FDate(BE5),1,1))</f>
        <v>#VALUE!</v>
      </c>
      <c r="BG5" s="140" t="e">
        <f ca="1">J_normdate(J_ADDDAY(FDate(BF5),1,1))</f>
        <v>#VALUE!</v>
      </c>
      <c r="BH5" s="140" t="e">
        <f ca="1">J_normdate(J_ADDDAY(FDate(BG5),1,1))</f>
        <v>#VALUE!</v>
      </c>
      <c r="BI5" s="140" t="e">
        <f ca="1">J_normdate(J_ADDDAY(FDate(BH5),1,1))</f>
        <v>#VALUE!</v>
      </c>
      <c r="BJ5" s="140" t="e">
        <f ca="1">J_normdate(J_ADDDAY(FDate(BI5),1,1))</f>
        <v>#VALUE!</v>
      </c>
      <c r="BK5" s="140" t="e">
        <f ca="1">J_normdate(J_ADDDAY(FDate(BJ5),1,1))</f>
        <v>#VALUE!</v>
      </c>
      <c r="BL5" s="140" t="e">
        <f ca="1">J_normdate(J_ADDDAY(FDate(BK5),1,1))</f>
        <v>#VALUE!</v>
      </c>
      <c r="BM5" s="140" t="e">
        <f ca="1">J_normdate(J_ADDDAY(FDate(BL5),1,1))</f>
        <v>#VALUE!</v>
      </c>
      <c r="BN5" s="140" t="e">
        <f ca="1">J_normdate(J_ADDDAY(FDate(BM5),1,1))</f>
        <v>#VALUE!</v>
      </c>
      <c r="BO5" s="140" t="e">
        <f ca="1">J_normdate(J_ADDDAY(FDate(BN5),1,1))</f>
        <v>#VALUE!</v>
      </c>
      <c r="BP5" s="140" t="e">
        <f ca="1">J_normdate(J_ADDDAY(FDate(BO5),1,1))</f>
        <v>#VALUE!</v>
      </c>
      <c r="BQ5" s="140" t="e">
        <f ca="1">J_normdate(J_ADDDAY(FDate(BP5),1,1))</f>
        <v>#VALUE!</v>
      </c>
      <c r="BR5" s="140" t="e">
        <f ca="1">J_normdate(J_ADDDAY(FDate(BQ5),1,1))</f>
        <v>#VALUE!</v>
      </c>
      <c r="BS5" s="140" t="e">
        <f ca="1">J_normdate(J_ADDDAY(FDate(BR5),1,1))</f>
        <v>#VALUE!</v>
      </c>
      <c r="BT5" s="140" t="e">
        <f ca="1">J_normdate(J_ADDDAY(FDate(BS5),1,1))</f>
        <v>#VALUE!</v>
      </c>
      <c r="BU5" s="140" t="e">
        <f ca="1">J_normdate(J_ADDDAY(FDate(BT5),1,1))</f>
        <v>#VALUE!</v>
      </c>
      <c r="BV5" s="140" t="e">
        <f ca="1">J_normdate(J_ADDDAY(FDate(BU5),1,1))</f>
        <v>#VALUE!</v>
      </c>
      <c r="BW5" s="140" t="e">
        <f ca="1">J_normdate(J_ADDDAY(FDate(BV5),1,1))</f>
        <v>#VALUE!</v>
      </c>
      <c r="BX5" s="140" t="e">
        <f ca="1">J_normdate(J_ADDDAY(FDate(BW5),1,1))</f>
        <v>#VALUE!</v>
      </c>
      <c r="BY5" s="140" t="e">
        <f ca="1">J_normdate(J_ADDDAY(FDate(BX5),1,1))</f>
        <v>#VALUE!</v>
      </c>
      <c r="BZ5" s="140" t="e">
        <f ca="1">J_normdate(J_ADDDAY(FDate(BY5),1,1))</f>
        <v>#VALUE!</v>
      </c>
      <c r="CA5" s="140" t="e">
        <f ca="1">J_normdate(J_ADDDAY(FDate(BZ5),1,1))</f>
        <v>#VALUE!</v>
      </c>
      <c r="CB5" s="140" t="e">
        <f ca="1">J_normdate(J_ADDDAY(FDate(CA5),1,1))</f>
        <v>#VALUE!</v>
      </c>
      <c r="CC5" s="140" t="e">
        <f ca="1">J_normdate(J_ADDDAY(FDate(CB5),1,1))</f>
        <v>#VALUE!</v>
      </c>
      <c r="CD5" s="140" t="e">
        <f ca="1">J_normdate(J_ADDDAY(FDate(CC5),1,1))</f>
        <v>#VALUE!</v>
      </c>
      <c r="CE5" s="140" t="e">
        <f ca="1">J_normdate(J_ADDDAY(FDate(CD5),1,1))</f>
        <v>#VALUE!</v>
      </c>
      <c r="CF5" s="140" t="e">
        <f ca="1">J_normdate(J_ADDDAY(FDate(CE5),1,1))</f>
        <v>#VALUE!</v>
      </c>
      <c r="CG5" s="140" t="e">
        <f ca="1">J_normdate(J_ADDDAY(FDate(CF5),1,1))</f>
        <v>#VALUE!</v>
      </c>
      <c r="CH5" s="140" t="e">
        <f ca="1">J_normdate(J_ADDDAY(FDate(CG5),1,1))</f>
        <v>#VALUE!</v>
      </c>
      <c r="CI5" s="140" t="e">
        <f ca="1">J_normdate(J_ADDDAY(FDate(CH5),1,1))</f>
        <v>#VALUE!</v>
      </c>
      <c r="CJ5" s="140" t="e">
        <f ca="1">J_normdate(J_ADDDAY(FDate(CI5),1,1))</f>
        <v>#VALUE!</v>
      </c>
      <c r="CK5" s="140" t="e">
        <f ca="1">J_normdate(J_ADDDAY(FDate(CJ5),1,1))</f>
        <v>#VALUE!</v>
      </c>
      <c r="CL5" s="140" t="e">
        <f ca="1">J_normdate(J_ADDDAY(FDate(CK5),1,1))</f>
        <v>#VALUE!</v>
      </c>
      <c r="CM5" s="140" t="e">
        <f ca="1">J_normdate(J_ADDDAY(FDate(CL5),1,1))</f>
        <v>#VALUE!</v>
      </c>
      <c r="CN5" s="140" t="e">
        <f ca="1">J_normdate(J_ADDDAY(FDate(CM5),1,1))</f>
        <v>#VALUE!</v>
      </c>
      <c r="CO5" s="140" t="e">
        <f ca="1">J_normdate(J_ADDDAY(FDate(CN5),1,1))</f>
        <v>#VALUE!</v>
      </c>
      <c r="CP5" s="140" t="e">
        <f ca="1">J_normdate(J_ADDDAY(FDate(CO5),1,1))</f>
        <v>#VALUE!</v>
      </c>
      <c r="CQ5" s="140" t="e">
        <f ca="1">J_normdate(J_ADDDAY(FDate(CP5),1,1))</f>
        <v>#VALUE!</v>
      </c>
      <c r="CR5" s="140" t="e">
        <f ca="1">J_normdate(J_ADDDAY(FDate(CQ5),1,1))</f>
        <v>#VALUE!</v>
      </c>
      <c r="CS5" s="140" t="e">
        <f ca="1">J_normdate(J_ADDDAY(FDate(CR5),1,1))</f>
        <v>#VALUE!</v>
      </c>
      <c r="CT5" s="140" t="e">
        <f ca="1">J_normdate(J_ADDDAY(FDate(CS5),1,1))</f>
        <v>#VALUE!</v>
      </c>
      <c r="CU5" s="140" t="e">
        <f ca="1">J_normdate(J_ADDDAY(FDate(CT5),1,1))</f>
        <v>#VALUE!</v>
      </c>
      <c r="CV5" s="140" t="e">
        <f ca="1">J_normdate(J_ADDDAY(FDate(CU5),1,1))</f>
        <v>#VALUE!</v>
      </c>
      <c r="CW5" s="140" t="e">
        <f ca="1">J_normdate(J_ADDDAY(FDate(CV5),1,1))</f>
        <v>#VALUE!</v>
      </c>
      <c r="CX5" s="140" t="e">
        <f ca="1">J_normdate(J_ADDDAY(FDate(CW5),1,1))</f>
        <v>#VALUE!</v>
      </c>
      <c r="CY5" s="140" t="e">
        <f ca="1">J_normdate(J_ADDDAY(FDate(CX5),1,1))</f>
        <v>#VALUE!</v>
      </c>
      <c r="CZ5" s="140" t="e">
        <f ca="1">J_normdate(J_ADDDAY(FDate(CY5),1,1))</f>
        <v>#VALUE!</v>
      </c>
      <c r="DA5" s="140" t="e">
        <f ca="1">J_normdate(J_ADDDAY(FDate(CZ5),1,1))</f>
        <v>#VALUE!</v>
      </c>
      <c r="DB5" s="140" t="e">
        <f ca="1">J_normdate(J_ADDDAY(FDate(DA5),1,1))</f>
        <v>#VALUE!</v>
      </c>
      <c r="DC5" s="140" t="e">
        <f ca="1">J_normdate(J_ADDDAY(FDate(DB5),1,1))</f>
        <v>#VALUE!</v>
      </c>
      <c r="DD5" s="140" t="e">
        <f ca="1">J_normdate(J_ADDDAY(FDate(DC5),1,1))</f>
        <v>#VALUE!</v>
      </c>
      <c r="DE5" s="140" t="e">
        <f ca="1">J_normdate(J_ADDDAY(FDate(DD5),1,1))</f>
        <v>#VALUE!</v>
      </c>
      <c r="DF5" s="140" t="e">
        <f ca="1">J_normdate(J_ADDDAY(FDate(DE5),1,1))</f>
        <v>#VALUE!</v>
      </c>
      <c r="DG5" s="140" t="e">
        <f ca="1">J_normdate(J_ADDDAY(FDate(DF5),1,1))</f>
        <v>#VALUE!</v>
      </c>
      <c r="DH5" s="140" t="e">
        <f ca="1">J_normdate(J_ADDDAY(FDate(DG5),1,1))</f>
        <v>#VALUE!</v>
      </c>
      <c r="DI5" s="140" t="e">
        <f ca="1">J_normdate(J_ADDDAY(FDate(DH5),1,1))</f>
        <v>#VALUE!</v>
      </c>
      <c r="DJ5" s="140" t="e">
        <f ca="1">J_normdate(J_ADDDAY(FDate(DI5),1,1))</f>
        <v>#VALUE!</v>
      </c>
      <c r="DK5" s="140" t="e">
        <f ca="1">J_normdate(J_ADDDAY(FDate(DJ5),1,1))</f>
        <v>#VALUE!</v>
      </c>
      <c r="DL5" s="140" t="e">
        <f ca="1">J_normdate(J_ADDDAY(FDate(DK5),1,1))</f>
        <v>#VALUE!</v>
      </c>
      <c r="DM5" s="140" t="e">
        <f ca="1">J_normdate(J_ADDDAY(FDate(DL5),1,1))</f>
        <v>#VALUE!</v>
      </c>
      <c r="DN5" s="140" t="e">
        <f ca="1">J_normdate(J_ADDDAY(FDate(DM5),1,1))</f>
        <v>#VALUE!</v>
      </c>
      <c r="DO5" s="140" t="e">
        <f ca="1">J_normdate(J_ADDDAY(FDate(DN5),1,1))</f>
        <v>#VALUE!</v>
      </c>
      <c r="DP5" s="140" t="e">
        <f ca="1">J_normdate(J_ADDDAY(FDate(DO5),1,1))</f>
        <v>#VALUE!</v>
      </c>
      <c r="DQ5" s="140" t="e">
        <f ca="1">J_normdate(J_ADDDAY(FDate(DP5),1,1))</f>
        <v>#VALUE!</v>
      </c>
      <c r="DR5" s="140" t="e">
        <f ca="1">J_normdate(J_ADDDAY(FDate(DQ5),1,1))</f>
        <v>#VALUE!</v>
      </c>
      <c r="DS5" s="140" t="e">
        <f ca="1">J_normdate(J_ADDDAY(FDate(DR5),1,1))</f>
        <v>#VALUE!</v>
      </c>
      <c r="DT5" s="140" t="e">
        <f ca="1">J_normdate(J_ADDDAY(FDate(DS5),1,1))</f>
        <v>#VALUE!</v>
      </c>
      <c r="DU5" s="140" t="e">
        <f ca="1">J_normdate(J_ADDDAY(FDate(DT5),1,1))</f>
        <v>#VALUE!</v>
      </c>
      <c r="DV5" s="140" t="e">
        <f ca="1">J_normdate(J_ADDDAY(FDate(DU5),1,1))</f>
        <v>#VALUE!</v>
      </c>
      <c r="DW5" s="140" t="e">
        <f ca="1">J_normdate(J_ADDDAY(FDate(DV5),1,1))</f>
        <v>#VALUE!</v>
      </c>
      <c r="DX5" s="140" t="e">
        <f ca="1">J_normdate(J_ADDDAY(FDate(DW5),1,1))</f>
        <v>#VALUE!</v>
      </c>
      <c r="DY5" s="140" t="e">
        <f ca="1">J_normdate(J_ADDDAY(FDate(DX5),1,1))</f>
        <v>#VALUE!</v>
      </c>
      <c r="DZ5" s="140" t="e">
        <f ca="1">J_normdate(J_ADDDAY(FDate(DY5),1,1))</f>
        <v>#VALUE!</v>
      </c>
      <c r="EA5" s="140" t="e">
        <f ca="1">J_normdate(J_ADDDAY(FDate(DZ5),1,1))</f>
        <v>#VALUE!</v>
      </c>
      <c r="EB5" s="140" t="e">
        <f ca="1">J_normdate(J_ADDDAY(FDate(EA5),1,1))</f>
        <v>#VALUE!</v>
      </c>
      <c r="EC5" s="140" t="e">
        <f ca="1">J_normdate(J_ADDDAY(FDate(EB5),1,1))</f>
        <v>#VALUE!</v>
      </c>
      <c r="ED5" s="140" t="e">
        <f ca="1">J_normdate(J_ADDDAY(FDate(EC5),1,1))</f>
        <v>#VALUE!</v>
      </c>
      <c r="EE5" s="140" t="e">
        <f ca="1">J_normdate(J_ADDDAY(FDate(ED5),1,1))</f>
        <v>#VALUE!</v>
      </c>
      <c r="EF5" s="140" t="e">
        <f ca="1">J_normdate(J_ADDDAY(FDate(EE5),1,1))</f>
        <v>#VALUE!</v>
      </c>
      <c r="EG5" s="140" t="e">
        <f ca="1">J_normdate(J_ADDDAY(FDate(EF5),1,1))</f>
        <v>#VALUE!</v>
      </c>
      <c r="EH5" s="140" t="e">
        <f ca="1">J_normdate(J_ADDDAY(FDate(EG5),1,1))</f>
        <v>#VALUE!</v>
      </c>
      <c r="EI5" s="140" t="e">
        <f ca="1">J_normdate(J_ADDDAY(FDate(EH5),1,1))</f>
        <v>#VALUE!</v>
      </c>
      <c r="EJ5" s="140" t="e">
        <f ca="1">J_normdate(J_ADDDAY(FDate(EI5),1,1))</f>
        <v>#VALUE!</v>
      </c>
      <c r="EK5" s="140" t="e">
        <f ca="1">J_normdate(J_ADDDAY(FDate(EJ5),1,1))</f>
        <v>#VALUE!</v>
      </c>
      <c r="EL5" s="140" t="e">
        <f ca="1">J_normdate(J_ADDDAY(FDate(EK5),1,1))</f>
        <v>#VALUE!</v>
      </c>
      <c r="EM5" s="140" t="e">
        <f ca="1">J_normdate(J_ADDDAY(FDate(EL5),1,1))</f>
        <v>#VALUE!</v>
      </c>
      <c r="EN5" s="140" t="e">
        <f ca="1">J_normdate(J_ADDDAY(FDate(EM5),1,1))</f>
        <v>#VALUE!</v>
      </c>
      <c r="EO5" s="140" t="e">
        <f ca="1">J_normdate(J_ADDDAY(FDate(EN5),1,1))</f>
        <v>#VALUE!</v>
      </c>
      <c r="EP5" s="140" t="e">
        <f ca="1">J_normdate(J_ADDDAY(FDate(EO5),1,1))</f>
        <v>#VALUE!</v>
      </c>
      <c r="EQ5" s="140" t="e">
        <f ca="1">J_normdate(J_ADDDAY(FDate(EP5),1,1))</f>
        <v>#VALUE!</v>
      </c>
      <c r="ER5" s="140" t="e">
        <f ca="1">J_normdate(J_ADDDAY(FDate(EQ5),1,1))</f>
        <v>#VALUE!</v>
      </c>
      <c r="ES5" s="140" t="e">
        <f ca="1">J_normdate(J_ADDDAY(FDate(ER5),1,1))</f>
        <v>#VALUE!</v>
      </c>
      <c r="ET5" s="140" t="e">
        <f ca="1">J_normdate(J_ADDDAY(FDate(ES5),1,1))</f>
        <v>#VALUE!</v>
      </c>
      <c r="EU5" s="140" t="e">
        <f ca="1">J_normdate(J_ADDDAY(FDate(ET5),1,1))</f>
        <v>#VALUE!</v>
      </c>
      <c r="EV5" s="140" t="e">
        <f ca="1">J_normdate(J_ADDDAY(FDate(EU5),1,1))</f>
        <v>#VALUE!</v>
      </c>
      <c r="EW5" s="140" t="e">
        <f ca="1">J_normdate(J_ADDDAY(FDate(EV5),1,1))</f>
        <v>#VALUE!</v>
      </c>
      <c r="EX5" s="140" t="e">
        <f ca="1">J_normdate(J_ADDDAY(FDate(EW5),1,1))</f>
        <v>#VALUE!</v>
      </c>
      <c r="EY5" s="140" t="e">
        <f ca="1">J_normdate(J_ADDDAY(FDate(EX5),1,1))</f>
        <v>#VALUE!</v>
      </c>
      <c r="EZ5" s="140" t="e">
        <f ca="1">J_normdate(J_ADDDAY(FDate(EY5),1,1))</f>
        <v>#VALUE!</v>
      </c>
      <c r="FA5" s="140" t="e">
        <f ca="1">J_normdate(J_ADDDAY(FDate(EZ5),1,1))</f>
        <v>#VALUE!</v>
      </c>
      <c r="FB5" s="140" t="e">
        <f ca="1">J_normdate(J_ADDDAY(FDate(FA5),1,1))</f>
        <v>#VALUE!</v>
      </c>
      <c r="FC5" s="140" t="e">
        <f ca="1">J_normdate(J_ADDDAY(FDate(FB5),1,1))</f>
        <v>#VALUE!</v>
      </c>
      <c r="FD5" s="140" t="e">
        <f ca="1">J_normdate(J_ADDDAY(FDate(FC5),1,1))</f>
        <v>#VALUE!</v>
      </c>
      <c r="FE5" s="140" t="e">
        <f ca="1">J_normdate(J_ADDDAY(FDate(FD5),1,1))</f>
        <v>#VALUE!</v>
      </c>
      <c r="FF5" s="140" t="e">
        <f ca="1">J_normdate(J_ADDDAY(FDate(FE5),1,1))</f>
        <v>#VALUE!</v>
      </c>
      <c r="FG5" s="140" t="e">
        <f ca="1">J_normdate(J_ADDDAY(FDate(FF5),1,1))</f>
        <v>#VALUE!</v>
      </c>
      <c r="FH5" s="140" t="e">
        <f ca="1">J_normdate(J_ADDDAY(FDate(FG5),1,1))</f>
        <v>#VALUE!</v>
      </c>
      <c r="FI5" s="140" t="e">
        <f ca="1">J_normdate(J_ADDDAY(FDate(FH5),1,1))</f>
        <v>#VALUE!</v>
      </c>
      <c r="FJ5" s="140" t="e">
        <f ca="1">J_normdate(J_ADDDAY(FDate(FI5),1,1))</f>
        <v>#VALUE!</v>
      </c>
      <c r="FK5" s="140" t="e">
        <f ca="1">J_normdate(J_ADDDAY(FDate(FJ5),1,1))</f>
        <v>#VALUE!</v>
      </c>
      <c r="FL5" s="140" t="e">
        <f ca="1">J_normdate(J_ADDDAY(FDate(FK5),1,1))</f>
        <v>#VALUE!</v>
      </c>
      <c r="FM5" s="140" t="e">
        <f ca="1">J_normdate(J_ADDDAY(FDate(FL5),1,1))</f>
        <v>#VALUE!</v>
      </c>
      <c r="FN5" s="140" t="e">
        <f ca="1">J_normdate(J_ADDDAY(FDate(FM5),1,1))</f>
        <v>#VALUE!</v>
      </c>
      <c r="FO5" s="140" t="e">
        <f ca="1">J_normdate(J_ADDDAY(FDate(FN5),1,1))</f>
        <v>#VALUE!</v>
      </c>
      <c r="FP5" s="140" t="e">
        <f ca="1">J_normdate(J_ADDDAY(FDate(FO5),1,1))</f>
        <v>#VALUE!</v>
      </c>
      <c r="FQ5" s="140" t="e">
        <f ca="1">J_normdate(J_ADDDAY(FDate(FP5),1,1))</f>
        <v>#VALUE!</v>
      </c>
      <c r="FR5" s="140" t="e">
        <f ca="1">J_normdate(J_ADDDAY(FDate(FQ5),1,1))</f>
        <v>#VALUE!</v>
      </c>
      <c r="FS5" s="140" t="e">
        <f ca="1">J_normdate(J_ADDDAY(FDate(FR5),1,1))</f>
        <v>#VALUE!</v>
      </c>
      <c r="FT5" s="140" t="e">
        <f ca="1">J_normdate(J_ADDDAY(FDate(FS5),1,1))</f>
        <v>#VALUE!</v>
      </c>
      <c r="FU5" s="140" t="e">
        <f ca="1">J_normdate(J_ADDDAY(FDate(FT5),1,1))</f>
        <v>#VALUE!</v>
      </c>
      <c r="FV5" s="140" t="e">
        <f ca="1">J_normdate(J_ADDDAY(FDate(FU5),1,1))</f>
        <v>#VALUE!</v>
      </c>
      <c r="FW5" s="140" t="e">
        <f ca="1">J_normdate(J_ADDDAY(FDate(FV5),1,1))</f>
        <v>#VALUE!</v>
      </c>
      <c r="FX5" s="140" t="e">
        <f ca="1">J_normdate(J_ADDDAY(FDate(FW5),1,1))</f>
        <v>#VALUE!</v>
      </c>
      <c r="FY5" s="140" t="e">
        <f ca="1">J_normdate(J_ADDDAY(FDate(FX5),1,1))</f>
        <v>#VALUE!</v>
      </c>
      <c r="FZ5" s="140" t="e">
        <f ca="1">J_normdate(J_ADDDAY(FDate(FY5),1,1))</f>
        <v>#VALUE!</v>
      </c>
      <c r="GA5" s="140" t="e">
        <f ca="1">J_normdate(J_ADDDAY(FDate(FZ5),1,1))</f>
        <v>#VALUE!</v>
      </c>
      <c r="GB5" s="140" t="e">
        <f ca="1">J_normdate(J_ADDDAY(FDate(GA5),1,1))</f>
        <v>#VALUE!</v>
      </c>
      <c r="GC5" s="140" t="e">
        <f ca="1">J_normdate(J_ADDDAY(FDate(GB5),1,1))</f>
        <v>#VALUE!</v>
      </c>
      <c r="GD5" s="140" t="e">
        <f ca="1">J_normdate(J_ADDDAY(FDate(GC5),1,1))</f>
        <v>#VALUE!</v>
      </c>
      <c r="GE5" s="140" t="e">
        <f ca="1">J_normdate(J_ADDDAY(FDate(GD5),1,1))</f>
        <v>#VALUE!</v>
      </c>
      <c r="GF5" s="140" t="e">
        <f ca="1">J_normdate(J_ADDDAY(FDate(GE5),1,1))</f>
        <v>#VALUE!</v>
      </c>
      <c r="GG5" s="140" t="e">
        <f ca="1">J_normdate(J_ADDDAY(FDate(GF5),1,1))</f>
        <v>#VALUE!</v>
      </c>
      <c r="GH5" s="140" t="e">
        <f ca="1">J_normdate(J_ADDDAY(FDate(GG5),1,1))</f>
        <v>#VALUE!</v>
      </c>
      <c r="GI5" s="140" t="e">
        <f ca="1">J_normdate(J_ADDDAY(FDate(GH5),1,1))</f>
        <v>#VALUE!</v>
      </c>
      <c r="GJ5" s="140" t="e">
        <f ca="1">J_normdate(J_ADDDAY(FDate(GI5),1,1))</f>
        <v>#VALUE!</v>
      </c>
      <c r="GK5" s="140" t="e">
        <f ca="1">J_normdate(J_ADDDAY(FDate(GJ5),1,1))</f>
        <v>#VALUE!</v>
      </c>
      <c r="GL5" s="140" t="e">
        <f ca="1">J_normdate(J_ADDDAY(FDate(GK5),1,1))</f>
        <v>#VALUE!</v>
      </c>
      <c r="GM5" s="140" t="e">
        <f ca="1">J_normdate(J_ADDDAY(FDate(GL5),1,1))</f>
        <v>#VALUE!</v>
      </c>
      <c r="GN5" s="140" t="e">
        <f ca="1">J_normdate(J_ADDDAY(FDate(GM5),1,1))</f>
        <v>#VALUE!</v>
      </c>
      <c r="GO5" s="140" t="e">
        <f ca="1">J_normdate(J_ADDDAY(FDate(GN5),1,1))</f>
        <v>#VALUE!</v>
      </c>
      <c r="GP5" s="140" t="e">
        <f ca="1">J_normdate(J_ADDDAY(FDate(GO5),1,1))</f>
        <v>#VALUE!</v>
      </c>
      <c r="GQ5" s="140" t="e">
        <f ca="1">J_normdate(J_ADDDAY(FDate(GP5),1,1))</f>
        <v>#VALUE!</v>
      </c>
      <c r="GR5" s="140" t="e">
        <f ca="1">J_normdate(J_ADDDAY(FDate(GQ5),1,1))</f>
        <v>#VALUE!</v>
      </c>
      <c r="GS5" s="140" t="e">
        <f ca="1">J_normdate(J_ADDDAY(FDate(GR5),1,1))</f>
        <v>#VALUE!</v>
      </c>
      <c r="GT5" s="140" t="e">
        <f ca="1">J_normdate(J_ADDDAY(FDate(GS5),1,1))</f>
        <v>#VALUE!</v>
      </c>
      <c r="GU5" s="140" t="e">
        <f ca="1">J_normdate(J_ADDDAY(FDate(GT5),1,1))</f>
        <v>#VALUE!</v>
      </c>
      <c r="GV5" s="140" t="e">
        <f ca="1">J_normdate(J_ADDDAY(FDate(GU5),1,1))</f>
        <v>#VALUE!</v>
      </c>
      <c r="GW5" s="140" t="e">
        <f ca="1">J_normdate(J_ADDDAY(FDate(GV5),1,1))</f>
        <v>#VALUE!</v>
      </c>
      <c r="GX5" s="140" t="e">
        <f ca="1">J_normdate(J_ADDDAY(FDate(GW5),1,1))</f>
        <v>#VALUE!</v>
      </c>
      <c r="GY5" s="140" t="e">
        <f ca="1">J_normdate(J_ADDDAY(FDate(GX5),1,1))</f>
        <v>#VALUE!</v>
      </c>
      <c r="GZ5" s="140" t="e">
        <f ca="1">J_normdate(J_ADDDAY(FDate(GY5),1,1))</f>
        <v>#VALUE!</v>
      </c>
      <c r="HA5" s="140" t="e">
        <f ca="1">J_normdate(J_ADDDAY(FDate(GZ5),1,1))</f>
        <v>#VALUE!</v>
      </c>
      <c r="HB5" s="140" t="e">
        <f ca="1">J_normdate(J_ADDDAY(FDate(HA5),1,1))</f>
        <v>#VALUE!</v>
      </c>
      <c r="HC5" s="140" t="e">
        <f ca="1">J_normdate(J_ADDDAY(FDate(HB5),1,1))</f>
        <v>#VALUE!</v>
      </c>
      <c r="HD5" s="140" t="e">
        <f ca="1">J_normdate(J_ADDDAY(FDate(HC5),1,1))</f>
        <v>#VALUE!</v>
      </c>
      <c r="HE5" s="140" t="e">
        <f ca="1">J_normdate(J_ADDDAY(FDate(HD5),1,1))</f>
        <v>#VALUE!</v>
      </c>
      <c r="HF5" s="140" t="e">
        <f ca="1">J_normdate(J_ADDDAY(FDate(HE5),1,1))</f>
        <v>#VALUE!</v>
      </c>
      <c r="HG5" s="140" t="e">
        <f ca="1">J_normdate(J_ADDDAY(FDate(HF5),1,1))</f>
        <v>#VALUE!</v>
      </c>
      <c r="HH5" s="140" t="e">
        <f ca="1">J_normdate(J_ADDDAY(FDate(HG5),1,1))</f>
        <v>#VALUE!</v>
      </c>
      <c r="HI5" s="140" t="e">
        <f ca="1">J_normdate(J_ADDDAY(FDate(HH5),1,1))</f>
        <v>#VALUE!</v>
      </c>
      <c r="HJ5" s="140" t="e">
        <f ca="1">J_normdate(J_ADDDAY(FDate(HI5),1,1))</f>
        <v>#VALUE!</v>
      </c>
      <c r="HK5" s="140" t="e">
        <f ca="1">J_normdate(J_ADDDAY(FDate(HJ5),1,1))</f>
        <v>#VALUE!</v>
      </c>
      <c r="HL5" s="140" t="e">
        <f ca="1">J_normdate(J_ADDDAY(FDate(HK5),1,1))</f>
        <v>#VALUE!</v>
      </c>
      <c r="HM5" s="140" t="e">
        <f ca="1">J_normdate(J_ADDDAY(FDate(HL5),1,1))</f>
        <v>#VALUE!</v>
      </c>
      <c r="HN5" s="140" t="e">
        <f ca="1">J_normdate(J_ADDDAY(FDate(HM5),1,1))</f>
        <v>#VALUE!</v>
      </c>
      <c r="HO5" s="140" t="e">
        <f ca="1">J_normdate(J_ADDDAY(FDate(HN5),1,1))</f>
        <v>#VALUE!</v>
      </c>
      <c r="HP5" s="140" t="e">
        <f ca="1">J_normdate(J_ADDDAY(FDate(HO5),1,1))</f>
        <v>#VALUE!</v>
      </c>
      <c r="HQ5" s="140" t="e">
        <f ca="1">J_normdate(J_ADDDAY(FDate(HP5),1,1))</f>
        <v>#VALUE!</v>
      </c>
      <c r="HR5" s="140" t="e">
        <f ca="1">J_normdate(J_ADDDAY(FDate(HQ5),1,1))</f>
        <v>#VALUE!</v>
      </c>
      <c r="HS5" s="140" t="e">
        <f ca="1">J_normdate(J_ADDDAY(FDate(HR5),1,1))</f>
        <v>#VALUE!</v>
      </c>
      <c r="HT5" s="140" t="e">
        <f ca="1">J_normdate(J_ADDDAY(FDate(HS5),1,1))</f>
        <v>#VALUE!</v>
      </c>
      <c r="HU5" s="140" t="e">
        <f ca="1">J_normdate(J_ADDDAY(FDate(HT5),1,1))</f>
        <v>#VALUE!</v>
      </c>
      <c r="HV5" s="140" t="e">
        <f ca="1">J_normdate(J_ADDDAY(FDate(HU5),1,1))</f>
        <v>#VALUE!</v>
      </c>
      <c r="HW5" s="140" t="e">
        <f ca="1">J_normdate(J_ADDDAY(FDate(HV5),1,1))</f>
        <v>#VALUE!</v>
      </c>
      <c r="HX5" s="140" t="e">
        <f ca="1">J_normdate(J_ADDDAY(FDate(HW5),1,1))</f>
        <v>#VALUE!</v>
      </c>
      <c r="HY5" s="140" t="e">
        <f ca="1">J_normdate(J_ADDDAY(FDate(HX5),1,1))</f>
        <v>#VALUE!</v>
      </c>
      <c r="HZ5" s="140" t="e">
        <f ca="1">J_normdate(J_ADDDAY(FDate(HY5),1,1))</f>
        <v>#VALUE!</v>
      </c>
      <c r="IA5" s="140" t="e">
        <f ca="1">J_normdate(J_ADDDAY(FDate(HZ5),1,1))</f>
        <v>#VALUE!</v>
      </c>
      <c r="IB5" s="140" t="e">
        <f ca="1">J_normdate(J_ADDDAY(FDate(IA5),1,1))</f>
        <v>#VALUE!</v>
      </c>
      <c r="IC5" s="140" t="e">
        <f ca="1">J_normdate(J_ADDDAY(FDate(IB5),1,1))</f>
        <v>#VALUE!</v>
      </c>
      <c r="ID5" s="140" t="e">
        <f ca="1">J_normdate(J_ADDDAY(FDate(IC5),1,1))</f>
        <v>#VALUE!</v>
      </c>
      <c r="IE5" s="140" t="e">
        <f ca="1">J_normdate(J_ADDDAY(FDate(ID5),1,1))</f>
        <v>#VALUE!</v>
      </c>
      <c r="IF5" s="140" t="e">
        <f ca="1">J_normdate(J_ADDDAY(FDate(IE5),1,1))</f>
        <v>#VALUE!</v>
      </c>
      <c r="IG5" s="140" t="e">
        <f ca="1">J_normdate(J_ADDDAY(FDate(IF5),1,1))</f>
        <v>#VALUE!</v>
      </c>
      <c r="IH5" s="140" t="e">
        <f ca="1">J_normdate(J_ADDDAY(FDate(IG5),1,1))</f>
        <v>#VALUE!</v>
      </c>
      <c r="II5" s="140" t="e">
        <f ca="1">J_normdate(J_ADDDAY(FDate(IH5),1,1))</f>
        <v>#VALUE!</v>
      </c>
      <c r="IJ5" s="140" t="e">
        <f ca="1">J_normdate(J_ADDDAY(FDate(II5),1,1))</f>
        <v>#VALUE!</v>
      </c>
      <c r="IK5" s="140" t="e">
        <f ca="1">J_normdate(J_ADDDAY(FDate(IJ5),1,1))</f>
        <v>#VALUE!</v>
      </c>
      <c r="IL5" s="140" t="e">
        <f ca="1">J_normdate(J_ADDDAY(FDate(IK5),1,1))</f>
        <v>#VALUE!</v>
      </c>
      <c r="IM5" s="140" t="e">
        <f ca="1">J_normdate(J_ADDDAY(FDate(IL5),1,1))</f>
        <v>#VALUE!</v>
      </c>
      <c r="IN5" s="140" t="e">
        <f ca="1">J_normdate(J_ADDDAY(FDate(IM5),1,1))</f>
        <v>#VALUE!</v>
      </c>
      <c r="IO5" s="140" t="e">
        <f ca="1">J_normdate(J_ADDDAY(FDate(IN5),1,1))</f>
        <v>#VALUE!</v>
      </c>
      <c r="IP5" s="140" t="e">
        <f ca="1">J_normdate(J_ADDDAY(FDate(IO5),1,1))</f>
        <v>#VALUE!</v>
      </c>
      <c r="IQ5" s="140" t="e">
        <f ca="1">J_normdate(J_ADDDAY(FDate(IP5),1,1))</f>
        <v>#VALUE!</v>
      </c>
      <c r="IR5" s="140" t="e">
        <f ca="1">J_normdate(J_ADDDAY(FDate(IQ5),1,1))</f>
        <v>#VALUE!</v>
      </c>
      <c r="IS5" s="140" t="e">
        <f ca="1">J_normdate(J_ADDDAY(FDate(IR5),1,1))</f>
        <v>#VALUE!</v>
      </c>
      <c r="IT5" s="140" t="e">
        <f ca="1">J_normdate(J_ADDDAY(FDate(IS5),1,1))</f>
        <v>#VALUE!</v>
      </c>
      <c r="IU5" s="140" t="e">
        <f ca="1">J_normdate(J_ADDDAY(FDate(IT5),1,1))</f>
        <v>#VALUE!</v>
      </c>
      <c r="IV5" s="140" t="e">
        <f ca="1">J_normdate(J_ADDDAY(FDate(IU5),1,1))</f>
        <v>#VALUE!</v>
      </c>
      <c r="IW5" s="140" t="e">
        <f ca="1">J_normdate(J_ADDDAY(FDate(IV5),1,1))</f>
        <v>#VALUE!</v>
      </c>
      <c r="IX5" s="140" t="e">
        <f ca="1">IW5+1</f>
        <v>#VALUE!</v>
      </c>
      <c r="IY5" s="25"/>
      <c r="IZ5" s="36"/>
      <c r="JA5" s="181"/>
      <c r="JB5" s="181"/>
      <c r="JC5" s="181"/>
      <c r="JD5" s="182"/>
    </row>
    <row r="6" spans="1:264" s="185" customFormat="1" ht="81.75" customHeight="1" thickBot="1">
      <c r="A6" s="318" t="s">
        <v>0</v>
      </c>
      <c r="B6" s="319" t="s">
        <v>8</v>
      </c>
      <c r="C6" s="320" t="s">
        <v>9</v>
      </c>
      <c r="D6" s="320" t="s">
        <v>1</v>
      </c>
      <c r="E6" s="141" t="s">
        <v>1</v>
      </c>
      <c r="F6" s="320" t="s">
        <v>2</v>
      </c>
      <c r="G6" s="141" t="s">
        <v>2</v>
      </c>
      <c r="H6" s="321" t="s">
        <v>41</v>
      </c>
      <c r="I6" s="322" t="s">
        <v>42</v>
      </c>
      <c r="J6" s="321" t="s">
        <v>40</v>
      </c>
      <c r="K6" s="142" t="s">
        <v>43</v>
      </c>
      <c r="L6" s="323" t="s">
        <v>3</v>
      </c>
      <c r="M6" s="324" t="s">
        <v>4</v>
      </c>
      <c r="N6" s="323" t="s">
        <v>5</v>
      </c>
      <c r="O6" s="144" t="s">
        <v>10</v>
      </c>
      <c r="P6" s="145" t="s">
        <v>44</v>
      </c>
      <c r="Q6" s="143" t="s">
        <v>6</v>
      </c>
      <c r="R6" s="146"/>
      <c r="S6" s="359" t="e">
        <f ca="1">FDate(S5)</f>
        <v>#VALUE!</v>
      </c>
      <c r="T6" s="360"/>
      <c r="U6" s="360"/>
      <c r="V6" s="360"/>
      <c r="W6" s="361"/>
      <c r="X6" s="359" t="e">
        <f ca="1">FDate(X5)</f>
        <v>#VALUE!</v>
      </c>
      <c r="Y6" s="360"/>
      <c r="Z6" s="360"/>
      <c r="AA6" s="360"/>
      <c r="AB6" s="361"/>
      <c r="AC6" s="359" t="e">
        <f ca="1">FDate(AC5)</f>
        <v>#VALUE!</v>
      </c>
      <c r="AD6" s="360"/>
      <c r="AE6" s="360"/>
      <c r="AF6" s="360"/>
      <c r="AG6" s="361"/>
      <c r="AH6" s="359" t="e">
        <f ca="1">FDate(AH5)</f>
        <v>#VALUE!</v>
      </c>
      <c r="AI6" s="360"/>
      <c r="AJ6" s="360"/>
      <c r="AK6" s="360"/>
      <c r="AL6" s="361"/>
      <c r="AM6" s="359" t="e">
        <f ca="1">FDate(AM5)</f>
        <v>#VALUE!</v>
      </c>
      <c r="AN6" s="360"/>
      <c r="AO6" s="360"/>
      <c r="AP6" s="360"/>
      <c r="AQ6" s="361"/>
      <c r="AR6" s="359" t="e">
        <f ca="1">FDate(AR5)</f>
        <v>#VALUE!</v>
      </c>
      <c r="AS6" s="360"/>
      <c r="AT6" s="360"/>
      <c r="AU6" s="360"/>
      <c r="AV6" s="361"/>
      <c r="AW6" s="359" t="e">
        <f ca="1">FDate(AW5)</f>
        <v>#VALUE!</v>
      </c>
      <c r="AX6" s="360"/>
      <c r="AY6" s="360"/>
      <c r="AZ6" s="360"/>
      <c r="BA6" s="361"/>
      <c r="BB6" s="359" t="e">
        <f ca="1">FDate(BB5)</f>
        <v>#VALUE!</v>
      </c>
      <c r="BC6" s="360"/>
      <c r="BD6" s="360"/>
      <c r="BE6" s="360"/>
      <c r="BF6" s="361"/>
      <c r="BG6" s="359" t="e">
        <f ca="1">FDate(BG5)</f>
        <v>#VALUE!</v>
      </c>
      <c r="BH6" s="360"/>
      <c r="BI6" s="360"/>
      <c r="BJ6" s="360"/>
      <c r="BK6" s="361"/>
      <c r="BL6" s="359" t="e">
        <f ca="1">FDate(BL5)</f>
        <v>#VALUE!</v>
      </c>
      <c r="BM6" s="360"/>
      <c r="BN6" s="360"/>
      <c r="BO6" s="360"/>
      <c r="BP6" s="361"/>
      <c r="BQ6" s="359" t="e">
        <f ca="1">FDate(BQ5)</f>
        <v>#VALUE!</v>
      </c>
      <c r="BR6" s="360"/>
      <c r="BS6" s="360"/>
      <c r="BT6" s="360"/>
      <c r="BU6" s="361"/>
      <c r="BV6" s="359" t="e">
        <f ca="1">FDate(BV5)</f>
        <v>#VALUE!</v>
      </c>
      <c r="BW6" s="360"/>
      <c r="BX6" s="360"/>
      <c r="BY6" s="360"/>
      <c r="BZ6" s="361"/>
      <c r="CA6" s="359" t="e">
        <f ca="1">FDate(CA5)</f>
        <v>#VALUE!</v>
      </c>
      <c r="CB6" s="360"/>
      <c r="CC6" s="360"/>
      <c r="CD6" s="360"/>
      <c r="CE6" s="361"/>
      <c r="CF6" s="359" t="e">
        <f ca="1">FDate(CF5)</f>
        <v>#VALUE!</v>
      </c>
      <c r="CG6" s="360"/>
      <c r="CH6" s="360"/>
      <c r="CI6" s="360"/>
      <c r="CJ6" s="361"/>
      <c r="CK6" s="359" t="e">
        <f ca="1">FDate(CK5)</f>
        <v>#VALUE!</v>
      </c>
      <c r="CL6" s="360"/>
      <c r="CM6" s="360"/>
      <c r="CN6" s="360"/>
      <c r="CO6" s="361"/>
      <c r="CP6" s="359" t="e">
        <f ca="1">FDate(CP5)</f>
        <v>#VALUE!</v>
      </c>
      <c r="CQ6" s="360"/>
      <c r="CR6" s="360"/>
      <c r="CS6" s="360"/>
      <c r="CT6" s="361"/>
      <c r="CU6" s="359" t="e">
        <f ca="1">FDate(CU5)</f>
        <v>#VALUE!</v>
      </c>
      <c r="CV6" s="360"/>
      <c r="CW6" s="360"/>
      <c r="CX6" s="360"/>
      <c r="CY6" s="361"/>
      <c r="CZ6" s="359" t="e">
        <f ca="1">FDate(CZ5)</f>
        <v>#VALUE!</v>
      </c>
      <c r="DA6" s="360"/>
      <c r="DB6" s="360"/>
      <c r="DC6" s="360"/>
      <c r="DD6" s="361"/>
      <c r="DE6" s="359" t="e">
        <f ca="1">FDate(DE5)</f>
        <v>#VALUE!</v>
      </c>
      <c r="DF6" s="360"/>
      <c r="DG6" s="360"/>
      <c r="DH6" s="360"/>
      <c r="DI6" s="361"/>
      <c r="DJ6" s="359" t="e">
        <f ca="1">FDate(DJ5)</f>
        <v>#VALUE!</v>
      </c>
      <c r="DK6" s="360"/>
      <c r="DL6" s="360"/>
      <c r="DM6" s="360"/>
      <c r="DN6" s="361"/>
      <c r="DO6" s="359" t="e">
        <f ca="1">FDate(DO5)</f>
        <v>#VALUE!</v>
      </c>
      <c r="DP6" s="360"/>
      <c r="DQ6" s="360"/>
      <c r="DR6" s="360"/>
      <c r="DS6" s="361"/>
      <c r="DT6" s="359" t="e">
        <f ca="1">FDate(DT5)</f>
        <v>#VALUE!</v>
      </c>
      <c r="DU6" s="360"/>
      <c r="DV6" s="360"/>
      <c r="DW6" s="360"/>
      <c r="DX6" s="361"/>
      <c r="DY6" s="359" t="e">
        <f ca="1">FDate(DY5)</f>
        <v>#VALUE!</v>
      </c>
      <c r="DZ6" s="360"/>
      <c r="EA6" s="360"/>
      <c r="EB6" s="360"/>
      <c r="EC6" s="361"/>
      <c r="ED6" s="359" t="e">
        <f ca="1">FDate(ED5)</f>
        <v>#VALUE!</v>
      </c>
      <c r="EE6" s="360"/>
      <c r="EF6" s="360"/>
      <c r="EG6" s="360"/>
      <c r="EH6" s="361"/>
      <c r="EI6" s="359" t="e">
        <f ca="1">FDate(EI5)</f>
        <v>#VALUE!</v>
      </c>
      <c r="EJ6" s="360"/>
      <c r="EK6" s="360"/>
      <c r="EL6" s="360"/>
      <c r="EM6" s="361"/>
      <c r="EN6" s="359" t="e">
        <f ca="1">FDate(EN5)</f>
        <v>#VALUE!</v>
      </c>
      <c r="EO6" s="360"/>
      <c r="EP6" s="360"/>
      <c r="EQ6" s="360"/>
      <c r="ER6" s="361"/>
      <c r="ES6" s="359" t="e">
        <f ca="1">FDate(ES5)</f>
        <v>#VALUE!</v>
      </c>
      <c r="ET6" s="360"/>
      <c r="EU6" s="360"/>
      <c r="EV6" s="360"/>
      <c r="EW6" s="361"/>
      <c r="EX6" s="359" t="e">
        <f ca="1">FDate(EX5)</f>
        <v>#VALUE!</v>
      </c>
      <c r="EY6" s="360"/>
      <c r="EZ6" s="360"/>
      <c r="FA6" s="360"/>
      <c r="FB6" s="361"/>
      <c r="FC6" s="359" t="e">
        <f ca="1">FDate(FC5)</f>
        <v>#VALUE!</v>
      </c>
      <c r="FD6" s="360"/>
      <c r="FE6" s="360"/>
      <c r="FF6" s="360"/>
      <c r="FG6" s="361"/>
      <c r="FH6" s="359" t="e">
        <f ca="1">FDate(FH5)</f>
        <v>#VALUE!</v>
      </c>
      <c r="FI6" s="360"/>
      <c r="FJ6" s="360"/>
      <c r="FK6" s="360"/>
      <c r="FL6" s="361"/>
      <c r="FM6" s="359" t="e">
        <f ca="1">FDate(FM5)</f>
        <v>#VALUE!</v>
      </c>
      <c r="FN6" s="360"/>
      <c r="FO6" s="360"/>
      <c r="FP6" s="360"/>
      <c r="FQ6" s="361"/>
      <c r="FR6" s="359" t="e">
        <f ca="1">FDate(FR5)</f>
        <v>#VALUE!</v>
      </c>
      <c r="FS6" s="360"/>
      <c r="FT6" s="360"/>
      <c r="FU6" s="360"/>
      <c r="FV6" s="361"/>
      <c r="FW6" s="359" t="e">
        <f ca="1">FDate(FW5)</f>
        <v>#VALUE!</v>
      </c>
      <c r="FX6" s="360"/>
      <c r="FY6" s="360"/>
      <c r="FZ6" s="360"/>
      <c r="GA6" s="361"/>
      <c r="GB6" s="359" t="e">
        <f ca="1">FDate(GB5)</f>
        <v>#VALUE!</v>
      </c>
      <c r="GC6" s="360"/>
      <c r="GD6" s="360"/>
      <c r="GE6" s="360"/>
      <c r="GF6" s="361"/>
      <c r="GG6" s="359" t="e">
        <f ca="1">FDate(GG5)</f>
        <v>#VALUE!</v>
      </c>
      <c r="GH6" s="360"/>
      <c r="GI6" s="360"/>
      <c r="GJ6" s="360"/>
      <c r="GK6" s="361"/>
      <c r="GL6" s="359" t="e">
        <f ca="1">FDate(GL5)</f>
        <v>#VALUE!</v>
      </c>
      <c r="GM6" s="360"/>
      <c r="GN6" s="360"/>
      <c r="GO6" s="360"/>
      <c r="GP6" s="361"/>
      <c r="GQ6" s="359" t="e">
        <f ca="1">FDate(GQ5)</f>
        <v>#VALUE!</v>
      </c>
      <c r="GR6" s="360"/>
      <c r="GS6" s="360"/>
      <c r="GT6" s="360"/>
      <c r="GU6" s="361"/>
      <c r="GV6" s="359" t="e">
        <f ca="1">FDate(GV5)</f>
        <v>#VALUE!</v>
      </c>
      <c r="GW6" s="360"/>
      <c r="GX6" s="360"/>
      <c r="GY6" s="360"/>
      <c r="GZ6" s="361"/>
      <c r="HA6" s="359" t="e">
        <f ca="1">FDate(HA5)</f>
        <v>#VALUE!</v>
      </c>
      <c r="HB6" s="360"/>
      <c r="HC6" s="360"/>
      <c r="HD6" s="360"/>
      <c r="HE6" s="361"/>
      <c r="HF6" s="359" t="e">
        <f ca="1">FDate(HF5)</f>
        <v>#VALUE!</v>
      </c>
      <c r="HG6" s="360"/>
      <c r="HH6" s="360"/>
      <c r="HI6" s="360"/>
      <c r="HJ6" s="361"/>
      <c r="HK6" s="359" t="e">
        <f ca="1">FDate(HK5)</f>
        <v>#VALUE!</v>
      </c>
      <c r="HL6" s="360"/>
      <c r="HM6" s="360"/>
      <c r="HN6" s="360"/>
      <c r="HO6" s="361"/>
      <c r="HP6" s="359" t="e">
        <f ca="1">FDate(HP5)</f>
        <v>#VALUE!</v>
      </c>
      <c r="HQ6" s="360"/>
      <c r="HR6" s="360"/>
      <c r="HS6" s="360"/>
      <c r="HT6" s="361"/>
      <c r="HU6" s="359" t="e">
        <f ca="1">FDate(HU5)</f>
        <v>#VALUE!</v>
      </c>
      <c r="HV6" s="360"/>
      <c r="HW6" s="360"/>
      <c r="HX6" s="360"/>
      <c r="HY6" s="361"/>
      <c r="HZ6" s="359" t="e">
        <f ca="1">FDate(HZ5)</f>
        <v>#VALUE!</v>
      </c>
      <c r="IA6" s="360"/>
      <c r="IB6" s="360"/>
      <c r="IC6" s="360"/>
      <c r="ID6" s="361"/>
      <c r="IE6" s="359" t="e">
        <f ca="1">FDate(IE5)</f>
        <v>#VALUE!</v>
      </c>
      <c r="IF6" s="360"/>
      <c r="IG6" s="360"/>
      <c r="IH6" s="360"/>
      <c r="II6" s="361"/>
      <c r="IJ6" s="359" t="e">
        <f ca="1">FDate(IJ5)</f>
        <v>#VALUE!</v>
      </c>
      <c r="IK6" s="360"/>
      <c r="IL6" s="360"/>
      <c r="IM6" s="360"/>
      <c r="IN6" s="361"/>
      <c r="IO6" s="359" t="e">
        <f ca="1">FDate(IO5)</f>
        <v>#VALUE!</v>
      </c>
      <c r="IP6" s="360"/>
      <c r="IQ6" s="360"/>
      <c r="IR6" s="360"/>
      <c r="IS6" s="361"/>
      <c r="IT6" s="359" t="e">
        <f ca="1">FDate(IT5)</f>
        <v>#VALUE!</v>
      </c>
      <c r="IU6" s="360"/>
      <c r="IV6" s="360"/>
      <c r="IW6" s="360"/>
      <c r="IX6" s="361"/>
      <c r="IY6" s="26"/>
      <c r="IZ6" s="37"/>
      <c r="JA6" s="184" t="s">
        <v>7</v>
      </c>
      <c r="JB6" s="184" t="s">
        <v>55</v>
      </c>
      <c r="JC6" s="184" t="s">
        <v>56</v>
      </c>
      <c r="JD6" s="180"/>
    </row>
    <row r="7" spans="1:264" s="149" customFormat="1">
      <c r="A7" s="147"/>
      <c r="B7" s="148"/>
      <c r="D7" s="150"/>
      <c r="F7" s="150"/>
      <c r="I7" s="151"/>
      <c r="J7" s="152"/>
      <c r="K7" s="153"/>
      <c r="L7" s="151"/>
      <c r="N7" s="151"/>
      <c r="IY7" s="27"/>
      <c r="IZ7" s="38"/>
      <c r="JA7" s="186"/>
      <c r="JB7" s="186"/>
      <c r="JC7" s="186"/>
      <c r="JD7" s="187"/>
    </row>
    <row r="8" spans="1:264" s="289" customFormat="1" ht="18">
      <c r="A8" s="278" t="s">
        <v>39</v>
      </c>
      <c r="B8" s="279" t="s">
        <v>147</v>
      </c>
      <c r="C8" s="280"/>
      <c r="D8" s="281" t="s">
        <v>131</v>
      </c>
      <c r="E8" s="154">
        <f t="shared" ref="E8:E43" si="4">VALUE(J_normdate(D8))</f>
        <v>13980631</v>
      </c>
      <c r="F8" s="282" t="str">
        <f>J_SUBDAY(J_ADDDAY(D8,L8,1),1,1)</f>
        <v>1398/10/02</v>
      </c>
      <c r="G8" s="156">
        <f t="shared" ref="G8:G43" si="5">VALUE(J_normdate(F8))</f>
        <v>13981002</v>
      </c>
      <c r="H8" s="283"/>
      <c r="I8" s="284"/>
      <c r="J8" s="285"/>
      <c r="K8" s="157">
        <f>SUM(K9,K35,K57,K95,K117,K139,K227)</f>
        <v>3</v>
      </c>
      <c r="L8" s="286">
        <f>J_DIFF(D8,FDate(MAX(G9:G9873)))+1</f>
        <v>93</v>
      </c>
      <c r="M8" s="287">
        <f>(L9*M9+L35*M35+L57*M57+L95*M95+L117*M117+L139*M139+L161*M161+L183*M183+L205*M205+L227*M227)/SUM(L9,L35,L57,L95,L117,L139,L161,L183,L205,L227)</f>
        <v>6.8687855177952908E-2</v>
      </c>
      <c r="N8" s="288">
        <f>NETWORKDAYS.INTL(J_GregorianDate(D8,1),J_GregorianDate(F8,1),16,1)-SUMIFS(Holieday[ok],Holieday[date],CONCATENATE("&gt;","=",D8),Holieday[date],CONCATENATE("&lt;","=",F8))+SUMIFS(Holieday[Friday],Holieday[date],CONCATENATE("&gt;","=",D8),Holieday[date],CONCATENATE("&lt;","=",F8))</f>
        <v>76</v>
      </c>
      <c r="O8" s="158">
        <f>SUM(O9,O35,O57,O95,O117,O139,O161,O183,O205,O227)</f>
        <v>24</v>
      </c>
      <c r="P8" s="159">
        <f>VALUE(J_normdate(J_ADDDAY($D8,$O8,1)))</f>
        <v>13980724</v>
      </c>
      <c r="Q8" s="155">
        <f t="shared" ref="Q8:Q13" si="6">L8-O8</f>
        <v>69</v>
      </c>
      <c r="IY8" s="290"/>
      <c r="IZ8" s="291"/>
      <c r="JA8" s="292"/>
      <c r="JB8" s="292"/>
      <c r="JC8" s="292"/>
      <c r="JD8" s="293"/>
    </row>
    <row r="9" spans="1:264" s="160" customFormat="1" ht="13.5">
      <c r="A9" s="259">
        <v>1</v>
      </c>
      <c r="B9" s="260" t="s">
        <v>116</v>
      </c>
      <c r="C9" s="261"/>
      <c r="D9" s="395" t="str">
        <f>D8</f>
        <v>1398/06/31</v>
      </c>
      <c r="E9" s="160">
        <f t="shared" si="4"/>
        <v>13980631</v>
      </c>
      <c r="F9" s="358" t="str">
        <f>J_SUBDAY(J_ADDDAY(D9,L9,1),1,1)</f>
        <v>1398/07/15</v>
      </c>
      <c r="G9" s="163">
        <f t="shared" si="5"/>
        <v>13980715</v>
      </c>
      <c r="H9" s="262"/>
      <c r="I9" s="263"/>
      <c r="J9" s="264">
        <f>j_WEEKDAY(D9,2)</f>
        <v>1</v>
      </c>
      <c r="K9" s="164">
        <f>SUM(K10:K33)</f>
        <v>3</v>
      </c>
      <c r="L9" s="265">
        <f>J_DIFF(D9,FDate(MAX(G10:G33)))+1</f>
        <v>16</v>
      </c>
      <c r="M9" s="266">
        <f>IF(SUM(L10:L33)&lt;&gt;0,SUMPRODUCT(L10:L33,M10:M33)/SUM(L10:L33),0)</f>
        <v>0.47058823529411764</v>
      </c>
      <c r="N9" s="267">
        <f>IF(F9&gt;=D9,NETWORKDAYS.INTL(J_GregorianDate(D9,1),J_GregorianDate(F9,1),16,1)-SUMIFS(Holieday[ok],Holieday[date],CONCATENATE("&gt;","=",D9),Holieday[date],CONCATENATE("&lt;","=",F9))+SUMIFS(Holieday[Friday],Holieday[date],CONCATENATE("&gt;","=",D9),Holieday[date],CONCATENATE("&lt;","=",F9)),0)</f>
        <v>14</v>
      </c>
      <c r="O9" s="159">
        <f>ROUNDDOWN(M9*L9,0)</f>
        <v>7</v>
      </c>
      <c r="P9" s="159">
        <f>VALUE(J_normdate(J_ADDDAY($D9,$O9,1)))</f>
        <v>13980707</v>
      </c>
      <c r="Q9" s="162">
        <f t="shared" si="6"/>
        <v>9</v>
      </c>
      <c r="IY9" s="28"/>
      <c r="IZ9" s="39"/>
      <c r="JA9" s="188"/>
      <c r="JB9" s="188"/>
      <c r="JC9" s="188"/>
      <c r="JD9" s="189"/>
    </row>
    <row r="10" spans="1:264" s="191" customFormat="1" ht="16.5">
      <c r="A10" s="227">
        <v>1.1000000000000001</v>
      </c>
      <c r="B10" s="241" t="s">
        <v>68</v>
      </c>
      <c r="C10" s="228" t="s">
        <v>111</v>
      </c>
      <c r="D10" s="353" t="str">
        <f>D9</f>
        <v>1398/06/31</v>
      </c>
      <c r="E10" s="160">
        <f t="shared" si="4"/>
        <v>13980631</v>
      </c>
      <c r="F10" s="354" t="str">
        <f>IF(N10=0,J_SUBDAY(D10,1,1),IF((N10-(NETWORKDAYS.INTL(J_GregorianDate(D10,1),J_GregorianDate(J_SUBDAY(J_ADDDAY(D10,N10,1),1,1),1),16,1)))+SUMIFS(Holieday[ok],Holieday[date],CONCATENATE("&gt;","=",D10),Holieday[date],CONCATENATE("&lt;","=",J_SUBDAY(J_ADDDAY(D10,N10,1),1,1)))-SUMIFS(Holieday[Friday],Holieday[date],CONCATENATE("&gt;","=",D10),Holieday[date],CONCATENATE("&lt;","=",J_SUBDAY(J_ADDDAY(D10,N10,1),1,1)))=0,J_SUBDAY(J_ADDDAY(D10,N10,1),1,1),IF((N10+1-(NETWORKDAYS.INTL(J_GregorianDate(D10,1),J_GregorianDate(J_SUBDAY(J_ADDDAY(D10,N10+1,1),1,1),1),16,1)))+SUMIFS(Holieday[ok],Holieday[date],CONCATENATE("&gt;","=",D10),Holieday[date],CONCATENATE("&lt;","=",J_SUBDAY(J_ADDDAY(D10,N10+1,1),1,1)))-SUMIFS(Holieday[Friday],Holieday[date],CONCATENATE("&gt;","=",D10),Holieday[date],CONCATENATE("&lt;","=",J_SUBDAY(J_ADDDAY(D10,N10+1,1),1,1)))=1,J_SUBDAY(J_ADDDAY(D10,N10+1,1),1,1),IF((N10+2-(NETWORKDAYS.INTL(J_GregorianDate(D10,1),J_GregorianDate(J_SUBDAY(J_ADDDAY(D10,N10+2,1),1,1),1),16,1)))+SUMIFS(Holieday[ok],Holieday[date],CONCATENATE("&gt;","=",D10),Holieday[date],CONCATENATE("&lt;","=",J_SUBDAY(J_ADDDAY(D10,N10+2,1),1,1)))-SUMIFS(Holieday[Friday],Holieday[date],CONCATENATE("&gt;","=",D10),Holieday[date],CONCATENATE("&lt;","=",J_SUBDAY(J_ADDDAY(D10,N10+2,1),1,1)))=2,J_SUBDAY(J_ADDDAY(D10,N10+2,1),1,1),IF((N10+3-(NETWORKDAYS.INTL(J_GregorianDate(D10,1),J_GregorianDate(J_SUBDAY(J_ADDDAY(D10,N10+3,1),1,1),1),16,1)))+SUMIFS(Holieday[ok],Holieday[date],CONCATENATE("&gt;","=",D10),Holieday[date],CONCATENATE("&lt;","=",J_SUBDAY(J_ADDDAY(D10,N10+3,1),1,1)))-SUMIFS(Holieday[Friday],Holieday[date],CONCATENATE("&gt;","=",D10),Holieday[date],CONCATENATE("&lt;","=",J_SUBDAY(J_ADDDAY(D10,N10+3,1),1,1)))=3,J_SUBDAY(J_ADDDAY(D10,N10+3,1),1,1),IF((N10+4-(NETWORKDAYS.INTL(J_GregorianDate(D10,1),J_GregorianDate(J_SUBDAY(J_ADDDAY(D10,N10+4,1),1,1),1),16,1)))+SUMIFS(Holieday[ok],Holieday[date],CONCATENATE("&gt;","=",D10),Holieday[date],CONCATENATE("&lt;","=",J_SUBDAY(J_ADDDAY(D10,N10+4,1),1,1)))-SUMIFS(Holieday[Friday],Holieday[date],CONCATENATE("&gt;","=",D10),Holieday[date],CONCATENATE("&lt;","=",J_SUBDAY(J_ADDDAY(D10,N10+4,1),1,1)))=4,J_SUBDAY(J_ADDDAY(D10,N10+4,1),1,1),IF((N10+5-(NETWORKDAYS.INTL(J_GregorianDate(D10,1),J_GregorianDate(J_SUBDAY(J_ADDDAY(D10,N10+5,1),1,1),1),16,1)))+SUMIFS(Holieday[ok],Holieday[date],CONCATENATE("&gt;","=",D10),Holieday[date],CONCATENATE("&lt;","=",J_SUBDAY(J_ADDDAY(D10,N10+5,1),1,1)))-SUMIFS(Holieday[Friday],Holieday[date],CONCATENATE("&gt;","=",D10),Holieday[date],CONCATENATE("&lt;","=",J_SUBDAY(J_ADDDAY(D10,N10+5,1),1,1)))=5,J_SUBDAY(J_ADDDAY(D10,N10+5,1),1,1),J_SUBDAY(J_ADDDAY(D10,N10+6,1),1,1))))))))</f>
        <v>1398/06/31</v>
      </c>
      <c r="G10" s="163">
        <f t="shared" si="5"/>
        <v>13980631</v>
      </c>
      <c r="H10" s="230"/>
      <c r="I10" s="231"/>
      <c r="J10" s="229">
        <f>j_WEEKDAY(D10,2)</f>
        <v>1</v>
      </c>
      <c r="K10" s="173">
        <f t="shared" ref="K10:K33" si="7">SUM(JA10:JC10)</f>
        <v>0</v>
      </c>
      <c r="L10" s="232">
        <f t="shared" ref="L10:L34" si="8">J_DIFF(D10,F10)+1</f>
        <v>1</v>
      </c>
      <c r="M10" s="233">
        <v>1</v>
      </c>
      <c r="N10" s="234">
        <v>1</v>
      </c>
      <c r="O10" s="175">
        <f>ROUNDDOWN(M10*L10,0)</f>
        <v>1</v>
      </c>
      <c r="P10" s="175">
        <f>VALUE(J_normdate(J_ADDDAY($D10,$O10,1)))</f>
        <v>13980701</v>
      </c>
      <c r="Q10" s="171">
        <f t="shared" si="6"/>
        <v>0</v>
      </c>
      <c r="R10" s="169"/>
      <c r="S10" s="169"/>
      <c r="T10" s="169"/>
      <c r="U10" s="169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169"/>
      <c r="AM10" s="169"/>
      <c r="AN10" s="169"/>
      <c r="AO10" s="169"/>
      <c r="AP10" s="169"/>
      <c r="AQ10" s="169"/>
      <c r="AR10" s="169"/>
      <c r="AS10" s="169"/>
      <c r="AT10" s="169"/>
      <c r="AU10" s="169"/>
      <c r="AV10" s="169"/>
      <c r="AW10" s="169"/>
      <c r="AX10" s="169"/>
      <c r="AY10" s="169"/>
      <c r="AZ10" s="169"/>
      <c r="BA10" s="169"/>
      <c r="BB10" s="169"/>
      <c r="BC10" s="169"/>
      <c r="BD10" s="169"/>
      <c r="BE10" s="169"/>
      <c r="BF10" s="169"/>
      <c r="BG10" s="169"/>
      <c r="BH10" s="169"/>
      <c r="BI10" s="169"/>
      <c r="BJ10" s="169"/>
      <c r="BK10" s="169"/>
      <c r="BL10" s="169"/>
      <c r="BM10" s="169"/>
      <c r="BN10" s="169"/>
      <c r="BO10" s="169"/>
      <c r="BP10" s="169"/>
      <c r="BQ10" s="169"/>
      <c r="BR10" s="169"/>
      <c r="BS10" s="169"/>
      <c r="BT10" s="169"/>
      <c r="BU10" s="169"/>
      <c r="BV10" s="169"/>
      <c r="BW10" s="169"/>
      <c r="BX10" s="169"/>
      <c r="BY10" s="169"/>
      <c r="BZ10" s="169"/>
      <c r="CA10" s="169"/>
      <c r="CB10" s="169"/>
      <c r="CC10" s="169"/>
      <c r="CD10" s="169"/>
      <c r="CE10" s="169"/>
      <c r="CF10" s="169"/>
      <c r="CG10" s="169"/>
      <c r="CH10" s="169"/>
      <c r="CI10" s="169"/>
      <c r="CJ10" s="169"/>
      <c r="CK10" s="169"/>
      <c r="CL10" s="169"/>
      <c r="CM10" s="169"/>
      <c r="CN10" s="169"/>
      <c r="CO10" s="169"/>
      <c r="CP10" s="169"/>
      <c r="CQ10" s="169"/>
      <c r="CR10" s="169"/>
      <c r="CS10" s="169"/>
      <c r="CT10" s="169"/>
      <c r="CU10" s="169"/>
      <c r="CV10" s="169"/>
      <c r="CW10" s="169"/>
      <c r="CX10" s="169"/>
      <c r="CY10" s="169"/>
      <c r="CZ10" s="169"/>
      <c r="DA10" s="169"/>
      <c r="DB10" s="169"/>
      <c r="DC10" s="169"/>
      <c r="DD10" s="169"/>
      <c r="DE10" s="169"/>
      <c r="DF10" s="169"/>
      <c r="DG10" s="169"/>
      <c r="DH10" s="169"/>
      <c r="DI10" s="169"/>
      <c r="DJ10" s="169"/>
      <c r="DK10" s="169"/>
      <c r="DL10" s="169"/>
      <c r="DM10" s="169"/>
      <c r="DN10" s="169"/>
      <c r="DO10" s="169"/>
      <c r="DP10" s="169"/>
      <c r="DQ10" s="169"/>
      <c r="DR10" s="169"/>
      <c r="DS10" s="169"/>
      <c r="DT10" s="169"/>
      <c r="DU10" s="169"/>
      <c r="DV10" s="169"/>
      <c r="DW10" s="169"/>
      <c r="DX10" s="169"/>
      <c r="DY10" s="169"/>
      <c r="DZ10" s="169"/>
      <c r="EA10" s="169"/>
      <c r="EB10" s="169"/>
      <c r="EC10" s="169"/>
      <c r="ED10" s="169"/>
      <c r="EE10" s="169"/>
      <c r="EF10" s="169"/>
      <c r="EG10" s="169"/>
      <c r="EH10" s="169"/>
      <c r="EI10" s="169"/>
      <c r="EJ10" s="169"/>
      <c r="EK10" s="169"/>
      <c r="EL10" s="169"/>
      <c r="EM10" s="169"/>
      <c r="EN10" s="169"/>
      <c r="EO10" s="169"/>
      <c r="EP10" s="169"/>
      <c r="EQ10" s="169"/>
      <c r="ER10" s="169"/>
      <c r="ES10" s="169"/>
      <c r="ET10" s="169"/>
      <c r="EU10" s="169"/>
      <c r="EV10" s="169"/>
      <c r="EW10" s="169"/>
      <c r="EX10" s="169"/>
      <c r="EY10" s="169"/>
      <c r="EZ10" s="169"/>
      <c r="FA10" s="169"/>
      <c r="FB10" s="169"/>
      <c r="FC10" s="169"/>
      <c r="FD10" s="169"/>
      <c r="FE10" s="169"/>
      <c r="FF10" s="169"/>
      <c r="FG10" s="169"/>
      <c r="FH10" s="169"/>
      <c r="FI10" s="169"/>
      <c r="FJ10" s="169"/>
      <c r="FK10" s="169"/>
      <c r="FL10" s="169"/>
      <c r="FM10" s="169"/>
      <c r="FN10" s="169"/>
      <c r="FO10" s="169"/>
      <c r="FP10" s="169"/>
      <c r="FQ10" s="169"/>
      <c r="FR10" s="169"/>
      <c r="FS10" s="169"/>
      <c r="FT10" s="169"/>
      <c r="FU10" s="169"/>
      <c r="FV10" s="169"/>
      <c r="FW10" s="169"/>
      <c r="FX10" s="169"/>
      <c r="FY10" s="169"/>
      <c r="FZ10" s="169"/>
      <c r="GA10" s="169"/>
      <c r="GB10" s="169"/>
      <c r="GC10" s="169"/>
      <c r="GD10" s="169"/>
      <c r="GE10" s="169"/>
      <c r="GF10" s="169"/>
      <c r="GG10" s="169"/>
      <c r="GH10" s="169"/>
      <c r="GI10" s="169"/>
      <c r="GJ10" s="169"/>
      <c r="GK10" s="169"/>
      <c r="GL10" s="169"/>
      <c r="GM10" s="169"/>
      <c r="GN10" s="169"/>
      <c r="GO10" s="169"/>
      <c r="GP10" s="169"/>
      <c r="GQ10" s="169"/>
      <c r="GR10" s="169"/>
      <c r="GS10" s="169"/>
      <c r="GT10" s="169"/>
      <c r="GU10" s="169"/>
      <c r="GV10" s="169"/>
      <c r="GW10" s="169"/>
      <c r="GX10" s="169"/>
      <c r="GY10" s="169"/>
      <c r="GZ10" s="169"/>
      <c r="HA10" s="169"/>
      <c r="HB10" s="169"/>
      <c r="HC10" s="169"/>
      <c r="HD10" s="169"/>
      <c r="HE10" s="169"/>
      <c r="HF10" s="169"/>
      <c r="HG10" s="169"/>
      <c r="HH10" s="169"/>
      <c r="HI10" s="169"/>
      <c r="HJ10" s="169"/>
      <c r="HK10" s="169"/>
      <c r="HL10" s="169"/>
      <c r="HM10" s="169"/>
      <c r="HN10" s="169"/>
      <c r="HO10" s="169"/>
      <c r="HP10" s="169"/>
      <c r="HQ10" s="169"/>
      <c r="HR10" s="169"/>
      <c r="HS10" s="169"/>
      <c r="HT10" s="169"/>
      <c r="HU10" s="169"/>
      <c r="HV10" s="169"/>
      <c r="HW10" s="169"/>
      <c r="HX10" s="169"/>
      <c r="HY10" s="169"/>
      <c r="HZ10" s="169"/>
      <c r="IA10" s="169"/>
      <c r="IB10" s="169"/>
      <c r="IC10" s="169"/>
      <c r="ID10" s="169"/>
      <c r="IE10" s="169"/>
      <c r="IF10" s="169"/>
      <c r="IG10" s="169"/>
      <c r="IH10" s="169"/>
      <c r="II10" s="169"/>
      <c r="IJ10" s="169"/>
      <c r="IK10" s="169"/>
      <c r="IL10" s="169"/>
      <c r="IM10" s="169"/>
      <c r="IN10" s="169"/>
      <c r="IO10" s="169"/>
      <c r="IP10" s="169"/>
      <c r="IQ10" s="169"/>
      <c r="IR10" s="169"/>
      <c r="IS10" s="169"/>
      <c r="IT10" s="169"/>
      <c r="IU10" s="169"/>
      <c r="IV10" s="169"/>
      <c r="IW10" s="169"/>
      <c r="IX10" s="169"/>
      <c r="IY10" s="29">
        <v>1</v>
      </c>
      <c r="IZ10" s="40">
        <f>(TEXT(K10,"[m]")/60)*VLOOKUP(IY10,'Income Person-hours'!A$2:C$5,3,FALSE)</f>
        <v>0</v>
      </c>
      <c r="JA10" s="112"/>
      <c r="JB10" s="112"/>
      <c r="JC10" s="112"/>
      <c r="JD10" s="190">
        <f>SUM((TEXT(JA10,"[M]")/60)*'Income Person-hours'!$D$3,(TEXT(JB10,"[M]")/60)*'Income Person-hours'!$D$4,(TEXT(JC10,"[M]")/60)*'Income Person-hours'!$D$5)</f>
        <v>0</v>
      </c>
    </row>
    <row r="11" spans="1:264" s="191" customFormat="1" ht="13.5">
      <c r="A11" s="227">
        <v>1.2</v>
      </c>
      <c r="B11" s="241" t="s">
        <v>140</v>
      </c>
      <c r="C11" s="228" t="s">
        <v>111</v>
      </c>
      <c r="D11" s="353" t="str">
        <f>IF(OR(j_WEEKDAY(J_ADDDAY(VLOOKUP(I11,A:F,6,FALSE),H11,1),0)=6,SUMIFS(Holieday[ok],Holieday[date],J_ADDDAY(VLOOKUP(I11,A:F,6,FALSE),H11,1)))=FALSE(),J_ADDDAY(VLOOKUP(I11,A:F,6,FALSE),H11,1),IF(OR(j_WEEKDAY(J_ADDDAY(VLOOKUP(I11,A:F,6,FALSE),H11+1,1),0)=6,SUMIFS(Holieday[ok],Holieday[date],J_ADDDAY(VLOOKUP(I11,A:F,6,FALSE),H11+1,1)))=FALSE(),J_ADDDAY(VLOOKUP(I11,A:F,6,FALSE),H11+1,1),IF(OR(j_WEEKDAY(J_ADDDAY(VLOOKUP(I11,A:F,6,FALSE),H11+2,1),0)=6,SUMIFS(Holieday[ok],Holieday[date],J_ADDDAY(VLOOKUP(I11,A:F,6,FALSE),H11+2,1)))=FALSE(),J_ADDDAY(VLOOKUP(I11,A:F,6,FALSE),H11+2,1),IF(OR(j_WEEKDAY(J_ADDDAY(VLOOKUP(I11,A:F,6,FALSE),H11+3,1),0)=6,SUMIFS(Holieday[ok],Holieday[date],J_ADDDAY(VLOOKUP(I11,A:F,6,FALSE),H11+3,1)))=FALSE(),J_ADDDAY(VLOOKUP(I11,A:F,6,FALSE),H11+3,1),IF(OR(j_WEEKDAY(J_ADDDAY(VLOOKUP(I11,A:F,6,FALSE),H11+4,1),0)=6,SUMIFS(Holieday[ok],Holieday[date],J_ADDDAY(VLOOKUP(I11,A:F,6,FALSE),H11+4,1)))=FALSE(),J_ADDDAY(VLOOKUP(I11,A:F,6,FALSE),H11+4,1),J_ADDDAY(VLOOKUP(I11,A:F,6,FALSE),H11+5,1))))))</f>
        <v>1398/06/31</v>
      </c>
      <c r="E11" s="160">
        <f t="shared" si="4"/>
        <v>13980631</v>
      </c>
      <c r="F11" s="354" t="str">
        <f>IF(N11=0,J_SUBDAY(D11,1,1),IF((N11-(NETWORKDAYS.INTL(J_GregorianDate(D11,1),J_GregorianDate(J_SUBDAY(J_ADDDAY(D11,N11,1),1,1),1),16,1)))+SUMIFS(Holieday[ok],Holieday[date],CONCATENATE("&gt;","=",D11),Holieday[date],CONCATENATE("&lt;","=",J_SUBDAY(J_ADDDAY(D11,N11,1),1,1)))-SUMIFS(Holieday[Friday],Holieday[date],CONCATENATE("&gt;","=",D11),Holieday[date],CONCATENATE("&lt;","=",J_SUBDAY(J_ADDDAY(D11,N11,1),1,1)))=0,J_SUBDAY(J_ADDDAY(D11,N11,1),1,1),IF((N11+1-(NETWORKDAYS.INTL(J_GregorianDate(D11,1),J_GregorianDate(J_SUBDAY(J_ADDDAY(D11,N11+1,1),1,1),1),16,1)))+SUMIFS(Holieday[ok],Holieday[date],CONCATENATE("&gt;","=",D11),Holieday[date],CONCATENATE("&lt;","=",J_SUBDAY(J_ADDDAY(D11,N11+1,1),1,1)))-SUMIFS(Holieday[Friday],Holieday[date],CONCATENATE("&gt;","=",D11),Holieday[date],CONCATENATE("&lt;","=",J_SUBDAY(J_ADDDAY(D11,N11+1,1),1,1)))=1,J_SUBDAY(J_ADDDAY(D11,N11+1,1),1,1),IF((N11+2-(NETWORKDAYS.INTL(J_GregorianDate(D11,1),J_GregorianDate(J_SUBDAY(J_ADDDAY(D11,N11+2,1),1,1),1),16,1)))+SUMIFS(Holieday[ok],Holieday[date],CONCATENATE("&gt;","=",D11),Holieday[date],CONCATENATE("&lt;","=",J_SUBDAY(J_ADDDAY(D11,N11+2,1),1,1)))-SUMIFS(Holieday[Friday],Holieday[date],CONCATENATE("&gt;","=",D11),Holieday[date],CONCATENATE("&lt;","=",J_SUBDAY(J_ADDDAY(D11,N11+2,1),1,1)))=2,J_SUBDAY(J_ADDDAY(D11,N11+2,1),1,1),IF((N11+3-(NETWORKDAYS.INTL(J_GregorianDate(D11,1),J_GregorianDate(J_SUBDAY(J_ADDDAY(D11,N11+3,1),1,1),1),16,1)))+SUMIFS(Holieday[ok],Holieday[date],CONCATENATE("&gt;","=",D11),Holieday[date],CONCATENATE("&lt;","=",J_SUBDAY(J_ADDDAY(D11,N11+3,1),1,1)))-SUMIFS(Holieday[Friday],Holieday[date],CONCATENATE("&gt;","=",D11),Holieday[date],CONCATENATE("&lt;","=",J_SUBDAY(J_ADDDAY(D11,N11+3,1),1,1)))=3,J_SUBDAY(J_ADDDAY(D11,N11+3,1),1,1),IF((N11+4-(NETWORKDAYS.INTL(J_GregorianDate(D11,1),J_GregorianDate(J_SUBDAY(J_ADDDAY(D11,N11+4,1),1,1),1),16,1)))+SUMIFS(Holieday[ok],Holieday[date],CONCATENATE("&gt;","=",D11),Holieday[date],CONCATENATE("&lt;","=",J_SUBDAY(J_ADDDAY(D11,N11+4,1),1,1)))-SUMIFS(Holieday[Friday],Holieday[date],CONCATENATE("&gt;","=",D11),Holieday[date],CONCATENATE("&lt;","=",J_SUBDAY(J_ADDDAY(D11,N11+4,1),1,1)))=4,J_SUBDAY(J_ADDDAY(D11,N11+4,1),1,1),IF((N11+5-(NETWORKDAYS.INTL(J_GregorianDate(D11,1),J_GregorianDate(J_SUBDAY(J_ADDDAY(D11,N11+5,1),1,1),1),16,1)))+SUMIFS(Holieday[ok],Holieday[date],CONCATENATE("&gt;","=",D11),Holieday[date],CONCATENATE("&lt;","=",J_SUBDAY(J_ADDDAY(D11,N11+5,1),1,1)))-SUMIFS(Holieday[Friday],Holieday[date],CONCATENATE("&gt;","=",D11),Holieday[date],CONCATENATE("&lt;","=",J_SUBDAY(J_ADDDAY(D11,N11+5,1),1,1)))=5,J_SUBDAY(J_ADDDAY(D11,N11+5,1),1,1),J_SUBDAY(J_ADDDAY(D11,N11+6,1),1,1))))))))</f>
        <v>1398/07/02</v>
      </c>
      <c r="G11" s="163">
        <f t="shared" si="5"/>
        <v>13980702</v>
      </c>
      <c r="H11" s="230"/>
      <c r="I11" s="231">
        <v>1.1000000000000001</v>
      </c>
      <c r="J11" s="229">
        <f>j_WEEKDAY(D11,2)</f>
        <v>1</v>
      </c>
      <c r="K11" s="173">
        <f t="shared" si="7"/>
        <v>0</v>
      </c>
      <c r="L11" s="232">
        <f t="shared" si="8"/>
        <v>3</v>
      </c>
      <c r="M11" s="233">
        <v>1</v>
      </c>
      <c r="N11" s="234">
        <v>3</v>
      </c>
      <c r="O11" s="175">
        <f>ROUNDDOWN(M11*L11,0)</f>
        <v>3</v>
      </c>
      <c r="P11" s="175">
        <f>VALUE(J_normdate(J_ADDDAY($D11,$O11,1)))</f>
        <v>13980703</v>
      </c>
      <c r="Q11" s="171">
        <f t="shared" si="6"/>
        <v>0</v>
      </c>
      <c r="R11" s="169"/>
      <c r="S11" s="169"/>
      <c r="T11" s="169"/>
      <c r="U11" s="169"/>
      <c r="V11" s="169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69"/>
      <c r="BC11" s="169"/>
      <c r="BD11" s="169"/>
      <c r="BE11" s="169"/>
      <c r="BF11" s="169"/>
      <c r="BG11" s="169"/>
      <c r="BH11" s="169"/>
      <c r="BI11" s="169"/>
      <c r="BJ11" s="169"/>
      <c r="BK11" s="169"/>
      <c r="BL11" s="169"/>
      <c r="BM11" s="169"/>
      <c r="BN11" s="169"/>
      <c r="BO11" s="169"/>
      <c r="BP11" s="169"/>
      <c r="BQ11" s="169"/>
      <c r="BR11" s="169"/>
      <c r="BS11" s="169"/>
      <c r="BT11" s="169"/>
      <c r="BU11" s="169"/>
      <c r="BV11" s="169"/>
      <c r="BW11" s="169"/>
      <c r="BX11" s="169"/>
      <c r="BY11" s="169"/>
      <c r="BZ11" s="169"/>
      <c r="CA11" s="169"/>
      <c r="CB11" s="169"/>
      <c r="CC11" s="169"/>
      <c r="CD11" s="169"/>
      <c r="CE11" s="169"/>
      <c r="CF11" s="169"/>
      <c r="CG11" s="169"/>
      <c r="CH11" s="169"/>
      <c r="CI11" s="169"/>
      <c r="CJ11" s="169"/>
      <c r="CK11" s="169"/>
      <c r="CL11" s="169"/>
      <c r="CM11" s="169"/>
      <c r="CN11" s="169"/>
      <c r="CO11" s="169"/>
      <c r="CP11" s="169"/>
      <c r="CQ11" s="169"/>
      <c r="CR11" s="169"/>
      <c r="CS11" s="169"/>
      <c r="CT11" s="169"/>
      <c r="CU11" s="169"/>
      <c r="CV11" s="169"/>
      <c r="CW11" s="169"/>
      <c r="CX11" s="169"/>
      <c r="CY11" s="169"/>
      <c r="CZ11" s="169"/>
      <c r="DA11" s="169"/>
      <c r="DB11" s="169"/>
      <c r="DC11" s="169"/>
      <c r="DD11" s="169"/>
      <c r="DE11" s="169"/>
      <c r="DF11" s="169"/>
      <c r="DG11" s="169"/>
      <c r="DH11" s="169"/>
      <c r="DI11" s="169"/>
      <c r="DJ11" s="169"/>
      <c r="DK11" s="169"/>
      <c r="DL11" s="169"/>
      <c r="DM11" s="169"/>
      <c r="DN11" s="169"/>
      <c r="DO11" s="169"/>
      <c r="DP11" s="169"/>
      <c r="DQ11" s="169"/>
      <c r="DR11" s="169"/>
      <c r="DS11" s="169"/>
      <c r="DT11" s="169"/>
      <c r="DU11" s="169"/>
      <c r="DV11" s="169"/>
      <c r="DW11" s="169"/>
      <c r="DX11" s="169"/>
      <c r="DY11" s="169"/>
      <c r="DZ11" s="169"/>
      <c r="EA11" s="169"/>
      <c r="EB11" s="169"/>
      <c r="EC11" s="169"/>
      <c r="ED11" s="169"/>
      <c r="EE11" s="169"/>
      <c r="EF11" s="169"/>
      <c r="EG11" s="169"/>
      <c r="EH11" s="169"/>
      <c r="EI11" s="169"/>
      <c r="EJ11" s="169"/>
      <c r="EK11" s="169"/>
      <c r="EL11" s="169"/>
      <c r="EM11" s="169"/>
      <c r="EN11" s="169"/>
      <c r="EO11" s="169"/>
      <c r="EP11" s="169"/>
      <c r="EQ11" s="169"/>
      <c r="ER11" s="169"/>
      <c r="ES11" s="169"/>
      <c r="ET11" s="169"/>
      <c r="EU11" s="169"/>
      <c r="EV11" s="169"/>
      <c r="EW11" s="169"/>
      <c r="EX11" s="169"/>
      <c r="EY11" s="169"/>
      <c r="EZ11" s="169"/>
      <c r="FA11" s="169"/>
      <c r="FB11" s="169"/>
      <c r="FC11" s="169"/>
      <c r="FD11" s="169"/>
      <c r="FE11" s="169"/>
      <c r="FF11" s="169"/>
      <c r="FG11" s="169"/>
      <c r="FH11" s="169"/>
      <c r="FI11" s="169"/>
      <c r="FJ11" s="169"/>
      <c r="FK11" s="169"/>
      <c r="FL11" s="169"/>
      <c r="FM11" s="169"/>
      <c r="FN11" s="169"/>
      <c r="FO11" s="169"/>
      <c r="FP11" s="169"/>
      <c r="FQ11" s="169"/>
      <c r="FR11" s="169"/>
      <c r="FS11" s="169"/>
      <c r="FT11" s="169"/>
      <c r="FU11" s="169"/>
      <c r="FV11" s="169"/>
      <c r="FW11" s="169"/>
      <c r="FX11" s="169"/>
      <c r="FY11" s="169"/>
      <c r="FZ11" s="169"/>
      <c r="GA11" s="169"/>
      <c r="GB11" s="169"/>
      <c r="GC11" s="169"/>
      <c r="GD11" s="169"/>
      <c r="GE11" s="169"/>
      <c r="GF11" s="169"/>
      <c r="GG11" s="169"/>
      <c r="GH11" s="169"/>
      <c r="GI11" s="169"/>
      <c r="GJ11" s="169"/>
      <c r="GK11" s="169"/>
      <c r="GL11" s="169"/>
      <c r="GM11" s="169"/>
      <c r="GN11" s="169"/>
      <c r="GO11" s="169"/>
      <c r="GP11" s="169"/>
      <c r="GQ11" s="169"/>
      <c r="GR11" s="169"/>
      <c r="GS11" s="169"/>
      <c r="GT11" s="169"/>
      <c r="GU11" s="169"/>
      <c r="GV11" s="169"/>
      <c r="GW11" s="169"/>
      <c r="GX11" s="169"/>
      <c r="GY11" s="169"/>
      <c r="GZ11" s="169"/>
      <c r="HA11" s="169"/>
      <c r="HB11" s="169"/>
      <c r="HC11" s="169"/>
      <c r="HD11" s="169"/>
      <c r="HE11" s="169"/>
      <c r="HF11" s="169"/>
      <c r="HG11" s="169"/>
      <c r="HH11" s="169"/>
      <c r="HI11" s="169"/>
      <c r="HJ11" s="169"/>
      <c r="HK11" s="169"/>
      <c r="HL11" s="169"/>
      <c r="HM11" s="169"/>
      <c r="HN11" s="169"/>
      <c r="HO11" s="169"/>
      <c r="HP11" s="169"/>
      <c r="HQ11" s="169"/>
      <c r="HR11" s="169"/>
      <c r="HS11" s="169"/>
      <c r="HT11" s="169"/>
      <c r="HU11" s="169"/>
      <c r="HV11" s="169"/>
      <c r="HW11" s="169"/>
      <c r="HX11" s="169"/>
      <c r="HY11" s="169"/>
      <c r="HZ11" s="169"/>
      <c r="IA11" s="169"/>
      <c r="IB11" s="169"/>
      <c r="IC11" s="169"/>
      <c r="ID11" s="169"/>
      <c r="IE11" s="169"/>
      <c r="IF11" s="169"/>
      <c r="IG11" s="169"/>
      <c r="IH11" s="169"/>
      <c r="II11" s="169"/>
      <c r="IJ11" s="169"/>
      <c r="IK11" s="169"/>
      <c r="IL11" s="169"/>
      <c r="IM11" s="169"/>
      <c r="IN11" s="169"/>
      <c r="IO11" s="169"/>
      <c r="IP11" s="169"/>
      <c r="IQ11" s="169"/>
      <c r="IR11" s="169"/>
      <c r="IS11" s="169"/>
      <c r="IT11" s="169"/>
      <c r="IU11" s="169"/>
      <c r="IV11" s="169"/>
      <c r="IW11" s="169"/>
      <c r="IX11" s="169"/>
      <c r="IY11" s="29">
        <v>2</v>
      </c>
      <c r="IZ11" s="40">
        <f>(TEXT(K11,"[m]")/60)*VLOOKUP(IY11,'Income Person-hours'!A$2:C$5,3,FALSE)</f>
        <v>0</v>
      </c>
      <c r="JA11" s="112"/>
      <c r="JB11" s="112"/>
      <c r="JC11" s="112"/>
      <c r="JD11" s="192">
        <f>SUM((TEXT(JA11,"[M]")/60)*'Income Person-hours'!$D$3,(TEXT(JB11,"[M]")/60)*'Income Person-hours'!$D$4,(TEXT(JC11,"[M]")/60)*'Income Person-hours'!$D$5)</f>
        <v>0</v>
      </c>
    </row>
    <row r="12" spans="1:264" s="191" customFormat="1" ht="13.5">
      <c r="A12" s="227">
        <v>1.3</v>
      </c>
      <c r="B12" s="241" t="s">
        <v>113</v>
      </c>
      <c r="C12" s="228" t="s">
        <v>79</v>
      </c>
      <c r="D12" s="353" t="str">
        <f>IF(OR(j_WEEKDAY(J_ADDDAY(VLOOKUP(I12,A:F,6,FALSE),H12,1),0)=6,SUMIFS(Holieday[ok],Holieday[date],J_ADDDAY(VLOOKUP(I12,A:F,6,FALSE),H12,1)))=FALSE(),J_ADDDAY(VLOOKUP(I12,A:F,6,FALSE),H12,1),IF(OR(j_WEEKDAY(J_ADDDAY(VLOOKUP(I12,A:F,6,FALSE),H12+1,1),0)=6,SUMIFS(Holieday[ok],Holieday[date],J_ADDDAY(VLOOKUP(I12,A:F,6,FALSE),H12+1,1)))=FALSE(),J_ADDDAY(VLOOKUP(I12,A:F,6,FALSE),H12+1,1),IF(OR(j_WEEKDAY(J_ADDDAY(VLOOKUP(I12,A:F,6,FALSE),H12+2,1),0)=6,SUMIFS(Holieday[ok],Holieday[date],J_ADDDAY(VLOOKUP(I12,A:F,6,FALSE),H12+2,1)))=FALSE(),J_ADDDAY(VLOOKUP(I12,A:F,6,FALSE),H12+2,1),IF(OR(j_WEEKDAY(J_ADDDAY(VLOOKUP(I12,A:F,6,FALSE),H12+3,1),0)=6,SUMIFS(Holieday[ok],Holieday[date],J_ADDDAY(VLOOKUP(I12,A:F,6,FALSE),H12+3,1)))=FALSE(),J_ADDDAY(VLOOKUP(I12,A:F,6,FALSE),H12+3,1),IF(OR(j_WEEKDAY(J_ADDDAY(VLOOKUP(I12,A:F,6,FALSE),H12+4,1),0)=6,SUMIFS(Holieday[ok],Holieday[date],J_ADDDAY(VLOOKUP(I12,A:F,6,FALSE),H12+4,1)))=FALSE(),J_ADDDAY(VLOOKUP(I12,A:F,6,FALSE),H12+4,1),J_ADDDAY(VLOOKUP(I12,A:F,6,FALSE),H12+5,1))))))</f>
        <v>1398/06/31</v>
      </c>
      <c r="E12" s="160">
        <f t="shared" si="4"/>
        <v>13980631</v>
      </c>
      <c r="F12" s="354" t="str">
        <f>IF(N12=0,J_SUBDAY(D12,1,1),IF((N12-(NETWORKDAYS.INTL(J_GregorianDate(D12,1),J_GregorianDate(J_SUBDAY(J_ADDDAY(D12,N12,1),1,1),1),16,1)))+SUMIFS(Holieday[ok],Holieday[date],CONCATENATE("&gt;","=",D12),Holieday[date],CONCATENATE("&lt;","=",J_SUBDAY(J_ADDDAY(D12,N12,1),1,1)))-SUMIFS(Holieday[Friday],Holieday[date],CONCATENATE("&gt;","=",D12),Holieday[date],CONCATENATE("&lt;","=",J_SUBDAY(J_ADDDAY(D12,N12,1),1,1)))=0,J_SUBDAY(J_ADDDAY(D12,N12,1),1,1),IF((N12+1-(NETWORKDAYS.INTL(J_GregorianDate(D12,1),J_GregorianDate(J_SUBDAY(J_ADDDAY(D12,N12+1,1),1,1),1),16,1)))+SUMIFS(Holieday[ok],Holieday[date],CONCATENATE("&gt;","=",D12),Holieday[date],CONCATENATE("&lt;","=",J_SUBDAY(J_ADDDAY(D12,N12+1,1),1,1)))-SUMIFS(Holieday[Friday],Holieday[date],CONCATENATE("&gt;","=",D12),Holieday[date],CONCATENATE("&lt;","=",J_SUBDAY(J_ADDDAY(D12,N12+1,1),1,1)))=1,J_SUBDAY(J_ADDDAY(D12,N12+1,1),1,1),IF((N12+2-(NETWORKDAYS.INTL(J_GregorianDate(D12,1),J_GregorianDate(J_SUBDAY(J_ADDDAY(D12,N12+2,1),1,1),1),16,1)))+SUMIFS(Holieday[ok],Holieday[date],CONCATENATE("&gt;","=",D12),Holieday[date],CONCATENATE("&lt;","=",J_SUBDAY(J_ADDDAY(D12,N12+2,1),1,1)))-SUMIFS(Holieday[Friday],Holieday[date],CONCATENATE("&gt;","=",D12),Holieday[date],CONCATENATE("&lt;","=",J_SUBDAY(J_ADDDAY(D12,N12+2,1),1,1)))=2,J_SUBDAY(J_ADDDAY(D12,N12+2,1),1,1),IF((N12+3-(NETWORKDAYS.INTL(J_GregorianDate(D12,1),J_GregorianDate(J_SUBDAY(J_ADDDAY(D12,N12+3,1),1,1),1),16,1)))+SUMIFS(Holieday[ok],Holieday[date],CONCATENATE("&gt;","=",D12),Holieday[date],CONCATENATE("&lt;","=",J_SUBDAY(J_ADDDAY(D12,N12+3,1),1,1)))-SUMIFS(Holieday[Friday],Holieday[date],CONCATENATE("&gt;","=",D12),Holieday[date],CONCATENATE("&lt;","=",J_SUBDAY(J_ADDDAY(D12,N12+3,1),1,1)))=3,J_SUBDAY(J_ADDDAY(D12,N12+3,1),1,1),IF((N12+4-(NETWORKDAYS.INTL(J_GregorianDate(D12,1),J_GregorianDate(J_SUBDAY(J_ADDDAY(D12,N12+4,1),1,1),1),16,1)))+SUMIFS(Holieday[ok],Holieday[date],CONCATENATE("&gt;","=",D12),Holieday[date],CONCATENATE("&lt;","=",J_SUBDAY(J_ADDDAY(D12,N12+4,1),1,1)))-SUMIFS(Holieday[Friday],Holieday[date],CONCATENATE("&gt;","=",D12),Holieday[date],CONCATENATE("&lt;","=",J_SUBDAY(J_ADDDAY(D12,N12+4,1),1,1)))=4,J_SUBDAY(J_ADDDAY(D12,N12+4,1),1,1),IF((N12+5-(NETWORKDAYS.INTL(J_GregorianDate(D12,1),J_GregorianDate(J_SUBDAY(J_ADDDAY(D12,N12+5,1),1,1),1),16,1)))+SUMIFS(Holieday[ok],Holieday[date],CONCATENATE("&gt;","=",D12),Holieday[date],CONCATENATE("&lt;","=",J_SUBDAY(J_ADDDAY(D12,N12+5,1),1,1)))-SUMIFS(Holieday[Friday],Holieday[date],CONCATENATE("&gt;","=",D12),Holieday[date],CONCATENATE("&lt;","=",J_SUBDAY(J_ADDDAY(D12,N12+5,1),1,1)))=5,J_SUBDAY(J_ADDDAY(D12,N12+5,1),1,1),J_SUBDAY(J_ADDDAY(D12,N12+6,1),1,1))))))))</f>
        <v>1398/07/02</v>
      </c>
      <c r="G12" s="163">
        <f t="shared" si="5"/>
        <v>13980702</v>
      </c>
      <c r="H12" s="230"/>
      <c r="I12" s="231">
        <v>1.1000000000000001</v>
      </c>
      <c r="J12" s="229">
        <f>j_WEEKDAY(D12,2)</f>
        <v>1</v>
      </c>
      <c r="K12" s="173">
        <f t="shared" si="7"/>
        <v>0</v>
      </c>
      <c r="L12" s="232">
        <f t="shared" si="8"/>
        <v>3</v>
      </c>
      <c r="M12" s="233">
        <v>0</v>
      </c>
      <c r="N12" s="234">
        <v>3</v>
      </c>
      <c r="O12" s="175">
        <f>ROUNDDOWN(M12*L12,0)</f>
        <v>0</v>
      </c>
      <c r="P12" s="175">
        <f>VALUE(J_normdate(J_ADDDAY($D12,$O12,1)))</f>
        <v>13980631</v>
      </c>
      <c r="Q12" s="171">
        <f t="shared" si="6"/>
        <v>3</v>
      </c>
      <c r="R12" s="169"/>
      <c r="S12" s="169"/>
      <c r="T12" s="169"/>
      <c r="U12" s="169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169"/>
      <c r="AL12" s="169"/>
      <c r="AM12" s="169"/>
      <c r="AN12" s="169"/>
      <c r="AO12" s="169"/>
      <c r="AP12" s="169"/>
      <c r="AQ12" s="169"/>
      <c r="AR12" s="169"/>
      <c r="AS12" s="169"/>
      <c r="AT12" s="169"/>
      <c r="AU12" s="169"/>
      <c r="AV12" s="169"/>
      <c r="AW12" s="169"/>
      <c r="AX12" s="169"/>
      <c r="AY12" s="169"/>
      <c r="AZ12" s="169"/>
      <c r="BA12" s="169"/>
      <c r="BB12" s="169"/>
      <c r="BC12" s="169"/>
      <c r="BD12" s="169"/>
      <c r="BE12" s="169"/>
      <c r="BF12" s="169"/>
      <c r="BG12" s="169"/>
      <c r="BH12" s="169"/>
      <c r="BI12" s="169"/>
      <c r="BJ12" s="169"/>
      <c r="BK12" s="169"/>
      <c r="BL12" s="169"/>
      <c r="BM12" s="169"/>
      <c r="BN12" s="169"/>
      <c r="BO12" s="169"/>
      <c r="BP12" s="169"/>
      <c r="BQ12" s="169"/>
      <c r="BR12" s="169"/>
      <c r="BS12" s="169"/>
      <c r="BT12" s="169"/>
      <c r="BU12" s="169"/>
      <c r="BV12" s="169"/>
      <c r="BW12" s="169"/>
      <c r="BX12" s="169"/>
      <c r="BY12" s="169"/>
      <c r="BZ12" s="169"/>
      <c r="CA12" s="169"/>
      <c r="CB12" s="169"/>
      <c r="CC12" s="169"/>
      <c r="CD12" s="169"/>
      <c r="CE12" s="169"/>
      <c r="CF12" s="169"/>
      <c r="CG12" s="169"/>
      <c r="CH12" s="169"/>
      <c r="CI12" s="169"/>
      <c r="CJ12" s="169"/>
      <c r="CK12" s="169"/>
      <c r="CL12" s="169"/>
      <c r="CM12" s="169"/>
      <c r="CN12" s="169"/>
      <c r="CO12" s="169"/>
      <c r="CP12" s="169"/>
      <c r="CQ12" s="169"/>
      <c r="CR12" s="169"/>
      <c r="CS12" s="169"/>
      <c r="CT12" s="169"/>
      <c r="CU12" s="169"/>
      <c r="CV12" s="169"/>
      <c r="CW12" s="169"/>
      <c r="CX12" s="169"/>
      <c r="CY12" s="169"/>
      <c r="CZ12" s="169"/>
      <c r="DA12" s="169"/>
      <c r="DB12" s="169"/>
      <c r="DC12" s="169"/>
      <c r="DD12" s="169"/>
      <c r="DE12" s="169"/>
      <c r="DF12" s="169"/>
      <c r="DG12" s="169"/>
      <c r="DH12" s="169"/>
      <c r="DI12" s="169"/>
      <c r="DJ12" s="169"/>
      <c r="DK12" s="169"/>
      <c r="DL12" s="169"/>
      <c r="DM12" s="169"/>
      <c r="DN12" s="169"/>
      <c r="DO12" s="169"/>
      <c r="DP12" s="169"/>
      <c r="DQ12" s="169"/>
      <c r="DR12" s="169"/>
      <c r="DS12" s="169"/>
      <c r="DT12" s="169"/>
      <c r="DU12" s="169"/>
      <c r="DV12" s="169"/>
      <c r="DW12" s="169"/>
      <c r="DX12" s="169"/>
      <c r="DY12" s="169"/>
      <c r="DZ12" s="169"/>
      <c r="EA12" s="169"/>
      <c r="EB12" s="169"/>
      <c r="EC12" s="169"/>
      <c r="ED12" s="169"/>
      <c r="EE12" s="169"/>
      <c r="EF12" s="169"/>
      <c r="EG12" s="169"/>
      <c r="EH12" s="169"/>
      <c r="EI12" s="169"/>
      <c r="EJ12" s="169"/>
      <c r="EK12" s="169"/>
      <c r="EL12" s="169"/>
      <c r="EM12" s="169"/>
      <c r="EN12" s="169"/>
      <c r="EO12" s="169"/>
      <c r="EP12" s="169"/>
      <c r="EQ12" s="169"/>
      <c r="ER12" s="169"/>
      <c r="ES12" s="169"/>
      <c r="ET12" s="169"/>
      <c r="EU12" s="169"/>
      <c r="EV12" s="169"/>
      <c r="EW12" s="169"/>
      <c r="EX12" s="169"/>
      <c r="EY12" s="169"/>
      <c r="EZ12" s="169"/>
      <c r="FA12" s="169"/>
      <c r="FB12" s="169"/>
      <c r="FC12" s="169"/>
      <c r="FD12" s="169"/>
      <c r="FE12" s="169"/>
      <c r="FF12" s="169"/>
      <c r="FG12" s="169"/>
      <c r="FH12" s="169"/>
      <c r="FI12" s="169"/>
      <c r="FJ12" s="169"/>
      <c r="FK12" s="169"/>
      <c r="FL12" s="169"/>
      <c r="FM12" s="169"/>
      <c r="FN12" s="169"/>
      <c r="FO12" s="169"/>
      <c r="FP12" s="169"/>
      <c r="FQ12" s="169"/>
      <c r="FR12" s="169"/>
      <c r="FS12" s="169"/>
      <c r="FT12" s="169"/>
      <c r="FU12" s="169"/>
      <c r="FV12" s="169"/>
      <c r="FW12" s="169"/>
      <c r="FX12" s="169"/>
      <c r="FY12" s="169"/>
      <c r="FZ12" s="169"/>
      <c r="GA12" s="169"/>
      <c r="GB12" s="169"/>
      <c r="GC12" s="169"/>
      <c r="GD12" s="169"/>
      <c r="GE12" s="169"/>
      <c r="GF12" s="169"/>
      <c r="GG12" s="169"/>
      <c r="GH12" s="169"/>
      <c r="GI12" s="169"/>
      <c r="GJ12" s="169"/>
      <c r="GK12" s="169"/>
      <c r="GL12" s="169"/>
      <c r="GM12" s="169"/>
      <c r="GN12" s="169"/>
      <c r="GO12" s="169"/>
      <c r="GP12" s="169"/>
      <c r="GQ12" s="169"/>
      <c r="GR12" s="169"/>
      <c r="GS12" s="169"/>
      <c r="GT12" s="169"/>
      <c r="GU12" s="169"/>
      <c r="GV12" s="169"/>
      <c r="GW12" s="169"/>
      <c r="GX12" s="169"/>
      <c r="GY12" s="169"/>
      <c r="GZ12" s="169"/>
      <c r="HA12" s="169"/>
      <c r="HB12" s="169"/>
      <c r="HC12" s="169"/>
      <c r="HD12" s="169"/>
      <c r="HE12" s="169"/>
      <c r="HF12" s="169"/>
      <c r="HG12" s="169"/>
      <c r="HH12" s="169"/>
      <c r="HI12" s="169"/>
      <c r="HJ12" s="169"/>
      <c r="HK12" s="169"/>
      <c r="HL12" s="169"/>
      <c r="HM12" s="169"/>
      <c r="HN12" s="169"/>
      <c r="HO12" s="169"/>
      <c r="HP12" s="169"/>
      <c r="HQ12" s="169"/>
      <c r="HR12" s="169"/>
      <c r="HS12" s="169"/>
      <c r="HT12" s="169"/>
      <c r="HU12" s="169"/>
      <c r="HV12" s="169"/>
      <c r="HW12" s="169"/>
      <c r="HX12" s="169"/>
      <c r="HY12" s="169"/>
      <c r="HZ12" s="169"/>
      <c r="IA12" s="169"/>
      <c r="IB12" s="169"/>
      <c r="IC12" s="169"/>
      <c r="ID12" s="169"/>
      <c r="IE12" s="169"/>
      <c r="IF12" s="169"/>
      <c r="IG12" s="169"/>
      <c r="IH12" s="169"/>
      <c r="II12" s="169"/>
      <c r="IJ12" s="169"/>
      <c r="IK12" s="169"/>
      <c r="IL12" s="169"/>
      <c r="IM12" s="169"/>
      <c r="IN12" s="169"/>
      <c r="IO12" s="169"/>
      <c r="IP12" s="169"/>
      <c r="IQ12" s="169"/>
      <c r="IR12" s="169"/>
      <c r="IS12" s="169"/>
      <c r="IT12" s="169"/>
      <c r="IU12" s="169"/>
      <c r="IV12" s="169"/>
      <c r="IW12" s="169"/>
      <c r="IX12" s="169"/>
      <c r="IY12" s="29">
        <v>2</v>
      </c>
      <c r="IZ12" s="40">
        <f>(TEXT(K12,"[m]")/60)*VLOOKUP(IY12,'Income Person-hours'!A$2:C$5,3,FALSE)</f>
        <v>0</v>
      </c>
      <c r="JA12" s="112"/>
      <c r="JB12" s="112"/>
      <c r="JC12" s="112"/>
      <c r="JD12" s="192">
        <f>SUM((TEXT(JA12,"[M]")/60)*'Income Person-hours'!$D$3,(TEXT(JB12,"[M]")/60)*'Income Person-hours'!$D$4,(TEXT(JC12,"[M]")/60)*'Income Person-hours'!$D$5)</f>
        <v>0</v>
      </c>
    </row>
    <row r="13" spans="1:264" s="191" customFormat="1" ht="13.5">
      <c r="A13" s="227">
        <v>1.4</v>
      </c>
      <c r="B13" s="241" t="s">
        <v>139</v>
      </c>
      <c r="C13" s="228" t="s">
        <v>110</v>
      </c>
      <c r="D13" s="235" t="str">
        <f>IF(OR(j_WEEKDAY(J_ADDDAY(VLOOKUP(I13,A:F,6,FALSE),H13,1),0)=6,SUMIFS(Holieday[ok],Holieday[date],J_ADDDAY(VLOOKUP(I13,A:F,6,FALSE),H13,1)))=FALSE(),J_ADDDAY(VLOOKUP(I13,A:F,6,FALSE),H13,1),IF(OR(j_WEEKDAY(J_ADDDAY(VLOOKUP(I13,A:F,6,FALSE),H13+1,1),0)=6,SUMIFS(Holieday[ok],Holieday[date],J_ADDDAY(VLOOKUP(I13,A:F,6,FALSE),H13+1,1)))=FALSE(),J_ADDDAY(VLOOKUP(I13,A:F,6,FALSE),H13+1,1),IF(OR(j_WEEKDAY(J_ADDDAY(VLOOKUP(I13,A:F,6,FALSE),H13+2,1),0)=6,SUMIFS(Holieday[ok],Holieday[date],J_ADDDAY(VLOOKUP(I13,A:F,6,FALSE),H13+2,1)))=FALSE(),J_ADDDAY(VLOOKUP(I13,A:F,6,FALSE),H13+2,1),IF(OR(j_WEEKDAY(J_ADDDAY(VLOOKUP(I13,A:F,6,FALSE),H13+3,1),0)=6,SUMIFS(Holieday[ok],Holieday[date],J_ADDDAY(VLOOKUP(I13,A:F,6,FALSE),H13+3,1)))=FALSE(),J_ADDDAY(VLOOKUP(I13,A:F,6,FALSE),H13+3,1),IF(OR(j_WEEKDAY(J_ADDDAY(VLOOKUP(I13,A:F,6,FALSE),H13+4,1),0)=6,SUMIFS(Holieday[ok],Holieday[date],J_ADDDAY(VLOOKUP(I13,A:F,6,FALSE),H13+4,1)))=FALSE(),J_ADDDAY(VLOOKUP(I13,A:F,6,FALSE),H13+4,1),J_ADDDAY(VLOOKUP(I13,A:F,6,FALSE),H13+5,1))))))</f>
        <v>1398/07/06</v>
      </c>
      <c r="E13" s="160">
        <f t="shared" si="4"/>
        <v>13980706</v>
      </c>
      <c r="F13" s="244" t="str">
        <f>IF(N13=0,J_SUBDAY(D13,1,1),IF((N13-(NETWORKDAYS.INTL(J_GregorianDate(D13,1),J_GregorianDate(J_SUBDAY(J_ADDDAY(D13,N13,1),1,1),1),16,1)))+SUMIFS(Holieday[ok],Holieday[date],CONCATENATE("&gt;","=",D13),Holieday[date],CONCATENATE("&lt;","=",J_SUBDAY(J_ADDDAY(D13,N13,1),1,1)))-SUMIFS(Holieday[Friday],Holieday[date],CONCATENATE("&gt;","=",D13),Holieday[date],CONCATENATE("&lt;","=",J_SUBDAY(J_ADDDAY(D13,N13,1),1,1)))=0,J_SUBDAY(J_ADDDAY(D13,N13,1),1,1),IF((N13+1-(NETWORKDAYS.INTL(J_GregorianDate(D13,1),J_GregorianDate(J_SUBDAY(J_ADDDAY(D13,N13+1,1),1,1),1),16,1)))+SUMIFS(Holieday[ok],Holieday[date],CONCATENATE("&gt;","=",D13),Holieday[date],CONCATENATE("&lt;","=",J_SUBDAY(J_ADDDAY(D13,N13+1,1),1,1)))-SUMIFS(Holieday[Friday],Holieday[date],CONCATENATE("&gt;","=",D13),Holieday[date],CONCATENATE("&lt;","=",J_SUBDAY(J_ADDDAY(D13,N13+1,1),1,1)))=1,J_SUBDAY(J_ADDDAY(D13,N13+1,1),1,1),IF((N13+2-(NETWORKDAYS.INTL(J_GregorianDate(D13,1),J_GregorianDate(J_SUBDAY(J_ADDDAY(D13,N13+2,1),1,1),1),16,1)))+SUMIFS(Holieday[ok],Holieday[date],CONCATENATE("&gt;","=",D13),Holieday[date],CONCATENATE("&lt;","=",J_SUBDAY(J_ADDDAY(D13,N13+2,1),1,1)))-SUMIFS(Holieday[Friday],Holieday[date],CONCATENATE("&gt;","=",D13),Holieday[date],CONCATENATE("&lt;","=",J_SUBDAY(J_ADDDAY(D13,N13+2,1),1,1)))=2,J_SUBDAY(J_ADDDAY(D13,N13+2,1),1,1),IF((N13+3-(NETWORKDAYS.INTL(J_GregorianDate(D13,1),J_GregorianDate(J_SUBDAY(J_ADDDAY(D13,N13+3,1),1,1),1),16,1)))+SUMIFS(Holieday[ok],Holieday[date],CONCATENATE("&gt;","=",D13),Holieday[date],CONCATENATE("&lt;","=",J_SUBDAY(J_ADDDAY(D13,N13+3,1),1,1)))-SUMIFS(Holieday[Friday],Holieday[date],CONCATENATE("&gt;","=",D13),Holieday[date],CONCATENATE("&lt;","=",J_SUBDAY(J_ADDDAY(D13,N13+3,1),1,1)))=3,J_SUBDAY(J_ADDDAY(D13,N13+3,1),1,1),IF((N13+4-(NETWORKDAYS.INTL(J_GregorianDate(D13,1),J_GregorianDate(J_SUBDAY(J_ADDDAY(D13,N13+4,1),1,1),1),16,1)))+SUMIFS(Holieday[ok],Holieday[date],CONCATENATE("&gt;","=",D13),Holieday[date],CONCATENATE("&lt;","=",J_SUBDAY(J_ADDDAY(D13,N13+4,1),1,1)))-SUMIFS(Holieday[Friday],Holieday[date],CONCATENATE("&gt;","=",D13),Holieday[date],CONCATENATE("&lt;","=",J_SUBDAY(J_ADDDAY(D13,N13+4,1),1,1)))=4,J_SUBDAY(J_ADDDAY(D13,N13+4,1),1,1),IF((N13+5-(NETWORKDAYS.INTL(J_GregorianDate(D13,1),J_GregorianDate(J_SUBDAY(J_ADDDAY(D13,N13+5,1),1,1),1),16,1)))+SUMIFS(Holieday[ok],Holieday[date],CONCATENATE("&gt;","=",D13),Holieday[date],CONCATENATE("&lt;","=",J_SUBDAY(J_ADDDAY(D13,N13+5,1),1,1)))-SUMIFS(Holieday[Friday],Holieday[date],CONCATENATE("&gt;","=",D13),Holieday[date],CONCATENATE("&lt;","=",J_SUBDAY(J_ADDDAY(D13,N13+5,1),1,1)))=5,J_SUBDAY(J_ADDDAY(D13,N13+5,1),1,1),J_SUBDAY(J_ADDDAY(D13,N13+6,1),1,1))))))))</f>
        <v>1398/07/06</v>
      </c>
      <c r="G13" s="163">
        <f t="shared" si="5"/>
        <v>13980706</v>
      </c>
      <c r="H13" s="230">
        <v>5</v>
      </c>
      <c r="I13" s="231">
        <v>1.1000000000000001</v>
      </c>
      <c r="J13" s="229">
        <f>j_WEEKDAY(D13,2)</f>
        <v>0</v>
      </c>
      <c r="K13" s="173">
        <f t="shared" si="7"/>
        <v>0</v>
      </c>
      <c r="L13" s="232">
        <f t="shared" si="8"/>
        <v>1</v>
      </c>
      <c r="M13" s="233">
        <v>1</v>
      </c>
      <c r="N13" s="234">
        <v>1</v>
      </c>
      <c r="O13" s="175">
        <f>ROUNDDOWN(M13*L13,0)</f>
        <v>1</v>
      </c>
      <c r="P13" s="175">
        <f>VALUE(J_normdate(J_ADDDAY($D13,$O13,1)))</f>
        <v>13980707</v>
      </c>
      <c r="Q13" s="171">
        <f t="shared" si="6"/>
        <v>0</v>
      </c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69"/>
      <c r="BN13" s="169"/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69"/>
      <c r="CE13" s="169"/>
      <c r="CF13" s="169"/>
      <c r="CG13" s="169"/>
      <c r="CH13" s="169"/>
      <c r="CI13" s="169"/>
      <c r="CJ13" s="169"/>
      <c r="CK13" s="169"/>
      <c r="CL13" s="169"/>
      <c r="CM13" s="169"/>
      <c r="CN13" s="169"/>
      <c r="CO13" s="169"/>
      <c r="CP13" s="169"/>
      <c r="CQ13" s="169"/>
      <c r="CR13" s="169"/>
      <c r="CS13" s="169"/>
      <c r="CT13" s="169"/>
      <c r="CU13" s="169"/>
      <c r="CV13" s="169"/>
      <c r="CW13" s="169"/>
      <c r="CX13" s="169"/>
      <c r="CY13" s="169"/>
      <c r="CZ13" s="169"/>
      <c r="DA13" s="169"/>
      <c r="DB13" s="169"/>
      <c r="DC13" s="169"/>
      <c r="DD13" s="169"/>
      <c r="DE13" s="169"/>
      <c r="DF13" s="169"/>
      <c r="DG13" s="169"/>
      <c r="DH13" s="169"/>
      <c r="DI13" s="169"/>
      <c r="DJ13" s="169"/>
      <c r="DK13" s="169"/>
      <c r="DL13" s="169"/>
      <c r="DM13" s="169"/>
      <c r="DN13" s="169"/>
      <c r="DO13" s="169"/>
      <c r="DP13" s="169"/>
      <c r="DQ13" s="169"/>
      <c r="DR13" s="169"/>
      <c r="DS13" s="169"/>
      <c r="DT13" s="169"/>
      <c r="DU13" s="169"/>
      <c r="DV13" s="169"/>
      <c r="DW13" s="169"/>
      <c r="DX13" s="169"/>
      <c r="DY13" s="169"/>
      <c r="DZ13" s="169"/>
      <c r="EA13" s="169"/>
      <c r="EB13" s="169"/>
      <c r="EC13" s="169"/>
      <c r="ED13" s="169"/>
      <c r="EE13" s="169"/>
      <c r="EF13" s="169"/>
      <c r="EG13" s="169"/>
      <c r="EH13" s="169"/>
      <c r="EI13" s="169"/>
      <c r="EJ13" s="169"/>
      <c r="EK13" s="169"/>
      <c r="EL13" s="169"/>
      <c r="EM13" s="169"/>
      <c r="EN13" s="169"/>
      <c r="EO13" s="169"/>
      <c r="EP13" s="169"/>
      <c r="EQ13" s="169"/>
      <c r="ER13" s="169"/>
      <c r="ES13" s="169"/>
      <c r="ET13" s="169"/>
      <c r="EU13" s="169"/>
      <c r="EV13" s="169"/>
      <c r="EW13" s="169"/>
      <c r="EX13" s="169"/>
      <c r="EY13" s="169"/>
      <c r="EZ13" s="169"/>
      <c r="FA13" s="169"/>
      <c r="FB13" s="169"/>
      <c r="FC13" s="169"/>
      <c r="FD13" s="169"/>
      <c r="FE13" s="169"/>
      <c r="FF13" s="169"/>
      <c r="FG13" s="169"/>
      <c r="FH13" s="169"/>
      <c r="FI13" s="169"/>
      <c r="FJ13" s="169"/>
      <c r="FK13" s="169"/>
      <c r="FL13" s="169"/>
      <c r="FM13" s="169"/>
      <c r="FN13" s="169"/>
      <c r="FO13" s="169"/>
      <c r="FP13" s="169"/>
      <c r="FQ13" s="169"/>
      <c r="FR13" s="169"/>
      <c r="FS13" s="169"/>
      <c r="FT13" s="169"/>
      <c r="FU13" s="169"/>
      <c r="FV13" s="169"/>
      <c r="FW13" s="169"/>
      <c r="FX13" s="169"/>
      <c r="FY13" s="169"/>
      <c r="FZ13" s="169"/>
      <c r="GA13" s="169"/>
      <c r="GB13" s="169"/>
      <c r="GC13" s="169"/>
      <c r="GD13" s="169"/>
      <c r="GE13" s="169"/>
      <c r="GF13" s="169"/>
      <c r="GG13" s="169"/>
      <c r="GH13" s="169"/>
      <c r="GI13" s="169"/>
      <c r="GJ13" s="169"/>
      <c r="GK13" s="169"/>
      <c r="GL13" s="169"/>
      <c r="GM13" s="169"/>
      <c r="GN13" s="169"/>
      <c r="GO13" s="169"/>
      <c r="GP13" s="169"/>
      <c r="GQ13" s="169"/>
      <c r="GR13" s="169"/>
      <c r="GS13" s="169"/>
      <c r="GT13" s="169"/>
      <c r="GU13" s="169"/>
      <c r="GV13" s="169"/>
      <c r="GW13" s="169"/>
      <c r="GX13" s="169"/>
      <c r="GY13" s="169"/>
      <c r="GZ13" s="169"/>
      <c r="HA13" s="169"/>
      <c r="HB13" s="169"/>
      <c r="HC13" s="169"/>
      <c r="HD13" s="169"/>
      <c r="HE13" s="169"/>
      <c r="HF13" s="169"/>
      <c r="HG13" s="169"/>
      <c r="HH13" s="169"/>
      <c r="HI13" s="169"/>
      <c r="HJ13" s="169"/>
      <c r="HK13" s="169"/>
      <c r="HL13" s="169"/>
      <c r="HM13" s="169"/>
      <c r="HN13" s="169"/>
      <c r="HO13" s="169"/>
      <c r="HP13" s="169"/>
      <c r="HQ13" s="169"/>
      <c r="HR13" s="169"/>
      <c r="HS13" s="169"/>
      <c r="HT13" s="169"/>
      <c r="HU13" s="169"/>
      <c r="HV13" s="169"/>
      <c r="HW13" s="169"/>
      <c r="HX13" s="169"/>
      <c r="HY13" s="169"/>
      <c r="HZ13" s="169"/>
      <c r="IA13" s="169"/>
      <c r="IB13" s="169"/>
      <c r="IC13" s="169"/>
      <c r="ID13" s="169"/>
      <c r="IE13" s="169"/>
      <c r="IF13" s="169"/>
      <c r="IG13" s="169"/>
      <c r="IH13" s="169"/>
      <c r="II13" s="169"/>
      <c r="IJ13" s="169"/>
      <c r="IK13" s="169"/>
      <c r="IL13" s="169"/>
      <c r="IM13" s="169"/>
      <c r="IN13" s="169"/>
      <c r="IO13" s="169"/>
      <c r="IP13" s="169"/>
      <c r="IQ13" s="169"/>
      <c r="IR13" s="169"/>
      <c r="IS13" s="169"/>
      <c r="IT13" s="169"/>
      <c r="IU13" s="169"/>
      <c r="IV13" s="169"/>
      <c r="IW13" s="169"/>
      <c r="IX13" s="169"/>
      <c r="IY13" s="29">
        <v>1</v>
      </c>
      <c r="IZ13" s="40">
        <f>(TEXT(K13,"[m]")/60)*VLOOKUP(IY13,'Income Person-hours'!A$2:C$5,3,FALSE)</f>
        <v>0</v>
      </c>
      <c r="JA13" s="112"/>
      <c r="JB13" s="112"/>
      <c r="JC13" s="112"/>
      <c r="JD13" s="192">
        <f>SUM((TEXT(JA13,"[M]")/60)*'Income Person-hours'!$D$3,(TEXT(JB13,"[M]")/60)*'Income Person-hours'!$D$4,(TEXT(JC13,"[M]")/60)*'Income Person-hours'!$D$5)</f>
        <v>0</v>
      </c>
    </row>
    <row r="14" spans="1:264" s="191" customFormat="1" ht="13.5">
      <c r="A14" s="252">
        <v>1.5</v>
      </c>
      <c r="B14" s="241" t="s">
        <v>177</v>
      </c>
      <c r="C14" s="228" t="s">
        <v>110</v>
      </c>
      <c r="D14" s="235" t="str">
        <f>IF(OR(j_WEEKDAY(J_ADDDAY(VLOOKUP(I14,A:F,6,FALSE),H14,1),0)=6,SUMIFS(Holieday[ok],Holieday[date],J_ADDDAY(VLOOKUP(I14,A:F,6,FALSE),H14,1)))=FALSE(),J_ADDDAY(VLOOKUP(I14,A:F,6,FALSE),H14,1),IF(OR(j_WEEKDAY(J_ADDDAY(VLOOKUP(I14,A:F,6,FALSE),H14+1,1),0)=6,SUMIFS(Holieday[ok],Holieday[date],J_ADDDAY(VLOOKUP(I14,A:F,6,FALSE),H14+1,1)))=FALSE(),J_ADDDAY(VLOOKUP(I14,A:F,6,FALSE),H14+1,1),IF(OR(j_WEEKDAY(J_ADDDAY(VLOOKUP(I14,A:F,6,FALSE),H14+2,1),0)=6,SUMIFS(Holieday[ok],Holieday[date],J_ADDDAY(VLOOKUP(I14,A:F,6,FALSE),H14+2,1)))=FALSE(),J_ADDDAY(VLOOKUP(I14,A:F,6,FALSE),H14+2,1),IF(OR(j_WEEKDAY(J_ADDDAY(VLOOKUP(I14,A:F,6,FALSE),H14+3,1),0)=6,SUMIFS(Holieday[ok],Holieday[date],J_ADDDAY(VLOOKUP(I14,A:F,6,FALSE),H14+3,1)))=FALSE(),J_ADDDAY(VLOOKUP(I14,A:F,6,FALSE),H14+3,1),IF(OR(j_WEEKDAY(J_ADDDAY(VLOOKUP(I14,A:F,6,FALSE),H14+4,1),0)=6,SUMIFS(Holieday[ok],Holieday[date],J_ADDDAY(VLOOKUP(I14,A:F,6,FALSE),H14+4,1)))=FALSE(),J_ADDDAY(VLOOKUP(I14,A:F,6,FALSE),H14+4,1),J_ADDDAY(VLOOKUP(I14,A:F,6,FALSE),H14+5,1))))))</f>
        <v>1398/07/28</v>
      </c>
      <c r="E14" s="160" t="e">
        <f>IF(M14=0,J_SUBDAY(C14,1,1),IF((M14-(NETWORKDAYS.INTL(J_GregorianDate(C14,1),J_GregorianDate(J_SUBDAY(J_ADDDAY(C14,M14,1),1,1),1),16,1)))+SUMIFS(Holieday[ok],Holieday[date],CONCATENATE("&gt;","=",C14),Holieday[date],CONCATENATE("&lt;","=",J_SUBDAY(J_ADDDAY(C14,M14,1),1,1)))-SUMIFS(Holieday[Friday],Holieday[date],CONCATENATE("&gt;","=",C14),Holieday[date],CONCATENATE("&lt;","=",J_SUBDAY(J_ADDDAY(C14,M14,1),1,1)))=0,J_SUBDAY(J_ADDDAY(C14,M14,1),1,1),IF((M14+1-(NETWORKDAYS.INTL(J_GregorianDate(C14,1),J_GregorianDate(J_SUBDAY(J_ADDDAY(C14,M14+1,1),1,1),1),16,1)))+SUMIFS(Holieday[ok],Holieday[date],CONCATENATE("&gt;","=",C14),Holieday[date],CONCATENATE("&lt;","=",J_SUBDAY(J_ADDDAY(C14,M14+1,1),1,1)))-SUMIFS(Holieday[Friday],Holieday[date],CONCATENATE("&gt;","=",C14),Holieday[date],CONCATENATE("&lt;","=",J_SUBDAY(J_ADDDAY(C14,M14+1,1),1,1)))=1,J_SUBDAY(J_ADDDAY(C14,M14+1,1),1,1),IF((M14+2-(NETWORKDAYS.INTL(J_GregorianDate(C14,1),J_GregorianDate(J_SUBDAY(J_ADDDAY(C14,M14+2,1),1,1),1),16,1)))+SUMIFS(Holieday[ok],Holieday[date],CONCATENATE("&gt;","=",C14),Holieday[date],CONCATENATE("&lt;","=",J_SUBDAY(J_ADDDAY(C14,M14+2,1),1,1)))-SUMIFS(Holieday[Friday],Holieday[date],CONCATENATE("&gt;","=",C14),Holieday[date],CONCATENATE("&lt;","=",J_SUBDAY(J_ADDDAY(C14,M14+2,1),1,1)))=2,J_SUBDAY(J_ADDDAY(C14,M14+2,1),1,1),IF((M14+3-(NETWORKDAYS.INTL(J_GregorianDate(C14,1),J_GregorianDate(J_SUBDAY(J_ADDDAY(C14,M14+3,1),1,1),1),16,1)))+SUMIFS(Holieday[ok],Holieday[date],CONCATENATE("&gt;","=",C14),Holieday[date],CONCATENATE("&lt;","=",J_SUBDAY(J_ADDDAY(C14,M14+3,1),1,1)))-SUMIFS(Holieday[Friday],Holieday[date],CONCATENATE("&gt;","=",C14),Holieday[date],CONCATENATE("&lt;","=",J_SUBDAY(J_ADDDAY(C14,M14+3,1),1,1)))=3,J_SUBDAY(J_ADDDAY(C14,M14+3,1),1,1),IF((M14+4-(NETWORKDAYS.INTL(J_GregorianDate(C14,1),J_GregorianDate(J_SUBDAY(J_ADDDAY(C14,M14+4,1),1,1),1),16,1)))+SUMIFS(Holieday[ok],Holieday[date],CONCATENATE("&gt;","=",C14),Holieday[date],CONCATENATE("&lt;","=",J_SUBDAY(J_ADDDAY(C14,M14+4,1),1,1)))-SUMIFS(Holieday[Friday],Holieday[date],CONCATENATE("&gt;","=",C14),Holieday[date],CONCATENATE("&lt;","=",J_SUBDAY(J_ADDDAY(C14,M14+4,1),1,1)))=4,J_SUBDAY(J_ADDDAY(C14,M14+4,1),1,1),IF((M14+5-(NETWORKDAYS.INTL(J_GregorianDate(C14,1),J_GregorianDate(J_SUBDAY(J_ADDDAY(C14,M14+5,1),1,1),1),16,1)))+SUMIFS(Holieday[ok],Holieday[date],CONCATENATE("&gt;","=",C14),Holieday[date],CONCATENATE("&lt;","=",J_SUBDAY(J_ADDDAY(C14,M14+5,1),1,1)))-SUMIFS(Holieday[Friday],Holieday[date],CONCATENATE("&gt;","=",C14),Holieday[date],CONCATENATE("&lt;","=",J_SUBDAY(J_ADDDAY(C14,M14+5,1),1,1)))=5,J_SUBDAY(J_ADDDAY(C14,M14+5,1),1,1),J_SUBDAY(J_ADDDAY(C14,M14+6,1),1,1))))))))</f>
        <v>#VALUE!</v>
      </c>
      <c r="F14" s="244" t="str">
        <f>IF(N14=0,J_SUBDAY(D14,1,1),IF((N14-(NETWORKDAYS.INTL(J_GregorianDate(D14,1),J_GregorianDate(J_SUBDAY(J_ADDDAY(D14,N14,1),1,1),1),16,1)))+SUMIFS(Holieday[ok],Holieday[date],CONCATENATE("&gt;","=",D14),Holieday[date],CONCATENATE("&lt;","=",J_SUBDAY(J_ADDDAY(D14,N14,1),1,1)))-SUMIFS(Holieday[Friday],Holieday[date],CONCATENATE("&gt;","=",D14),Holieday[date],CONCATENATE("&lt;","=",J_SUBDAY(J_ADDDAY(D14,N14,1),1,1)))=0,J_SUBDAY(J_ADDDAY(D14,N14,1),1,1),IF((N14+1-(NETWORKDAYS.INTL(J_GregorianDate(D14,1),J_GregorianDate(J_SUBDAY(J_ADDDAY(D14,N14+1,1),1,1),1),16,1)))+SUMIFS(Holieday[ok],Holieday[date],CONCATENATE("&gt;","=",D14),Holieday[date],CONCATENATE("&lt;","=",J_SUBDAY(J_ADDDAY(D14,N14+1,1),1,1)))-SUMIFS(Holieday[Friday],Holieday[date],CONCATENATE("&gt;","=",D14),Holieday[date],CONCATENATE("&lt;","=",J_SUBDAY(J_ADDDAY(D14,N14+1,1),1,1)))=1,J_SUBDAY(J_ADDDAY(D14,N14+1,1),1,1),IF((N14+2-(NETWORKDAYS.INTL(J_GregorianDate(D14,1),J_GregorianDate(J_SUBDAY(J_ADDDAY(D14,N14+2,1),1,1),1),16,1)))+SUMIFS(Holieday[ok],Holieday[date],CONCATENATE("&gt;","=",D14),Holieday[date],CONCATENATE("&lt;","=",J_SUBDAY(J_ADDDAY(D14,N14+2,1),1,1)))-SUMIFS(Holieday[Friday],Holieday[date],CONCATENATE("&gt;","=",D14),Holieday[date],CONCATENATE("&lt;","=",J_SUBDAY(J_ADDDAY(D14,N14+2,1),1,1)))=2,J_SUBDAY(J_ADDDAY(D14,N14+2,1),1,1),IF((N14+3-(NETWORKDAYS.INTL(J_GregorianDate(D14,1),J_GregorianDate(J_SUBDAY(J_ADDDAY(D14,N14+3,1),1,1),1),16,1)))+SUMIFS(Holieday[ok],Holieday[date],CONCATENATE("&gt;","=",D14),Holieday[date],CONCATENATE("&lt;","=",J_SUBDAY(J_ADDDAY(D14,N14+3,1),1,1)))-SUMIFS(Holieday[Friday],Holieday[date],CONCATENATE("&gt;","=",D14),Holieday[date],CONCATENATE("&lt;","=",J_SUBDAY(J_ADDDAY(D14,N14+3,1),1,1)))=3,J_SUBDAY(J_ADDDAY(D14,N14+3,1),1,1),IF((N14+4-(NETWORKDAYS.INTL(J_GregorianDate(D14,1),J_GregorianDate(J_SUBDAY(J_ADDDAY(D14,N14+4,1),1,1),1),16,1)))+SUMIFS(Holieday[ok],Holieday[date],CONCATENATE("&gt;","=",D14),Holieday[date],CONCATENATE("&lt;","=",J_SUBDAY(J_ADDDAY(D14,N14+4,1),1,1)))-SUMIFS(Holieday[Friday],Holieday[date],CONCATENATE("&gt;","=",D14),Holieday[date],CONCATENATE("&lt;","=",J_SUBDAY(J_ADDDAY(D14,N14+4,1),1,1)))=4,J_SUBDAY(J_ADDDAY(D14,N14+4,1),1,1),IF((N14+5-(NETWORKDAYS.INTL(J_GregorianDate(D14,1),J_GregorianDate(J_SUBDAY(J_ADDDAY(D14,N14+5,1),1,1),1),16,1)))+SUMIFS(Holieday[ok],Holieday[date],CONCATENATE("&gt;","=",D14),Holieday[date],CONCATENATE("&lt;","=",J_SUBDAY(J_ADDDAY(D14,N14+5,1),1,1)))-SUMIFS(Holieday[Friday],Holieday[date],CONCATENATE("&gt;","=",D14),Holieday[date],CONCATENATE("&lt;","=",J_SUBDAY(J_ADDDAY(D14,N14+5,1),1,1)))=5,J_SUBDAY(J_ADDDAY(D14,N14+5,1),1,1),J_SUBDAY(J_ADDDAY(D14,N14+6,1),1,1))))))))</f>
        <v>1398/07/28</v>
      </c>
      <c r="G14" s="163">
        <v>1.1000000000000001</v>
      </c>
      <c r="H14" s="230">
        <v>21</v>
      </c>
      <c r="I14" s="231">
        <v>1.4</v>
      </c>
      <c r="J14" s="229">
        <v>1</v>
      </c>
      <c r="K14" s="173">
        <v>1</v>
      </c>
      <c r="L14" s="232">
        <f t="shared" si="8"/>
        <v>1</v>
      </c>
      <c r="M14" s="233">
        <v>1</v>
      </c>
      <c r="N14" s="234">
        <v>1</v>
      </c>
      <c r="O14" s="175"/>
      <c r="P14" s="175"/>
      <c r="Q14" s="171"/>
      <c r="R14" s="169"/>
      <c r="S14" s="169"/>
      <c r="T14" s="169"/>
      <c r="U14" s="169"/>
      <c r="V14" s="169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69"/>
      <c r="AJ14" s="169"/>
      <c r="AK14" s="169"/>
      <c r="AL14" s="169"/>
      <c r="AM14" s="169"/>
      <c r="AN14" s="169"/>
      <c r="AO14" s="169"/>
      <c r="AP14" s="169"/>
      <c r="AQ14" s="169"/>
      <c r="AR14" s="169"/>
      <c r="AS14" s="169"/>
      <c r="AT14" s="169"/>
      <c r="AU14" s="169"/>
      <c r="AV14" s="169"/>
      <c r="AW14" s="169"/>
      <c r="AX14" s="169"/>
      <c r="AY14" s="169"/>
      <c r="AZ14" s="169"/>
      <c r="BA14" s="169"/>
      <c r="BB14" s="169"/>
      <c r="BC14" s="169"/>
      <c r="BD14" s="169"/>
      <c r="BE14" s="169"/>
      <c r="BF14" s="169"/>
      <c r="BG14" s="169"/>
      <c r="BH14" s="169"/>
      <c r="BI14" s="169"/>
      <c r="BJ14" s="169"/>
      <c r="BK14" s="169"/>
      <c r="BL14" s="169"/>
      <c r="BM14" s="169"/>
      <c r="BN14" s="169"/>
      <c r="BO14" s="169"/>
      <c r="BP14" s="169"/>
      <c r="BQ14" s="169"/>
      <c r="BR14" s="169"/>
      <c r="BS14" s="169"/>
      <c r="BT14" s="169"/>
      <c r="BU14" s="169"/>
      <c r="BV14" s="169"/>
      <c r="BW14" s="169"/>
      <c r="BX14" s="169"/>
      <c r="BY14" s="169"/>
      <c r="BZ14" s="169"/>
      <c r="CA14" s="169"/>
      <c r="CB14" s="169"/>
      <c r="CC14" s="169"/>
      <c r="CD14" s="169"/>
      <c r="CE14" s="169"/>
      <c r="CF14" s="169"/>
      <c r="CG14" s="169"/>
      <c r="CH14" s="169"/>
      <c r="CI14" s="169"/>
      <c r="CJ14" s="169"/>
      <c r="CK14" s="169"/>
      <c r="CL14" s="169"/>
      <c r="CM14" s="169"/>
      <c r="CN14" s="169"/>
      <c r="CO14" s="169"/>
      <c r="CP14" s="169"/>
      <c r="CQ14" s="169"/>
      <c r="CR14" s="169"/>
      <c r="CS14" s="169"/>
      <c r="CT14" s="169"/>
      <c r="CU14" s="169"/>
      <c r="CV14" s="169"/>
      <c r="CW14" s="169"/>
      <c r="CX14" s="169"/>
      <c r="CY14" s="169"/>
      <c r="CZ14" s="169"/>
      <c r="DA14" s="169"/>
      <c r="DB14" s="169"/>
      <c r="DC14" s="169"/>
      <c r="DD14" s="169"/>
      <c r="DE14" s="169"/>
      <c r="DF14" s="169"/>
      <c r="DG14" s="169"/>
      <c r="DH14" s="169"/>
      <c r="DI14" s="169"/>
      <c r="DJ14" s="169"/>
      <c r="DK14" s="169"/>
      <c r="DL14" s="169"/>
      <c r="DM14" s="169"/>
      <c r="DN14" s="169"/>
      <c r="DO14" s="169"/>
      <c r="DP14" s="169"/>
      <c r="DQ14" s="169"/>
      <c r="DR14" s="169"/>
      <c r="DS14" s="169"/>
      <c r="DT14" s="169"/>
      <c r="DU14" s="169"/>
      <c r="DV14" s="169"/>
      <c r="DW14" s="169"/>
      <c r="DX14" s="169"/>
      <c r="DY14" s="169"/>
      <c r="DZ14" s="169"/>
      <c r="EA14" s="169"/>
      <c r="EB14" s="169"/>
      <c r="EC14" s="169"/>
      <c r="ED14" s="169"/>
      <c r="EE14" s="169"/>
      <c r="EF14" s="169"/>
      <c r="EG14" s="169"/>
      <c r="EH14" s="169"/>
      <c r="EI14" s="169"/>
      <c r="EJ14" s="169"/>
      <c r="EK14" s="169"/>
      <c r="EL14" s="169"/>
      <c r="EM14" s="169"/>
      <c r="EN14" s="169"/>
      <c r="EO14" s="169"/>
      <c r="EP14" s="169"/>
      <c r="EQ14" s="169"/>
      <c r="ER14" s="169"/>
      <c r="ES14" s="169"/>
      <c r="ET14" s="169"/>
      <c r="EU14" s="169"/>
      <c r="EV14" s="169"/>
      <c r="EW14" s="169"/>
      <c r="EX14" s="169"/>
      <c r="EY14" s="169"/>
      <c r="EZ14" s="169"/>
      <c r="FA14" s="169"/>
      <c r="FB14" s="169"/>
      <c r="FC14" s="169"/>
      <c r="FD14" s="169"/>
      <c r="FE14" s="169"/>
      <c r="FF14" s="169"/>
      <c r="FG14" s="169"/>
      <c r="FH14" s="169"/>
      <c r="FI14" s="169"/>
      <c r="FJ14" s="169"/>
      <c r="FK14" s="169"/>
      <c r="FL14" s="169"/>
      <c r="FM14" s="169"/>
      <c r="FN14" s="169"/>
      <c r="FO14" s="169"/>
      <c r="FP14" s="169"/>
      <c r="FQ14" s="169"/>
      <c r="FR14" s="169"/>
      <c r="FS14" s="169"/>
      <c r="FT14" s="169"/>
      <c r="FU14" s="169"/>
      <c r="FV14" s="169"/>
      <c r="FW14" s="169"/>
      <c r="FX14" s="169"/>
      <c r="FY14" s="169"/>
      <c r="FZ14" s="169"/>
      <c r="GA14" s="169"/>
      <c r="GB14" s="169"/>
      <c r="GC14" s="169"/>
      <c r="GD14" s="169"/>
      <c r="GE14" s="169"/>
      <c r="GF14" s="169"/>
      <c r="GG14" s="169"/>
      <c r="GH14" s="169"/>
      <c r="GI14" s="169"/>
      <c r="GJ14" s="169"/>
      <c r="GK14" s="169"/>
      <c r="GL14" s="169"/>
      <c r="GM14" s="169"/>
      <c r="GN14" s="169"/>
      <c r="GO14" s="169"/>
      <c r="GP14" s="169"/>
      <c r="GQ14" s="169"/>
      <c r="GR14" s="169"/>
      <c r="GS14" s="169"/>
      <c r="GT14" s="169"/>
      <c r="GU14" s="169"/>
      <c r="GV14" s="169"/>
      <c r="GW14" s="169"/>
      <c r="GX14" s="169"/>
      <c r="GY14" s="169"/>
      <c r="GZ14" s="169"/>
      <c r="HA14" s="169"/>
      <c r="HB14" s="169"/>
      <c r="HC14" s="169"/>
      <c r="HD14" s="169"/>
      <c r="HE14" s="169"/>
      <c r="HF14" s="169"/>
      <c r="HG14" s="169"/>
      <c r="HH14" s="169"/>
      <c r="HI14" s="169"/>
      <c r="HJ14" s="169"/>
      <c r="HK14" s="169"/>
      <c r="HL14" s="169"/>
      <c r="HM14" s="169"/>
      <c r="HN14" s="169"/>
      <c r="HO14" s="169"/>
      <c r="HP14" s="169"/>
      <c r="HQ14" s="169"/>
      <c r="HR14" s="169"/>
      <c r="HS14" s="169"/>
      <c r="HT14" s="169"/>
      <c r="HU14" s="169"/>
      <c r="HV14" s="169"/>
      <c r="HW14" s="169"/>
      <c r="HX14" s="169"/>
      <c r="HY14" s="169"/>
      <c r="HZ14" s="169"/>
      <c r="IA14" s="169"/>
      <c r="IB14" s="169"/>
      <c r="IC14" s="169"/>
      <c r="ID14" s="169"/>
      <c r="IE14" s="169"/>
      <c r="IF14" s="169"/>
      <c r="IG14" s="169"/>
      <c r="IH14" s="169"/>
      <c r="II14" s="169"/>
      <c r="IJ14" s="169"/>
      <c r="IK14" s="169"/>
      <c r="IL14" s="169"/>
      <c r="IM14" s="169"/>
      <c r="IN14" s="169"/>
      <c r="IO14" s="169"/>
      <c r="IP14" s="169"/>
      <c r="IQ14" s="169"/>
      <c r="IR14" s="169"/>
      <c r="IS14" s="169">
        <v>1</v>
      </c>
      <c r="IT14" s="169" t="e">
        <f>(TEXT(E14,"[m]")/60)*VLOOKUP(IS14,'Income Person-hours'!#REF!,3,FALSE)</f>
        <v>#VALUE!</v>
      </c>
      <c r="IU14" s="169"/>
      <c r="IV14" s="169"/>
      <c r="IW14" s="169"/>
      <c r="IX14" s="169">
        <f>SUM((TEXT(IU14,"[M]")/60)*'Income Person-hours'!$D$3,(TEXT(IV14,"[M]")/60)*'Income Person-hours'!$D$4,(TEXT(IW14,"[M]")/60)*'Income Person-hours'!$D$5)</f>
        <v>0</v>
      </c>
      <c r="IY14" s="29"/>
      <c r="IZ14" s="40"/>
      <c r="JA14" s="112"/>
      <c r="JB14" s="112"/>
      <c r="JC14" s="112"/>
      <c r="JD14" s="192"/>
    </row>
    <row r="15" spans="1:264" s="191" customFormat="1" ht="13.5">
      <c r="A15" s="252">
        <v>1.6</v>
      </c>
      <c r="B15" s="241" t="s">
        <v>179</v>
      </c>
      <c r="C15" s="228" t="s">
        <v>110</v>
      </c>
      <c r="D15" s="235" t="str">
        <f>IF(OR(j_WEEKDAY(J_ADDDAY(VLOOKUP(I15,A:F,6,FALSE),H15,1),0)=6,SUMIFS(Holieday[ok],Holieday[date],J_ADDDAY(VLOOKUP(I15,A:F,6,FALSE),H15,1)))=FALSE(),J_ADDDAY(VLOOKUP(I15,A:F,6,FALSE),H15,1),IF(OR(j_WEEKDAY(J_ADDDAY(VLOOKUP(I15,A:F,6,FALSE),H15+1,1),0)=6,SUMIFS(Holieday[ok],Holieday[date],J_ADDDAY(VLOOKUP(I15,A:F,6,FALSE),H15+1,1)))=FALSE(),J_ADDDAY(VLOOKUP(I15,A:F,6,FALSE),H15+1,1),IF(OR(j_WEEKDAY(J_ADDDAY(VLOOKUP(I15,A:F,6,FALSE),H15+2,1),0)=6,SUMIFS(Holieday[ok],Holieday[date],J_ADDDAY(VLOOKUP(I15,A:F,6,FALSE),H15+2,1)))=FALSE(),J_ADDDAY(VLOOKUP(I15,A:F,6,FALSE),H15+2,1),IF(OR(j_WEEKDAY(J_ADDDAY(VLOOKUP(I15,A:F,6,FALSE),H15+3,1),0)=6,SUMIFS(Holieday[ok],Holieday[date],J_ADDDAY(VLOOKUP(I15,A:F,6,FALSE),H15+3,1)))=FALSE(),J_ADDDAY(VLOOKUP(I15,A:F,6,FALSE),H15+3,1),IF(OR(j_WEEKDAY(J_ADDDAY(VLOOKUP(I15,A:F,6,FALSE),H15+4,1),0)=6,SUMIFS(Holieday[ok],Holieday[date],J_ADDDAY(VLOOKUP(I15,A:F,6,FALSE),H15+4,1)))=FALSE(),J_ADDDAY(VLOOKUP(I15,A:F,6,FALSE),H15+4,1),J_ADDDAY(VLOOKUP(I15,A:F,6,FALSE),H15+5,1))))))</f>
        <v>1398/08/01</v>
      </c>
      <c r="E15" s="160" t="e">
        <f>IF(M15=0,J_SUBDAY(C15,1,1),IF((M15-(NETWORKDAYS.INTL(J_GregorianDate(C15,1),J_GregorianDate(J_SUBDAY(J_ADDDAY(C15,M15,1),1,1),1),16,1)))+SUMIFS(Holieday[ok],Holieday[date],CONCATENATE("&gt;","=",C15),Holieday[date],CONCATENATE("&lt;","=",J_SUBDAY(J_ADDDAY(C15,M15,1),1,1)))-SUMIFS(Holieday[Friday],Holieday[date],CONCATENATE("&gt;","=",C15),Holieday[date],CONCATENATE("&lt;","=",J_SUBDAY(J_ADDDAY(C15,M15,1),1,1)))=0,J_SUBDAY(J_ADDDAY(C15,M15,1),1,1),IF((M15+1-(NETWORKDAYS.INTL(J_GregorianDate(C15,1),J_GregorianDate(J_SUBDAY(J_ADDDAY(C15,M15+1,1),1,1),1),16,1)))+SUMIFS(Holieday[ok],Holieday[date],CONCATENATE("&gt;","=",C15),Holieday[date],CONCATENATE("&lt;","=",J_SUBDAY(J_ADDDAY(C15,M15+1,1),1,1)))-SUMIFS(Holieday[Friday],Holieday[date],CONCATENATE("&gt;","=",C15),Holieday[date],CONCATENATE("&lt;","=",J_SUBDAY(J_ADDDAY(C15,M15+1,1),1,1)))=1,J_SUBDAY(J_ADDDAY(C15,M15+1,1),1,1),IF((M15+2-(NETWORKDAYS.INTL(J_GregorianDate(C15,1),J_GregorianDate(J_SUBDAY(J_ADDDAY(C15,M15+2,1),1,1),1),16,1)))+SUMIFS(Holieday[ok],Holieday[date],CONCATENATE("&gt;","=",C15),Holieday[date],CONCATENATE("&lt;","=",J_SUBDAY(J_ADDDAY(C15,M15+2,1),1,1)))-SUMIFS(Holieday[Friday],Holieday[date],CONCATENATE("&gt;","=",C15),Holieday[date],CONCATENATE("&lt;","=",J_SUBDAY(J_ADDDAY(C15,M15+2,1),1,1)))=2,J_SUBDAY(J_ADDDAY(C15,M15+2,1),1,1),IF((M15+3-(NETWORKDAYS.INTL(J_GregorianDate(C15,1),J_GregorianDate(J_SUBDAY(J_ADDDAY(C15,M15+3,1),1,1),1),16,1)))+SUMIFS(Holieday[ok],Holieday[date],CONCATENATE("&gt;","=",C15),Holieday[date],CONCATENATE("&lt;","=",J_SUBDAY(J_ADDDAY(C15,M15+3,1),1,1)))-SUMIFS(Holieday[Friday],Holieday[date],CONCATENATE("&gt;","=",C15),Holieday[date],CONCATENATE("&lt;","=",J_SUBDAY(J_ADDDAY(C15,M15+3,1),1,1)))=3,J_SUBDAY(J_ADDDAY(C15,M15+3,1),1,1),IF((M15+4-(NETWORKDAYS.INTL(J_GregorianDate(C15,1),J_GregorianDate(J_SUBDAY(J_ADDDAY(C15,M15+4,1),1,1),1),16,1)))+SUMIFS(Holieday[ok],Holieday[date],CONCATENATE("&gt;","=",C15),Holieday[date],CONCATENATE("&lt;","=",J_SUBDAY(J_ADDDAY(C15,M15+4,1),1,1)))-SUMIFS(Holieday[Friday],Holieday[date],CONCATENATE("&gt;","=",C15),Holieday[date],CONCATENATE("&lt;","=",J_SUBDAY(J_ADDDAY(C15,M15+4,1),1,1)))=4,J_SUBDAY(J_ADDDAY(C15,M15+4,1),1,1),IF((M15+5-(NETWORKDAYS.INTL(J_GregorianDate(C15,1),J_GregorianDate(J_SUBDAY(J_ADDDAY(C15,M15+5,1),1,1),1),16,1)))+SUMIFS(Holieday[ok],Holieday[date],CONCATENATE("&gt;","=",C15),Holieday[date],CONCATENATE("&lt;","=",J_SUBDAY(J_ADDDAY(C15,M15+5,1),1,1)))-SUMIFS(Holieday[Friday],Holieday[date],CONCATENATE("&gt;","=",C15),Holieday[date],CONCATENATE("&lt;","=",J_SUBDAY(J_ADDDAY(C15,M15+5,1),1,1)))=5,J_SUBDAY(J_ADDDAY(C15,M15+5,1),1,1),J_SUBDAY(J_ADDDAY(C15,M15+6,1),1,1))))))))</f>
        <v>#VALUE!</v>
      </c>
      <c r="F15" s="244" t="str">
        <f>IF(N15=0,J_SUBDAY(D15,1,1),IF((N15-(NETWORKDAYS.INTL(J_GregorianDate(D15,1),J_GregorianDate(J_SUBDAY(J_ADDDAY(D15,N15,1),1,1),1),16,1)))+SUMIFS(Holieday[ok],Holieday[date],CONCATENATE("&gt;","=",D15),Holieday[date],CONCATENATE("&lt;","=",J_SUBDAY(J_ADDDAY(D15,N15,1),1,1)))-SUMIFS(Holieday[Friday],Holieday[date],CONCATENATE("&gt;","=",D15),Holieday[date],CONCATENATE("&lt;","=",J_SUBDAY(J_ADDDAY(D15,N15,1),1,1)))=0,J_SUBDAY(J_ADDDAY(D15,N15,1),1,1),IF((N15+1-(NETWORKDAYS.INTL(J_GregorianDate(D15,1),J_GregorianDate(J_SUBDAY(J_ADDDAY(D15,N15+1,1),1,1),1),16,1)))+SUMIFS(Holieday[ok],Holieday[date],CONCATENATE("&gt;","=",D15),Holieday[date],CONCATENATE("&lt;","=",J_SUBDAY(J_ADDDAY(D15,N15+1,1),1,1)))-SUMIFS(Holieday[Friday],Holieday[date],CONCATENATE("&gt;","=",D15),Holieday[date],CONCATENATE("&lt;","=",J_SUBDAY(J_ADDDAY(D15,N15+1,1),1,1)))=1,J_SUBDAY(J_ADDDAY(D15,N15+1,1),1,1),IF((N15+2-(NETWORKDAYS.INTL(J_GregorianDate(D15,1),J_GregorianDate(J_SUBDAY(J_ADDDAY(D15,N15+2,1),1,1),1),16,1)))+SUMIFS(Holieday[ok],Holieday[date],CONCATENATE("&gt;","=",D15),Holieday[date],CONCATENATE("&lt;","=",J_SUBDAY(J_ADDDAY(D15,N15+2,1),1,1)))-SUMIFS(Holieday[Friday],Holieday[date],CONCATENATE("&gt;","=",D15),Holieday[date],CONCATENATE("&lt;","=",J_SUBDAY(J_ADDDAY(D15,N15+2,1),1,1)))=2,J_SUBDAY(J_ADDDAY(D15,N15+2,1),1,1),IF((N15+3-(NETWORKDAYS.INTL(J_GregorianDate(D15,1),J_GregorianDate(J_SUBDAY(J_ADDDAY(D15,N15+3,1),1,1),1),16,1)))+SUMIFS(Holieday[ok],Holieday[date],CONCATENATE("&gt;","=",D15),Holieday[date],CONCATENATE("&lt;","=",J_SUBDAY(J_ADDDAY(D15,N15+3,1),1,1)))-SUMIFS(Holieday[Friday],Holieday[date],CONCATENATE("&gt;","=",D15),Holieday[date],CONCATENATE("&lt;","=",J_SUBDAY(J_ADDDAY(D15,N15+3,1),1,1)))=3,J_SUBDAY(J_ADDDAY(D15,N15+3,1),1,1),IF((N15+4-(NETWORKDAYS.INTL(J_GregorianDate(D15,1),J_GregorianDate(J_SUBDAY(J_ADDDAY(D15,N15+4,1),1,1),1),16,1)))+SUMIFS(Holieday[ok],Holieday[date],CONCATENATE("&gt;","=",D15),Holieday[date],CONCATENATE("&lt;","=",J_SUBDAY(J_ADDDAY(D15,N15+4,1),1,1)))-SUMIFS(Holieday[Friday],Holieday[date],CONCATENATE("&gt;","=",D15),Holieday[date],CONCATENATE("&lt;","=",J_SUBDAY(J_ADDDAY(D15,N15+4,1),1,1)))=4,J_SUBDAY(J_ADDDAY(D15,N15+4,1),1,1),IF((N15+5-(NETWORKDAYS.INTL(J_GregorianDate(D15,1),J_GregorianDate(J_SUBDAY(J_ADDDAY(D15,N15+5,1),1,1),1),16,1)))+SUMIFS(Holieday[ok],Holieday[date],CONCATENATE("&gt;","=",D15),Holieday[date],CONCATENATE("&lt;","=",J_SUBDAY(J_ADDDAY(D15,N15+5,1),1,1)))-SUMIFS(Holieday[Friday],Holieday[date],CONCATENATE("&gt;","=",D15),Holieday[date],CONCATENATE("&lt;","=",J_SUBDAY(J_ADDDAY(D15,N15+5,1),1,1)))=5,J_SUBDAY(J_ADDDAY(D15,N15+5,1),1,1),J_SUBDAY(J_ADDDAY(D15,N15+6,1),1,1))))))))</f>
        <v>1398/08/01</v>
      </c>
      <c r="G15" s="163">
        <v>1.4</v>
      </c>
      <c r="H15" s="230">
        <v>3</v>
      </c>
      <c r="I15" s="231">
        <v>1.5</v>
      </c>
      <c r="J15" s="229">
        <v>1</v>
      </c>
      <c r="K15" s="173">
        <v>1</v>
      </c>
      <c r="L15" s="232">
        <f t="shared" si="8"/>
        <v>1</v>
      </c>
      <c r="M15" s="233">
        <v>1</v>
      </c>
      <c r="N15" s="234">
        <v>1</v>
      </c>
      <c r="O15" s="175"/>
      <c r="P15" s="175"/>
      <c r="Q15" s="171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169"/>
      <c r="AM15" s="169"/>
      <c r="AN15" s="169"/>
      <c r="AO15" s="169"/>
      <c r="AP15" s="169"/>
      <c r="AQ15" s="169"/>
      <c r="AR15" s="169"/>
      <c r="AS15" s="169"/>
      <c r="AT15" s="169"/>
      <c r="AU15" s="169"/>
      <c r="AV15" s="169"/>
      <c r="AW15" s="169"/>
      <c r="AX15" s="169"/>
      <c r="AY15" s="169"/>
      <c r="AZ15" s="169"/>
      <c r="BA15" s="169"/>
      <c r="BB15" s="169"/>
      <c r="BC15" s="169"/>
      <c r="BD15" s="169"/>
      <c r="BE15" s="169"/>
      <c r="BF15" s="169"/>
      <c r="BG15" s="169"/>
      <c r="BH15" s="169"/>
      <c r="BI15" s="169"/>
      <c r="BJ15" s="169"/>
      <c r="BK15" s="169"/>
      <c r="BL15" s="169"/>
      <c r="BM15" s="169"/>
      <c r="BN15" s="169"/>
      <c r="BO15" s="169"/>
      <c r="BP15" s="169"/>
      <c r="BQ15" s="169"/>
      <c r="BR15" s="169"/>
      <c r="BS15" s="169"/>
      <c r="BT15" s="169"/>
      <c r="BU15" s="169"/>
      <c r="BV15" s="169"/>
      <c r="BW15" s="169"/>
      <c r="BX15" s="169"/>
      <c r="BY15" s="169"/>
      <c r="BZ15" s="169"/>
      <c r="CA15" s="169"/>
      <c r="CB15" s="169"/>
      <c r="CC15" s="169"/>
      <c r="CD15" s="169"/>
      <c r="CE15" s="169"/>
      <c r="CF15" s="169"/>
      <c r="CG15" s="169"/>
      <c r="CH15" s="169"/>
      <c r="CI15" s="169"/>
      <c r="CJ15" s="169"/>
      <c r="CK15" s="169"/>
      <c r="CL15" s="169"/>
      <c r="CM15" s="169"/>
      <c r="CN15" s="169"/>
      <c r="CO15" s="169"/>
      <c r="CP15" s="169"/>
      <c r="CQ15" s="169"/>
      <c r="CR15" s="169"/>
      <c r="CS15" s="169"/>
      <c r="CT15" s="169"/>
      <c r="CU15" s="169"/>
      <c r="CV15" s="169"/>
      <c r="CW15" s="169"/>
      <c r="CX15" s="169"/>
      <c r="CY15" s="169"/>
      <c r="CZ15" s="169"/>
      <c r="DA15" s="169"/>
      <c r="DB15" s="169"/>
      <c r="DC15" s="169"/>
      <c r="DD15" s="169"/>
      <c r="DE15" s="169"/>
      <c r="DF15" s="169"/>
      <c r="DG15" s="169"/>
      <c r="DH15" s="169"/>
      <c r="DI15" s="169"/>
      <c r="DJ15" s="169"/>
      <c r="DK15" s="169"/>
      <c r="DL15" s="169"/>
      <c r="DM15" s="169"/>
      <c r="DN15" s="169"/>
      <c r="DO15" s="169"/>
      <c r="DP15" s="169"/>
      <c r="DQ15" s="169"/>
      <c r="DR15" s="169"/>
      <c r="DS15" s="169"/>
      <c r="DT15" s="169"/>
      <c r="DU15" s="169"/>
      <c r="DV15" s="169"/>
      <c r="DW15" s="169"/>
      <c r="DX15" s="169"/>
      <c r="DY15" s="169"/>
      <c r="DZ15" s="169"/>
      <c r="EA15" s="169"/>
      <c r="EB15" s="169"/>
      <c r="EC15" s="169"/>
      <c r="ED15" s="169"/>
      <c r="EE15" s="169"/>
      <c r="EF15" s="169"/>
      <c r="EG15" s="169"/>
      <c r="EH15" s="169"/>
      <c r="EI15" s="169"/>
      <c r="EJ15" s="169"/>
      <c r="EK15" s="169"/>
      <c r="EL15" s="169"/>
      <c r="EM15" s="169"/>
      <c r="EN15" s="169"/>
      <c r="EO15" s="169"/>
      <c r="EP15" s="169"/>
      <c r="EQ15" s="169"/>
      <c r="ER15" s="169"/>
      <c r="ES15" s="169"/>
      <c r="ET15" s="169"/>
      <c r="EU15" s="169"/>
      <c r="EV15" s="169"/>
      <c r="EW15" s="169"/>
      <c r="EX15" s="169"/>
      <c r="EY15" s="169"/>
      <c r="EZ15" s="169"/>
      <c r="FA15" s="169"/>
      <c r="FB15" s="169"/>
      <c r="FC15" s="169"/>
      <c r="FD15" s="169"/>
      <c r="FE15" s="169"/>
      <c r="FF15" s="169"/>
      <c r="FG15" s="169"/>
      <c r="FH15" s="169"/>
      <c r="FI15" s="169"/>
      <c r="FJ15" s="169"/>
      <c r="FK15" s="169"/>
      <c r="FL15" s="169"/>
      <c r="FM15" s="169"/>
      <c r="FN15" s="169"/>
      <c r="FO15" s="169"/>
      <c r="FP15" s="169"/>
      <c r="FQ15" s="169"/>
      <c r="FR15" s="169"/>
      <c r="FS15" s="169"/>
      <c r="FT15" s="169"/>
      <c r="FU15" s="169"/>
      <c r="FV15" s="169"/>
      <c r="FW15" s="169"/>
      <c r="FX15" s="169"/>
      <c r="FY15" s="169"/>
      <c r="FZ15" s="169"/>
      <c r="GA15" s="169"/>
      <c r="GB15" s="169"/>
      <c r="GC15" s="169"/>
      <c r="GD15" s="169"/>
      <c r="GE15" s="169"/>
      <c r="GF15" s="169"/>
      <c r="GG15" s="169"/>
      <c r="GH15" s="169"/>
      <c r="GI15" s="169"/>
      <c r="GJ15" s="169"/>
      <c r="GK15" s="169"/>
      <c r="GL15" s="169"/>
      <c r="GM15" s="169"/>
      <c r="GN15" s="169"/>
      <c r="GO15" s="169"/>
      <c r="GP15" s="169"/>
      <c r="GQ15" s="169"/>
      <c r="GR15" s="169"/>
      <c r="GS15" s="169"/>
      <c r="GT15" s="169"/>
      <c r="GU15" s="169"/>
      <c r="GV15" s="169"/>
      <c r="GW15" s="169"/>
      <c r="GX15" s="169"/>
      <c r="GY15" s="169"/>
      <c r="GZ15" s="169"/>
      <c r="HA15" s="169"/>
      <c r="HB15" s="169"/>
      <c r="HC15" s="169"/>
      <c r="HD15" s="169"/>
      <c r="HE15" s="169"/>
      <c r="HF15" s="169"/>
      <c r="HG15" s="169"/>
      <c r="HH15" s="169"/>
      <c r="HI15" s="169"/>
      <c r="HJ15" s="169"/>
      <c r="HK15" s="169"/>
      <c r="HL15" s="169"/>
      <c r="HM15" s="169"/>
      <c r="HN15" s="169"/>
      <c r="HO15" s="169"/>
      <c r="HP15" s="169"/>
      <c r="HQ15" s="169"/>
      <c r="HR15" s="169"/>
      <c r="HS15" s="169"/>
      <c r="HT15" s="169"/>
      <c r="HU15" s="169"/>
      <c r="HV15" s="169"/>
      <c r="HW15" s="169"/>
      <c r="HX15" s="169"/>
      <c r="HY15" s="169"/>
      <c r="HZ15" s="169"/>
      <c r="IA15" s="169"/>
      <c r="IB15" s="169"/>
      <c r="IC15" s="169"/>
      <c r="ID15" s="169"/>
      <c r="IE15" s="169"/>
      <c r="IF15" s="169"/>
      <c r="IG15" s="169"/>
      <c r="IH15" s="169"/>
      <c r="II15" s="169"/>
      <c r="IJ15" s="169"/>
      <c r="IK15" s="169"/>
      <c r="IL15" s="169"/>
      <c r="IM15" s="169">
        <v>1</v>
      </c>
      <c r="IN15" s="169" t="e">
        <f>(TEXT(#REF!,"[m]")/60)*VLOOKUP(IM15,'Income Person-hours'!#REF!,3,FALSE)</f>
        <v>#REF!</v>
      </c>
      <c r="IO15" s="169"/>
      <c r="IP15" s="169"/>
      <c r="IQ15" s="169"/>
      <c r="IR15" s="169">
        <f>SUM((TEXT(IO15,"[M]")/60)*'Income Person-hours'!$D$3,(TEXT(IP15,"[M]")/60)*'Income Person-hours'!$D$4,(TEXT(IQ15,"[M]")/60)*'Income Person-hours'!$D$5)</f>
        <v>0</v>
      </c>
      <c r="IS15" s="169"/>
      <c r="IT15" s="169"/>
      <c r="IU15" s="169"/>
      <c r="IV15" s="169"/>
      <c r="IW15" s="169"/>
      <c r="IX15" s="169"/>
      <c r="IY15" s="29"/>
      <c r="IZ15" s="40"/>
      <c r="JA15" s="112"/>
      <c r="JB15" s="112"/>
      <c r="JC15" s="112"/>
      <c r="JD15" s="192"/>
    </row>
    <row r="16" spans="1:264" s="191" customFormat="1" ht="13.5">
      <c r="A16" s="252">
        <v>1.7</v>
      </c>
      <c r="B16" s="241" t="s">
        <v>181</v>
      </c>
      <c r="C16" s="228" t="s">
        <v>110</v>
      </c>
      <c r="D16" s="235" t="str">
        <f>IF(OR(j_WEEKDAY(J_ADDDAY(VLOOKUP(I16,A:F,6,FALSE),H16,1),0)=6,SUMIFS(Holieday[ok],Holieday[date],J_ADDDAY(VLOOKUP(I16,A:F,6,FALSE),H16,1)))=FALSE(),J_ADDDAY(VLOOKUP(I16,A:F,6,FALSE),H16,1),IF(OR(j_WEEKDAY(J_ADDDAY(VLOOKUP(I16,A:F,6,FALSE),H16+1,1),0)=6,SUMIFS(Holieday[ok],Holieday[date],J_ADDDAY(VLOOKUP(I16,A:F,6,FALSE),H16+1,1)))=FALSE(),J_ADDDAY(VLOOKUP(I16,A:F,6,FALSE),H16+1,1),IF(OR(j_WEEKDAY(J_ADDDAY(VLOOKUP(I16,A:F,6,FALSE),H16+2,1),0)=6,SUMIFS(Holieday[ok],Holieday[date],J_ADDDAY(VLOOKUP(I16,A:F,6,FALSE),H16+2,1)))=FALSE(),J_ADDDAY(VLOOKUP(I16,A:F,6,FALSE),H16+2,1),IF(OR(j_WEEKDAY(J_ADDDAY(VLOOKUP(I16,A:F,6,FALSE),H16+3,1),0)=6,SUMIFS(Holieday[ok],Holieday[date],J_ADDDAY(VLOOKUP(I16,A:F,6,FALSE),H16+3,1)))=FALSE(),J_ADDDAY(VLOOKUP(I16,A:F,6,FALSE),H16+3,1),IF(OR(j_WEEKDAY(J_ADDDAY(VLOOKUP(I16,A:F,6,FALSE),H16+4,1),0)=6,SUMIFS(Holieday[ok],Holieday[date],J_ADDDAY(VLOOKUP(I16,A:F,6,FALSE),H16+4,1)))=FALSE(),J_ADDDAY(VLOOKUP(I16,A:F,6,FALSE),H16+4,1),J_ADDDAY(VLOOKUP(I16,A:F,6,FALSE),H16+5,1))))))</f>
        <v>1398/08/11</v>
      </c>
      <c r="E16" s="160" t="e">
        <f>IF(M16=0,J_SUBDAY(C16,1,1),IF((M16-(NETWORKDAYS.INTL(J_GregorianDate(C16,1),J_GregorianDate(J_SUBDAY(J_ADDDAY(C16,M16,1),1,1),1),16,1)))+SUMIFS(Holieday[ok],Holieday[date],CONCATENATE("&gt;","=",C16),Holieday[date],CONCATENATE("&lt;","=",J_SUBDAY(J_ADDDAY(C16,M16,1),1,1)))-SUMIFS(Holieday[Friday],Holieday[date],CONCATENATE("&gt;","=",C16),Holieday[date],CONCATENATE("&lt;","=",J_SUBDAY(J_ADDDAY(C16,M16,1),1,1)))=0,J_SUBDAY(J_ADDDAY(C16,M16,1),1,1),IF((M16+1-(NETWORKDAYS.INTL(J_GregorianDate(C16,1),J_GregorianDate(J_SUBDAY(J_ADDDAY(C16,M16+1,1),1,1),1),16,1)))+SUMIFS(Holieday[ok],Holieday[date],CONCATENATE("&gt;","=",C16),Holieday[date],CONCATENATE("&lt;","=",J_SUBDAY(J_ADDDAY(C16,M16+1,1),1,1)))-SUMIFS(Holieday[Friday],Holieday[date],CONCATENATE("&gt;","=",C16),Holieday[date],CONCATENATE("&lt;","=",J_SUBDAY(J_ADDDAY(C16,M16+1,1),1,1)))=1,J_SUBDAY(J_ADDDAY(C16,M16+1,1),1,1),IF((M16+2-(NETWORKDAYS.INTL(J_GregorianDate(C16,1),J_GregorianDate(J_SUBDAY(J_ADDDAY(C16,M16+2,1),1,1),1),16,1)))+SUMIFS(Holieday[ok],Holieday[date],CONCATENATE("&gt;","=",C16),Holieday[date],CONCATENATE("&lt;","=",J_SUBDAY(J_ADDDAY(C16,M16+2,1),1,1)))-SUMIFS(Holieday[Friday],Holieday[date],CONCATENATE("&gt;","=",C16),Holieday[date],CONCATENATE("&lt;","=",J_SUBDAY(J_ADDDAY(C16,M16+2,1),1,1)))=2,J_SUBDAY(J_ADDDAY(C16,M16+2,1),1,1),IF((M16+3-(NETWORKDAYS.INTL(J_GregorianDate(C16,1),J_GregorianDate(J_SUBDAY(J_ADDDAY(C16,M16+3,1),1,1),1),16,1)))+SUMIFS(Holieday[ok],Holieday[date],CONCATENATE("&gt;","=",C16),Holieday[date],CONCATENATE("&lt;","=",J_SUBDAY(J_ADDDAY(C16,M16+3,1),1,1)))-SUMIFS(Holieday[Friday],Holieday[date],CONCATENATE("&gt;","=",C16),Holieday[date],CONCATENATE("&lt;","=",J_SUBDAY(J_ADDDAY(C16,M16+3,1),1,1)))=3,J_SUBDAY(J_ADDDAY(C16,M16+3,1),1,1),IF((M16+4-(NETWORKDAYS.INTL(J_GregorianDate(C16,1),J_GregorianDate(J_SUBDAY(J_ADDDAY(C16,M16+4,1),1,1),1),16,1)))+SUMIFS(Holieday[ok],Holieday[date],CONCATENATE("&gt;","=",C16),Holieday[date],CONCATENATE("&lt;","=",J_SUBDAY(J_ADDDAY(C16,M16+4,1),1,1)))-SUMIFS(Holieday[Friday],Holieday[date],CONCATENATE("&gt;","=",C16),Holieday[date],CONCATENATE("&lt;","=",J_SUBDAY(J_ADDDAY(C16,M16+4,1),1,1)))=4,J_SUBDAY(J_ADDDAY(C16,M16+4,1),1,1),IF((M16+5-(NETWORKDAYS.INTL(J_GregorianDate(C16,1),J_GregorianDate(J_SUBDAY(J_ADDDAY(C16,M16+5,1),1,1),1),16,1)))+SUMIFS(Holieday[ok],Holieday[date],CONCATENATE("&gt;","=",C16),Holieday[date],CONCATENATE("&lt;","=",J_SUBDAY(J_ADDDAY(C16,M16+5,1),1,1)))-SUMIFS(Holieday[Friday],Holieday[date],CONCATENATE("&gt;","=",C16),Holieday[date],CONCATENATE("&lt;","=",J_SUBDAY(J_ADDDAY(C16,M16+5,1),1,1)))=5,J_SUBDAY(J_ADDDAY(C16,M16+5,1),1,1),J_SUBDAY(J_ADDDAY(C16,M16+6,1),1,1))))))))</f>
        <v>#VALUE!</v>
      </c>
      <c r="F16" s="244" t="str">
        <f>IF(N16=0,J_SUBDAY(D16,1,1),IF((N16-(NETWORKDAYS.INTL(J_GregorianDate(D16,1),J_GregorianDate(J_SUBDAY(J_ADDDAY(D16,N16,1),1,1),1),16,1)))+SUMIFS(Holieday[ok],Holieday[date],CONCATENATE("&gt;","=",D16),Holieday[date],CONCATENATE("&lt;","=",J_SUBDAY(J_ADDDAY(D16,N16,1),1,1)))-SUMIFS(Holieday[Friday],Holieday[date],CONCATENATE("&gt;","=",D16),Holieday[date],CONCATENATE("&lt;","=",J_SUBDAY(J_ADDDAY(D16,N16,1),1,1)))=0,J_SUBDAY(J_ADDDAY(D16,N16,1),1,1),IF((N16+1-(NETWORKDAYS.INTL(J_GregorianDate(D16,1),J_GregorianDate(J_SUBDAY(J_ADDDAY(D16,N16+1,1),1,1),1),16,1)))+SUMIFS(Holieday[ok],Holieday[date],CONCATENATE("&gt;","=",D16),Holieday[date],CONCATENATE("&lt;","=",J_SUBDAY(J_ADDDAY(D16,N16+1,1),1,1)))-SUMIFS(Holieday[Friday],Holieday[date],CONCATENATE("&gt;","=",D16),Holieday[date],CONCATENATE("&lt;","=",J_SUBDAY(J_ADDDAY(D16,N16+1,1),1,1)))=1,J_SUBDAY(J_ADDDAY(D16,N16+1,1),1,1),IF((N16+2-(NETWORKDAYS.INTL(J_GregorianDate(D16,1),J_GregorianDate(J_SUBDAY(J_ADDDAY(D16,N16+2,1),1,1),1),16,1)))+SUMIFS(Holieday[ok],Holieday[date],CONCATENATE("&gt;","=",D16),Holieday[date],CONCATENATE("&lt;","=",J_SUBDAY(J_ADDDAY(D16,N16+2,1),1,1)))-SUMIFS(Holieday[Friday],Holieday[date],CONCATENATE("&gt;","=",D16),Holieday[date],CONCATENATE("&lt;","=",J_SUBDAY(J_ADDDAY(D16,N16+2,1),1,1)))=2,J_SUBDAY(J_ADDDAY(D16,N16+2,1),1,1),IF((N16+3-(NETWORKDAYS.INTL(J_GregorianDate(D16,1),J_GregorianDate(J_SUBDAY(J_ADDDAY(D16,N16+3,1),1,1),1),16,1)))+SUMIFS(Holieday[ok],Holieday[date],CONCATENATE("&gt;","=",D16),Holieday[date],CONCATENATE("&lt;","=",J_SUBDAY(J_ADDDAY(D16,N16+3,1),1,1)))-SUMIFS(Holieday[Friday],Holieday[date],CONCATENATE("&gt;","=",D16),Holieday[date],CONCATENATE("&lt;","=",J_SUBDAY(J_ADDDAY(D16,N16+3,1),1,1)))=3,J_SUBDAY(J_ADDDAY(D16,N16+3,1),1,1),IF((N16+4-(NETWORKDAYS.INTL(J_GregorianDate(D16,1),J_GregorianDate(J_SUBDAY(J_ADDDAY(D16,N16+4,1),1,1),1),16,1)))+SUMIFS(Holieday[ok],Holieday[date],CONCATENATE("&gt;","=",D16),Holieday[date],CONCATENATE("&lt;","=",J_SUBDAY(J_ADDDAY(D16,N16+4,1),1,1)))-SUMIFS(Holieday[Friday],Holieday[date],CONCATENATE("&gt;","=",D16),Holieday[date],CONCATENATE("&lt;","=",J_SUBDAY(J_ADDDAY(D16,N16+4,1),1,1)))=4,J_SUBDAY(J_ADDDAY(D16,N16+4,1),1,1),IF((N16+5-(NETWORKDAYS.INTL(J_GregorianDate(D16,1),J_GregorianDate(J_SUBDAY(J_ADDDAY(D16,N16+5,1),1,1),1),16,1)))+SUMIFS(Holieday[ok],Holieday[date],CONCATENATE("&gt;","=",D16),Holieday[date],CONCATENATE("&lt;","=",J_SUBDAY(J_ADDDAY(D16,N16+5,1),1,1)))-SUMIFS(Holieday[Friday],Holieday[date],CONCATENATE("&gt;","=",D16),Holieday[date],CONCATENATE("&lt;","=",J_SUBDAY(J_ADDDAY(D16,N16+5,1),1,1)))=5,J_SUBDAY(J_ADDDAY(D16,N16+5,1),1,1),J_SUBDAY(J_ADDDAY(D16,N16+6,1),1,1))))))))</f>
        <v>1398/08/11</v>
      </c>
      <c r="G16" s="163">
        <v>1.5</v>
      </c>
      <c r="H16" s="230">
        <v>10</v>
      </c>
      <c r="I16" s="231">
        <v>1.6</v>
      </c>
      <c r="J16" s="229">
        <v>1</v>
      </c>
      <c r="K16" s="173">
        <v>1</v>
      </c>
      <c r="L16" s="232">
        <f t="shared" si="8"/>
        <v>1</v>
      </c>
      <c r="M16" s="233">
        <v>1</v>
      </c>
      <c r="N16" s="234">
        <v>1</v>
      </c>
      <c r="O16" s="175"/>
      <c r="P16" s="175"/>
      <c r="Q16" s="171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169"/>
      <c r="AL16" s="169"/>
      <c r="AM16" s="169"/>
      <c r="AN16" s="169"/>
      <c r="AO16" s="169"/>
      <c r="AP16" s="169"/>
      <c r="AQ16" s="169"/>
      <c r="AR16" s="169"/>
      <c r="AS16" s="169"/>
      <c r="AT16" s="169"/>
      <c r="AU16" s="169"/>
      <c r="AV16" s="169"/>
      <c r="AW16" s="169"/>
      <c r="AX16" s="169"/>
      <c r="AY16" s="169"/>
      <c r="AZ16" s="169"/>
      <c r="BA16" s="169"/>
      <c r="BB16" s="169"/>
      <c r="BC16" s="169"/>
      <c r="BD16" s="169"/>
      <c r="BE16" s="169"/>
      <c r="BF16" s="169"/>
      <c r="BG16" s="169"/>
      <c r="BH16" s="169"/>
      <c r="BI16" s="169"/>
      <c r="BJ16" s="169"/>
      <c r="BK16" s="169"/>
      <c r="BL16" s="169"/>
      <c r="BM16" s="169"/>
      <c r="BN16" s="169"/>
      <c r="BO16" s="169"/>
      <c r="BP16" s="169"/>
      <c r="BQ16" s="169"/>
      <c r="BR16" s="169"/>
      <c r="BS16" s="169"/>
      <c r="BT16" s="169"/>
      <c r="BU16" s="169"/>
      <c r="BV16" s="169"/>
      <c r="BW16" s="169"/>
      <c r="BX16" s="169"/>
      <c r="BY16" s="169"/>
      <c r="BZ16" s="169"/>
      <c r="CA16" s="169"/>
      <c r="CB16" s="169"/>
      <c r="CC16" s="169"/>
      <c r="CD16" s="169"/>
      <c r="CE16" s="169"/>
      <c r="CF16" s="169"/>
      <c r="CG16" s="169"/>
      <c r="CH16" s="169"/>
      <c r="CI16" s="169"/>
      <c r="CJ16" s="169"/>
      <c r="CK16" s="169"/>
      <c r="CL16" s="169"/>
      <c r="CM16" s="169"/>
      <c r="CN16" s="169"/>
      <c r="CO16" s="169"/>
      <c r="CP16" s="169"/>
      <c r="CQ16" s="169"/>
      <c r="CR16" s="169"/>
      <c r="CS16" s="169"/>
      <c r="CT16" s="169"/>
      <c r="CU16" s="169"/>
      <c r="CV16" s="169"/>
      <c r="CW16" s="169"/>
      <c r="CX16" s="169"/>
      <c r="CY16" s="169"/>
      <c r="CZ16" s="169"/>
      <c r="DA16" s="169"/>
      <c r="DB16" s="169"/>
      <c r="DC16" s="169"/>
      <c r="DD16" s="169"/>
      <c r="DE16" s="169"/>
      <c r="DF16" s="169"/>
      <c r="DG16" s="169"/>
      <c r="DH16" s="169"/>
      <c r="DI16" s="169"/>
      <c r="DJ16" s="169"/>
      <c r="DK16" s="169"/>
      <c r="DL16" s="169"/>
      <c r="DM16" s="169"/>
      <c r="DN16" s="169"/>
      <c r="DO16" s="169"/>
      <c r="DP16" s="169"/>
      <c r="DQ16" s="169"/>
      <c r="DR16" s="169"/>
      <c r="DS16" s="169"/>
      <c r="DT16" s="169"/>
      <c r="DU16" s="169"/>
      <c r="DV16" s="169"/>
      <c r="DW16" s="169"/>
      <c r="DX16" s="169"/>
      <c r="DY16" s="169"/>
      <c r="DZ16" s="169"/>
      <c r="EA16" s="169"/>
      <c r="EB16" s="169"/>
      <c r="EC16" s="169"/>
      <c r="ED16" s="169"/>
      <c r="EE16" s="169"/>
      <c r="EF16" s="169"/>
      <c r="EG16" s="169"/>
      <c r="EH16" s="169"/>
      <c r="EI16" s="169"/>
      <c r="EJ16" s="169"/>
      <c r="EK16" s="169"/>
      <c r="EL16" s="169"/>
      <c r="EM16" s="169"/>
      <c r="EN16" s="169"/>
      <c r="EO16" s="169"/>
      <c r="EP16" s="169"/>
      <c r="EQ16" s="169"/>
      <c r="ER16" s="169"/>
      <c r="ES16" s="169"/>
      <c r="ET16" s="169"/>
      <c r="EU16" s="169"/>
      <c r="EV16" s="169"/>
      <c r="EW16" s="169"/>
      <c r="EX16" s="169"/>
      <c r="EY16" s="169"/>
      <c r="EZ16" s="169"/>
      <c r="FA16" s="169"/>
      <c r="FB16" s="169"/>
      <c r="FC16" s="169"/>
      <c r="FD16" s="169"/>
      <c r="FE16" s="169"/>
      <c r="FF16" s="169"/>
      <c r="FG16" s="169"/>
      <c r="FH16" s="169"/>
      <c r="FI16" s="169"/>
      <c r="FJ16" s="169"/>
      <c r="FK16" s="169"/>
      <c r="FL16" s="169"/>
      <c r="FM16" s="169"/>
      <c r="FN16" s="169"/>
      <c r="FO16" s="169"/>
      <c r="FP16" s="169"/>
      <c r="FQ16" s="169"/>
      <c r="FR16" s="169"/>
      <c r="FS16" s="169"/>
      <c r="FT16" s="169"/>
      <c r="FU16" s="169"/>
      <c r="FV16" s="169"/>
      <c r="FW16" s="169"/>
      <c r="FX16" s="169"/>
      <c r="FY16" s="169"/>
      <c r="FZ16" s="169"/>
      <c r="GA16" s="169"/>
      <c r="GB16" s="169"/>
      <c r="GC16" s="169"/>
      <c r="GD16" s="169"/>
      <c r="GE16" s="169"/>
      <c r="GF16" s="169"/>
      <c r="GG16" s="169"/>
      <c r="GH16" s="169"/>
      <c r="GI16" s="169"/>
      <c r="GJ16" s="169"/>
      <c r="GK16" s="169"/>
      <c r="GL16" s="169"/>
      <c r="GM16" s="169"/>
      <c r="GN16" s="169"/>
      <c r="GO16" s="169"/>
      <c r="GP16" s="169"/>
      <c r="GQ16" s="169"/>
      <c r="GR16" s="169"/>
      <c r="GS16" s="169"/>
      <c r="GT16" s="169"/>
      <c r="GU16" s="169"/>
      <c r="GV16" s="169"/>
      <c r="GW16" s="169"/>
      <c r="GX16" s="169"/>
      <c r="GY16" s="169"/>
      <c r="GZ16" s="169"/>
      <c r="HA16" s="169"/>
      <c r="HB16" s="169"/>
      <c r="HC16" s="169"/>
      <c r="HD16" s="169"/>
      <c r="HE16" s="169"/>
      <c r="HF16" s="169"/>
      <c r="HG16" s="169"/>
      <c r="HH16" s="169"/>
      <c r="HI16" s="169"/>
      <c r="HJ16" s="169"/>
      <c r="HK16" s="169"/>
      <c r="HL16" s="169"/>
      <c r="HM16" s="169"/>
      <c r="HN16" s="169"/>
      <c r="HO16" s="169"/>
      <c r="HP16" s="169"/>
      <c r="HQ16" s="169"/>
      <c r="HR16" s="169"/>
      <c r="HS16" s="169"/>
      <c r="HT16" s="169"/>
      <c r="HU16" s="169"/>
      <c r="HV16" s="169"/>
      <c r="HW16" s="169"/>
      <c r="HX16" s="169"/>
      <c r="HY16" s="169"/>
      <c r="HZ16" s="169"/>
      <c r="IA16" s="169"/>
      <c r="IB16" s="169"/>
      <c r="IC16" s="169"/>
      <c r="ID16" s="169"/>
      <c r="IE16" s="169"/>
      <c r="IF16" s="169"/>
      <c r="IG16" s="169">
        <v>1</v>
      </c>
      <c r="IH16" s="169" t="e">
        <f>(TEXT(#REF!,"[m]")/60)*VLOOKUP(IG16,'Income Person-hours'!#REF!,3,FALSE)</f>
        <v>#REF!</v>
      </c>
      <c r="II16" s="169"/>
      <c r="IJ16" s="169"/>
      <c r="IK16" s="169"/>
      <c r="IL16" s="169">
        <f>SUM((TEXT(II16,"[M]")/60)*'Income Person-hours'!$D$3,(TEXT(IJ16,"[M]")/60)*'Income Person-hours'!$D$4,(TEXT(IK16,"[M]")/60)*'Income Person-hours'!$D$5)</f>
        <v>0</v>
      </c>
      <c r="IM16" s="169"/>
      <c r="IN16" s="169"/>
      <c r="IO16" s="169"/>
      <c r="IP16" s="169"/>
      <c r="IQ16" s="169"/>
      <c r="IR16" s="169"/>
      <c r="IS16" s="169"/>
      <c r="IT16" s="169"/>
      <c r="IU16" s="169"/>
      <c r="IV16" s="169"/>
      <c r="IW16" s="169"/>
      <c r="IX16" s="169"/>
      <c r="IY16" s="29"/>
      <c r="IZ16" s="40"/>
      <c r="JA16" s="112"/>
      <c r="JB16" s="112"/>
      <c r="JC16" s="112"/>
      <c r="JD16" s="192"/>
    </row>
    <row r="17" spans="1:264" s="191" customFormat="1" ht="13.5">
      <c r="A17" s="252">
        <v>1.8</v>
      </c>
      <c r="B17" s="241" t="s">
        <v>120</v>
      </c>
      <c r="C17" s="228" t="s">
        <v>79</v>
      </c>
      <c r="D17" s="235" t="str">
        <f>IF(OR(j_WEEKDAY(J_ADDDAY(VLOOKUP(I17,A:F,6,FALSE),H17,1),0)=6,SUMIFS(Holieday[ok],Holieday[date],J_ADDDAY(VLOOKUP(I17,A:F,6,FALSE),H17,1)))=FALSE(),J_ADDDAY(VLOOKUP(I17,A:F,6,FALSE),H17,1),IF(OR(j_WEEKDAY(J_ADDDAY(VLOOKUP(I17,A:F,6,FALSE),H17+1,1),0)=6,SUMIFS(Holieday[ok],Holieday[date],J_ADDDAY(VLOOKUP(I17,A:F,6,FALSE),H17+1,1)))=FALSE(),J_ADDDAY(VLOOKUP(I17,A:F,6,FALSE),H17+1,1),IF(OR(j_WEEKDAY(J_ADDDAY(VLOOKUP(I17,A:F,6,FALSE),H17+2,1),0)=6,SUMIFS(Holieday[ok],Holieday[date],J_ADDDAY(VLOOKUP(I17,A:F,6,FALSE),H17+2,1)))=FALSE(),J_ADDDAY(VLOOKUP(I17,A:F,6,FALSE),H17+2,1),IF(OR(j_WEEKDAY(J_ADDDAY(VLOOKUP(I17,A:F,6,FALSE),H17+3,1),0)=6,SUMIFS(Holieday[ok],Holieday[date],J_ADDDAY(VLOOKUP(I17,A:F,6,FALSE),H17+3,1)))=FALSE(),J_ADDDAY(VLOOKUP(I17,A:F,6,FALSE),H17+3,1),IF(OR(j_WEEKDAY(J_ADDDAY(VLOOKUP(I17,A:F,6,FALSE),H17+4,1),0)=6,SUMIFS(Holieday[ok],Holieday[date],J_ADDDAY(VLOOKUP(I17,A:F,6,FALSE),H17+4,1)))=FALSE(),J_ADDDAY(VLOOKUP(I17,A:F,6,FALSE),H17+4,1),J_ADDDAY(VLOOKUP(I17,A:F,6,FALSE),H17+5,1))))))</f>
        <v>1398/07/10</v>
      </c>
      <c r="E17" s="160">
        <f t="shared" si="4"/>
        <v>13980710</v>
      </c>
      <c r="F17" s="244" t="str">
        <f>IF(N17=0,J_SUBDAY(D17,1,1),IF((N17-(NETWORKDAYS.INTL(J_GregorianDate(D17,1),J_GregorianDate(J_SUBDAY(J_ADDDAY(D17,N17,1),1,1),1),16,1)))+SUMIFS(Holieday[ok],Holieday[date],CONCATENATE("&gt;","=",D17),Holieday[date],CONCATENATE("&lt;","=",J_SUBDAY(J_ADDDAY(D17,N17,1),1,1)))-SUMIFS(Holieday[Friday],Holieday[date],CONCATENATE("&gt;","=",D17),Holieday[date],CONCATENATE("&lt;","=",J_SUBDAY(J_ADDDAY(D17,N17,1),1,1)))=0,J_SUBDAY(J_ADDDAY(D17,N17,1),1,1),IF((N17+1-(NETWORKDAYS.INTL(J_GregorianDate(D17,1),J_GregorianDate(J_SUBDAY(J_ADDDAY(D17,N17+1,1),1,1),1),16,1)))+SUMIFS(Holieday[ok],Holieday[date],CONCATENATE("&gt;","=",D17),Holieday[date],CONCATENATE("&lt;","=",J_SUBDAY(J_ADDDAY(D17,N17+1,1),1,1)))-SUMIFS(Holieday[Friday],Holieday[date],CONCATENATE("&gt;","=",D17),Holieday[date],CONCATENATE("&lt;","=",J_SUBDAY(J_ADDDAY(D17,N17+1,1),1,1)))=1,J_SUBDAY(J_ADDDAY(D17,N17+1,1),1,1),IF((N17+2-(NETWORKDAYS.INTL(J_GregorianDate(D17,1),J_GregorianDate(J_SUBDAY(J_ADDDAY(D17,N17+2,1),1,1),1),16,1)))+SUMIFS(Holieday[ok],Holieday[date],CONCATENATE("&gt;","=",D17),Holieday[date],CONCATENATE("&lt;","=",J_SUBDAY(J_ADDDAY(D17,N17+2,1),1,1)))-SUMIFS(Holieday[Friday],Holieday[date],CONCATENATE("&gt;","=",D17),Holieday[date],CONCATENATE("&lt;","=",J_SUBDAY(J_ADDDAY(D17,N17+2,1),1,1)))=2,J_SUBDAY(J_ADDDAY(D17,N17+2,1),1,1),IF((N17+3-(NETWORKDAYS.INTL(J_GregorianDate(D17,1),J_GregorianDate(J_SUBDAY(J_ADDDAY(D17,N17+3,1),1,1),1),16,1)))+SUMIFS(Holieday[ok],Holieday[date],CONCATENATE("&gt;","=",D17),Holieday[date],CONCATENATE("&lt;","=",J_SUBDAY(J_ADDDAY(D17,N17+3,1),1,1)))-SUMIFS(Holieday[Friday],Holieday[date],CONCATENATE("&gt;","=",D17),Holieday[date],CONCATENATE("&lt;","=",J_SUBDAY(J_ADDDAY(D17,N17+3,1),1,1)))=3,J_SUBDAY(J_ADDDAY(D17,N17+3,1),1,1),IF((N17+4-(NETWORKDAYS.INTL(J_GregorianDate(D17,1),J_GregorianDate(J_SUBDAY(J_ADDDAY(D17,N17+4,1),1,1),1),16,1)))+SUMIFS(Holieday[ok],Holieday[date],CONCATENATE("&gt;","=",D17),Holieday[date],CONCATENATE("&lt;","=",J_SUBDAY(J_ADDDAY(D17,N17+4,1),1,1)))-SUMIFS(Holieday[Friday],Holieday[date],CONCATENATE("&gt;","=",D17),Holieday[date],CONCATENATE("&lt;","=",J_SUBDAY(J_ADDDAY(D17,N17+4,1),1,1)))=4,J_SUBDAY(J_ADDDAY(D17,N17+4,1),1,1),IF((N17+5-(NETWORKDAYS.INTL(J_GregorianDate(D17,1),J_GregorianDate(J_SUBDAY(J_ADDDAY(D17,N17+5,1),1,1),1),16,1)))+SUMIFS(Holieday[ok],Holieday[date],CONCATENATE("&gt;","=",D17),Holieday[date],CONCATENATE("&lt;","=",J_SUBDAY(J_ADDDAY(D17,N17+5,1),1,1)))-SUMIFS(Holieday[Friday],Holieday[date],CONCATENATE("&gt;","=",D17),Holieday[date],CONCATENATE("&lt;","=",J_SUBDAY(J_ADDDAY(D17,N17+5,1),1,1)))=5,J_SUBDAY(J_ADDDAY(D17,N17+5,1),1,1),J_SUBDAY(J_ADDDAY(D17,N17+6,1),1,1))))))))</f>
        <v>1398/07/15</v>
      </c>
      <c r="G17" s="163">
        <f t="shared" si="5"/>
        <v>13980715</v>
      </c>
      <c r="H17" s="230">
        <v>4</v>
      </c>
      <c r="I17" s="231">
        <v>1.4</v>
      </c>
      <c r="J17" s="229">
        <f>j_WEEKDAY(D17,2)</f>
        <v>4</v>
      </c>
      <c r="K17" s="173">
        <f t="shared" si="7"/>
        <v>0</v>
      </c>
      <c r="L17" s="232">
        <f t="shared" si="8"/>
        <v>6</v>
      </c>
      <c r="M17" s="233">
        <v>0</v>
      </c>
      <c r="N17" s="234">
        <v>5</v>
      </c>
      <c r="O17" s="175">
        <f t="shared" ref="O17:O33" si="9">ROUNDDOWN(M17*L17,0)</f>
        <v>0</v>
      </c>
      <c r="P17" s="175">
        <f>VALUE(J_normdate(J_ADDDAY($D17,$O17,1)))</f>
        <v>13980710</v>
      </c>
      <c r="Q17" s="171">
        <f t="shared" ref="Q17:Q33" si="10">L17-O17</f>
        <v>6</v>
      </c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169"/>
      <c r="AI17" s="169"/>
      <c r="AJ17" s="169"/>
      <c r="AK17" s="169"/>
      <c r="AL17" s="169"/>
      <c r="AM17" s="169"/>
      <c r="AN17" s="169"/>
      <c r="AO17" s="169"/>
      <c r="AP17" s="169"/>
      <c r="AQ17" s="169"/>
      <c r="AR17" s="169"/>
      <c r="AS17" s="169"/>
      <c r="AT17" s="169"/>
      <c r="AU17" s="169"/>
      <c r="AV17" s="169"/>
      <c r="AW17" s="169"/>
      <c r="AX17" s="169"/>
      <c r="AY17" s="169"/>
      <c r="AZ17" s="169"/>
      <c r="BA17" s="169"/>
      <c r="BB17" s="169"/>
      <c r="BC17" s="169"/>
      <c r="BD17" s="169"/>
      <c r="BE17" s="169"/>
      <c r="BF17" s="169"/>
      <c r="BG17" s="169"/>
      <c r="BH17" s="169"/>
      <c r="BI17" s="169"/>
      <c r="BJ17" s="169"/>
      <c r="BK17" s="169"/>
      <c r="BL17" s="169"/>
      <c r="BM17" s="169"/>
      <c r="BN17" s="169"/>
      <c r="BO17" s="169"/>
      <c r="BP17" s="169"/>
      <c r="BQ17" s="169"/>
      <c r="BR17" s="169"/>
      <c r="BS17" s="169"/>
      <c r="BT17" s="169"/>
      <c r="BU17" s="169"/>
      <c r="BV17" s="169"/>
      <c r="BW17" s="169"/>
      <c r="BX17" s="169"/>
      <c r="BY17" s="169"/>
      <c r="BZ17" s="169"/>
      <c r="CA17" s="169"/>
      <c r="CB17" s="169"/>
      <c r="CC17" s="169"/>
      <c r="CD17" s="169"/>
      <c r="CE17" s="169"/>
      <c r="CF17" s="169"/>
      <c r="CG17" s="169"/>
      <c r="CH17" s="169"/>
      <c r="CI17" s="169"/>
      <c r="CJ17" s="169"/>
      <c r="CK17" s="169"/>
      <c r="CL17" s="169"/>
      <c r="CM17" s="169"/>
      <c r="CN17" s="169"/>
      <c r="CO17" s="169"/>
      <c r="CP17" s="169"/>
      <c r="CQ17" s="169"/>
      <c r="CR17" s="169"/>
      <c r="CS17" s="169"/>
      <c r="CT17" s="169"/>
      <c r="CU17" s="169"/>
      <c r="CV17" s="169"/>
      <c r="CW17" s="169"/>
      <c r="CX17" s="169"/>
      <c r="CY17" s="169"/>
      <c r="CZ17" s="169"/>
      <c r="DA17" s="169"/>
      <c r="DB17" s="169"/>
      <c r="DC17" s="169"/>
      <c r="DD17" s="169"/>
      <c r="DE17" s="169"/>
      <c r="DF17" s="169"/>
      <c r="DG17" s="169"/>
      <c r="DH17" s="169"/>
      <c r="DI17" s="169"/>
      <c r="DJ17" s="169"/>
      <c r="DK17" s="169"/>
      <c r="DL17" s="169"/>
      <c r="DM17" s="169"/>
      <c r="DN17" s="169"/>
      <c r="DO17" s="169"/>
      <c r="DP17" s="169"/>
      <c r="DQ17" s="169"/>
      <c r="DR17" s="169"/>
      <c r="DS17" s="169"/>
      <c r="DT17" s="169"/>
      <c r="DU17" s="169"/>
      <c r="DV17" s="169"/>
      <c r="DW17" s="169"/>
      <c r="DX17" s="169"/>
      <c r="DY17" s="169"/>
      <c r="DZ17" s="169"/>
      <c r="EA17" s="169"/>
      <c r="EB17" s="169"/>
      <c r="EC17" s="169"/>
      <c r="ED17" s="169"/>
      <c r="EE17" s="169"/>
      <c r="EF17" s="169"/>
      <c r="EG17" s="169"/>
      <c r="EH17" s="169"/>
      <c r="EI17" s="169"/>
      <c r="EJ17" s="169"/>
      <c r="EK17" s="169"/>
      <c r="EL17" s="169"/>
      <c r="EM17" s="169"/>
      <c r="EN17" s="169"/>
      <c r="EO17" s="169"/>
      <c r="EP17" s="169"/>
      <c r="EQ17" s="169"/>
      <c r="ER17" s="169"/>
      <c r="ES17" s="169"/>
      <c r="ET17" s="169"/>
      <c r="EU17" s="169"/>
      <c r="EV17" s="169"/>
      <c r="EW17" s="169"/>
      <c r="EX17" s="169"/>
      <c r="EY17" s="169"/>
      <c r="EZ17" s="169"/>
      <c r="FA17" s="169"/>
      <c r="FB17" s="169"/>
      <c r="FC17" s="169"/>
      <c r="FD17" s="169"/>
      <c r="FE17" s="169"/>
      <c r="FF17" s="169"/>
      <c r="FG17" s="169"/>
      <c r="FH17" s="169"/>
      <c r="FI17" s="169"/>
      <c r="FJ17" s="169"/>
      <c r="FK17" s="169"/>
      <c r="FL17" s="169"/>
      <c r="FM17" s="169"/>
      <c r="FN17" s="169"/>
      <c r="FO17" s="169"/>
      <c r="FP17" s="169"/>
      <c r="FQ17" s="169"/>
      <c r="FR17" s="169"/>
      <c r="FS17" s="169"/>
      <c r="FT17" s="169"/>
      <c r="FU17" s="169"/>
      <c r="FV17" s="169"/>
      <c r="FW17" s="169"/>
      <c r="FX17" s="169"/>
      <c r="FY17" s="169"/>
      <c r="FZ17" s="169"/>
      <c r="GA17" s="169"/>
      <c r="GB17" s="169"/>
      <c r="GC17" s="169"/>
      <c r="GD17" s="169"/>
      <c r="GE17" s="169"/>
      <c r="GF17" s="169"/>
      <c r="GG17" s="169"/>
      <c r="GH17" s="169"/>
      <c r="GI17" s="169"/>
      <c r="GJ17" s="169"/>
      <c r="GK17" s="169"/>
      <c r="GL17" s="169"/>
      <c r="GM17" s="169"/>
      <c r="GN17" s="169"/>
      <c r="GO17" s="169"/>
      <c r="GP17" s="169"/>
      <c r="GQ17" s="169"/>
      <c r="GR17" s="169"/>
      <c r="GS17" s="169"/>
      <c r="GT17" s="169"/>
      <c r="GU17" s="169"/>
      <c r="GV17" s="169"/>
      <c r="GW17" s="169"/>
      <c r="GX17" s="169"/>
      <c r="GY17" s="169"/>
      <c r="GZ17" s="169"/>
      <c r="HA17" s="169"/>
      <c r="HB17" s="169"/>
      <c r="HC17" s="169"/>
      <c r="HD17" s="169"/>
      <c r="HE17" s="169"/>
      <c r="HF17" s="169"/>
      <c r="HG17" s="169"/>
      <c r="HH17" s="169"/>
      <c r="HI17" s="169"/>
      <c r="HJ17" s="169"/>
      <c r="HK17" s="169"/>
      <c r="HL17" s="169"/>
      <c r="HM17" s="169"/>
      <c r="HN17" s="169"/>
      <c r="HO17" s="169"/>
      <c r="HP17" s="169"/>
      <c r="HQ17" s="169"/>
      <c r="HR17" s="169"/>
      <c r="HS17" s="169"/>
      <c r="HT17" s="169"/>
      <c r="HU17" s="169"/>
      <c r="HV17" s="169"/>
      <c r="HW17" s="169"/>
      <c r="HX17" s="169"/>
      <c r="HY17" s="169"/>
      <c r="HZ17" s="169"/>
      <c r="IA17" s="169"/>
      <c r="IB17" s="169"/>
      <c r="IC17" s="169"/>
      <c r="ID17" s="169"/>
      <c r="IE17" s="169"/>
      <c r="IF17" s="169"/>
      <c r="IG17" s="169"/>
      <c r="IH17" s="169"/>
      <c r="II17" s="169"/>
      <c r="IJ17" s="169"/>
      <c r="IK17" s="169"/>
      <c r="IL17" s="169"/>
      <c r="IM17" s="169"/>
      <c r="IN17" s="169"/>
      <c r="IO17" s="169"/>
      <c r="IP17" s="169"/>
      <c r="IQ17" s="169"/>
      <c r="IR17" s="169"/>
      <c r="IS17" s="169"/>
      <c r="IT17" s="169"/>
      <c r="IU17" s="169"/>
      <c r="IV17" s="169"/>
      <c r="IW17" s="169"/>
      <c r="IX17" s="169"/>
      <c r="IY17" s="29">
        <v>1</v>
      </c>
      <c r="IZ17" s="40">
        <f>(TEXT(K17,"[m]")/60)*VLOOKUP(IY17,'Income Person-hours'!A$2:C$5,3,FALSE)</f>
        <v>0</v>
      </c>
      <c r="JA17" s="112"/>
      <c r="JB17" s="112"/>
      <c r="JC17" s="112"/>
      <c r="JD17" s="192">
        <f>SUM((TEXT(JA17,"[M]")/60)*'Income Person-hours'!$D$3,(TEXT(JB17,"[M]")/60)*'Income Person-hours'!$D$4,(TEXT(JC17,"[M]")/60)*'Income Person-hours'!$D$5)</f>
        <v>0</v>
      </c>
    </row>
    <row r="18" spans="1:264" s="191" customFormat="1" ht="11.25" hidden="1">
      <c r="A18" s="168">
        <v>1.6</v>
      </c>
      <c r="B18" s="106"/>
      <c r="C18" s="107"/>
      <c r="D18" s="169" t="str">
        <f>IF(OR(j_WEEKDAY(J_ADDDAY(VLOOKUP(I18,A:F,6,FALSE),H18,1),0)=6,SUMIFS(Holieday[ok],Holieday[date],J_ADDDAY(VLOOKUP(I18,A:F,6,FALSE),H18,1)))=FALSE(),J_ADDDAY(VLOOKUP(I18,A:F,6,FALSE),H18,1),IF(OR(j_WEEKDAY(J_ADDDAY(VLOOKUP(I18,A:F,6,FALSE),H18+1,1),0)=6,SUMIFS(Holieday[ok],Holieday[date],J_ADDDAY(VLOOKUP(I18,A:F,6,FALSE),H18+1,1)))=FALSE(),J_ADDDAY(VLOOKUP(I18,A:F,6,FALSE),H18+1,1),IF(OR(j_WEEKDAY(J_ADDDAY(VLOOKUP(I18,A:F,6,FALSE),H18+2,1),0)=6,SUMIFS(Holieday[ok],Holieday[date],J_ADDDAY(VLOOKUP(I18,A:F,6,FALSE),H18+2,1)))=FALSE(),J_ADDDAY(VLOOKUP(I18,A:F,6,FALSE),H18+2,1),IF(OR(j_WEEKDAY(J_ADDDAY(VLOOKUP(I18,A:F,6,FALSE),H18+3,1),0)=6,SUMIFS(Holieday[ok],Holieday[date],J_ADDDAY(VLOOKUP(I18,A:F,6,FALSE),H18+3,1)))=FALSE(),J_ADDDAY(VLOOKUP(I18,A:F,6,FALSE),H18+3,1),IF(OR(j_WEEKDAY(J_ADDDAY(VLOOKUP(I18,A:F,6,FALSE),H18+4,1),0)=6,SUMIFS(Holieday[ok],Holieday[date],J_ADDDAY(VLOOKUP(I18,A:F,6,FALSE),H18+4,1)))=FALSE(),J_ADDDAY(VLOOKUP(I18,A:F,6,FALSE),H18+4,1),J_ADDDAY(VLOOKUP(I18,A:F,6,FALSE),H18+5,1))))))</f>
        <v>1398/06/31</v>
      </c>
      <c r="E18" s="160">
        <f t="shared" si="4"/>
        <v>13980631</v>
      </c>
      <c r="F18" s="172" t="str">
        <f>IF(N18=0,J_SUBDAY(D18,1,1),IF((N18-(NETWORKDAYS.INTL(J_GregorianDate(D18,1),J_GregorianDate(J_SUBDAY(J_ADDDAY(D18,N18,1),1,1),1),16,1)))+SUMIFS(Holieday[ok],Holieday[date],CONCATENATE("&gt;","=",D18),Holieday[date],CONCATENATE("&lt;","=",J_SUBDAY(J_ADDDAY(D18,N18,1),1,1)))-SUMIFS(Holieday[Friday],Holieday[date],CONCATENATE("&gt;","=",D18),Holieday[date],CONCATENATE("&lt;","=",J_SUBDAY(J_ADDDAY(D18,N18,1),1,1)))=0,J_SUBDAY(J_ADDDAY(D18,N18,1),1,1),IF((N18+1-(NETWORKDAYS.INTL(J_GregorianDate(D18,1),J_GregorianDate(J_SUBDAY(J_ADDDAY(D18,N18+1,1),1,1),1),16,1)))+SUMIFS(Holieday[ok],Holieday[date],CONCATENATE("&gt;","=",D18),Holieday[date],CONCATENATE("&lt;","=",J_SUBDAY(J_ADDDAY(D18,N18+1,1),1,1)))-SUMIFS(Holieday[Friday],Holieday[date],CONCATENATE("&gt;","=",D18),Holieday[date],CONCATENATE("&lt;","=",J_SUBDAY(J_ADDDAY(D18,N18+1,1),1,1)))=1,J_SUBDAY(J_ADDDAY(D18,N18+1,1),1,1),IF((N18+2-(NETWORKDAYS.INTL(J_GregorianDate(D18,1),J_GregorianDate(J_SUBDAY(J_ADDDAY(D18,N18+2,1),1,1),1),16,1)))+SUMIFS(Holieday[ok],Holieday[date],CONCATENATE("&gt;","=",D18),Holieday[date],CONCATENATE("&lt;","=",J_SUBDAY(J_ADDDAY(D18,N18+2,1),1,1)))-SUMIFS(Holieday[Friday],Holieday[date],CONCATENATE("&gt;","=",D18),Holieday[date],CONCATENATE("&lt;","=",J_SUBDAY(J_ADDDAY(D18,N18+2,1),1,1)))=2,J_SUBDAY(J_ADDDAY(D18,N18+2,1),1,1),IF((N18+3-(NETWORKDAYS.INTL(J_GregorianDate(D18,1),J_GregorianDate(J_SUBDAY(J_ADDDAY(D18,N18+3,1),1,1),1),16,1)))+SUMIFS(Holieday[ok],Holieday[date],CONCATENATE("&gt;","=",D18),Holieday[date],CONCATENATE("&lt;","=",J_SUBDAY(J_ADDDAY(D18,N18+3,1),1,1)))-SUMIFS(Holieday[Friday],Holieday[date],CONCATENATE("&gt;","=",D18),Holieday[date],CONCATENATE("&lt;","=",J_SUBDAY(J_ADDDAY(D18,N18+3,1),1,1)))=3,J_SUBDAY(J_ADDDAY(D18,N18+3,1),1,1),IF((N18+4-(NETWORKDAYS.INTL(J_GregorianDate(D18,1),J_GregorianDate(J_SUBDAY(J_ADDDAY(D18,N18+4,1),1,1),1),16,1)))+SUMIFS(Holieday[ok],Holieday[date],CONCATENATE("&gt;","=",D18),Holieday[date],CONCATENATE("&lt;","=",J_SUBDAY(J_ADDDAY(D18,N18+4,1),1,1)))-SUMIFS(Holieday[Friday],Holieday[date],CONCATENATE("&gt;","=",D18),Holieday[date],CONCATENATE("&lt;","=",J_SUBDAY(J_ADDDAY(D18,N18+4,1),1,1)))=4,J_SUBDAY(J_ADDDAY(D18,N18+4,1),1,1),IF((N18+5-(NETWORKDAYS.INTL(J_GregorianDate(D18,1),J_GregorianDate(J_SUBDAY(J_ADDDAY(D18,N18+5,1),1,1),1),16,1)))+SUMIFS(Holieday[ok],Holieday[date],CONCATENATE("&gt;","=",D18),Holieday[date],CONCATENATE("&lt;","=",J_SUBDAY(J_ADDDAY(D18,N18+5,1),1,1)))-SUMIFS(Holieday[Friday],Holieday[date],CONCATENATE("&gt;","=",D18),Holieday[date],CONCATENATE("&lt;","=",J_SUBDAY(J_ADDDAY(D18,N18+5,1),1,1)))=5,J_SUBDAY(J_ADDDAY(D18,N18+5,1),1,1),J_SUBDAY(J_ADDDAY(D18,N18+6,1),1,1))))))))</f>
        <v>1398/06/30</v>
      </c>
      <c r="G18" s="163">
        <f t="shared" si="5"/>
        <v>13980630</v>
      </c>
      <c r="H18" s="109"/>
      <c r="I18" s="110">
        <v>1.1000000000000001</v>
      </c>
      <c r="J18" s="171">
        <f>j_WEEKDAY(D18,2)</f>
        <v>1</v>
      </c>
      <c r="K18" s="173">
        <f t="shared" si="7"/>
        <v>0</v>
      </c>
      <c r="L18" s="174">
        <f t="shared" si="8"/>
        <v>0</v>
      </c>
      <c r="M18" s="111">
        <v>1</v>
      </c>
      <c r="N18" s="108">
        <v>0</v>
      </c>
      <c r="O18" s="175">
        <f t="shared" si="9"/>
        <v>0</v>
      </c>
      <c r="P18" s="175">
        <f>VALUE(J_normdate(J_ADDDAY($D18,$O18,1)))</f>
        <v>13980631</v>
      </c>
      <c r="Q18" s="171">
        <f t="shared" si="10"/>
        <v>0</v>
      </c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  <c r="AG18" s="169"/>
      <c r="AH18" s="169"/>
      <c r="AI18" s="169"/>
      <c r="AJ18" s="169"/>
      <c r="AK18" s="169"/>
      <c r="AL18" s="169"/>
      <c r="AM18" s="169"/>
      <c r="AN18" s="169"/>
      <c r="AO18" s="169"/>
      <c r="AP18" s="169"/>
      <c r="AQ18" s="169"/>
      <c r="AR18" s="169"/>
      <c r="AS18" s="169"/>
      <c r="AT18" s="169"/>
      <c r="AU18" s="169"/>
      <c r="AV18" s="169"/>
      <c r="AW18" s="169"/>
      <c r="AX18" s="169"/>
      <c r="AY18" s="169"/>
      <c r="AZ18" s="169"/>
      <c r="BA18" s="169"/>
      <c r="BB18" s="169"/>
      <c r="BC18" s="169"/>
      <c r="BD18" s="169"/>
      <c r="BE18" s="169"/>
      <c r="BF18" s="169"/>
      <c r="BG18" s="169"/>
      <c r="BH18" s="169"/>
      <c r="BI18" s="169"/>
      <c r="BJ18" s="169"/>
      <c r="BK18" s="169"/>
      <c r="BL18" s="169"/>
      <c r="BM18" s="169"/>
      <c r="BN18" s="169"/>
      <c r="BO18" s="169"/>
      <c r="BP18" s="169"/>
      <c r="BQ18" s="169"/>
      <c r="BR18" s="169"/>
      <c r="BS18" s="169"/>
      <c r="BT18" s="169"/>
      <c r="BU18" s="169"/>
      <c r="BV18" s="169"/>
      <c r="BW18" s="169"/>
      <c r="BX18" s="169"/>
      <c r="BY18" s="169"/>
      <c r="BZ18" s="169"/>
      <c r="CA18" s="169"/>
      <c r="CB18" s="169"/>
      <c r="CC18" s="169"/>
      <c r="CD18" s="169"/>
      <c r="CE18" s="169"/>
      <c r="CF18" s="169"/>
      <c r="CG18" s="169"/>
      <c r="CH18" s="169"/>
      <c r="CI18" s="169"/>
      <c r="CJ18" s="169"/>
      <c r="CK18" s="169"/>
      <c r="CL18" s="169"/>
      <c r="CM18" s="169"/>
      <c r="CN18" s="169"/>
      <c r="CO18" s="169"/>
      <c r="CP18" s="169"/>
      <c r="CQ18" s="169"/>
      <c r="CR18" s="169"/>
      <c r="CS18" s="169"/>
      <c r="CT18" s="169"/>
      <c r="CU18" s="169"/>
      <c r="CV18" s="169"/>
      <c r="CW18" s="169"/>
      <c r="CX18" s="169"/>
      <c r="CY18" s="169"/>
      <c r="CZ18" s="169"/>
      <c r="DA18" s="169"/>
      <c r="DB18" s="169"/>
      <c r="DC18" s="169"/>
      <c r="DD18" s="169"/>
      <c r="DE18" s="169"/>
      <c r="DF18" s="169"/>
      <c r="DG18" s="169"/>
      <c r="DH18" s="169"/>
      <c r="DI18" s="169"/>
      <c r="DJ18" s="169"/>
      <c r="DK18" s="169"/>
      <c r="DL18" s="169"/>
      <c r="DM18" s="169"/>
      <c r="DN18" s="169"/>
      <c r="DO18" s="169"/>
      <c r="DP18" s="169"/>
      <c r="DQ18" s="169"/>
      <c r="DR18" s="169"/>
      <c r="DS18" s="169"/>
      <c r="DT18" s="169"/>
      <c r="DU18" s="169"/>
      <c r="DV18" s="169"/>
      <c r="DW18" s="169"/>
      <c r="DX18" s="169"/>
      <c r="DY18" s="169"/>
      <c r="DZ18" s="169"/>
      <c r="EA18" s="169"/>
      <c r="EB18" s="169"/>
      <c r="EC18" s="169"/>
      <c r="ED18" s="169"/>
      <c r="EE18" s="169"/>
      <c r="EF18" s="169"/>
      <c r="EG18" s="169"/>
      <c r="EH18" s="169"/>
      <c r="EI18" s="169"/>
      <c r="EJ18" s="169"/>
      <c r="EK18" s="169"/>
      <c r="EL18" s="169"/>
      <c r="EM18" s="169"/>
      <c r="EN18" s="169"/>
      <c r="EO18" s="169"/>
      <c r="EP18" s="169"/>
      <c r="EQ18" s="169"/>
      <c r="ER18" s="169"/>
      <c r="ES18" s="169"/>
      <c r="ET18" s="169"/>
      <c r="EU18" s="169"/>
      <c r="EV18" s="169"/>
      <c r="EW18" s="169"/>
      <c r="EX18" s="169"/>
      <c r="EY18" s="169"/>
      <c r="EZ18" s="169"/>
      <c r="FA18" s="169"/>
      <c r="FB18" s="169"/>
      <c r="FC18" s="169"/>
      <c r="FD18" s="169"/>
      <c r="FE18" s="169"/>
      <c r="FF18" s="169"/>
      <c r="FG18" s="169"/>
      <c r="FH18" s="169"/>
      <c r="FI18" s="169"/>
      <c r="FJ18" s="169"/>
      <c r="FK18" s="169"/>
      <c r="FL18" s="169"/>
      <c r="FM18" s="169"/>
      <c r="FN18" s="169"/>
      <c r="FO18" s="169"/>
      <c r="FP18" s="169"/>
      <c r="FQ18" s="169"/>
      <c r="FR18" s="169"/>
      <c r="FS18" s="169"/>
      <c r="FT18" s="169"/>
      <c r="FU18" s="169"/>
      <c r="FV18" s="169"/>
      <c r="FW18" s="169"/>
      <c r="FX18" s="169"/>
      <c r="FY18" s="169"/>
      <c r="FZ18" s="169"/>
      <c r="GA18" s="169"/>
      <c r="GB18" s="169"/>
      <c r="GC18" s="169"/>
      <c r="GD18" s="169"/>
      <c r="GE18" s="169"/>
      <c r="GF18" s="169"/>
      <c r="GG18" s="169"/>
      <c r="GH18" s="169"/>
      <c r="GI18" s="169"/>
      <c r="GJ18" s="169"/>
      <c r="GK18" s="169"/>
      <c r="GL18" s="169"/>
      <c r="GM18" s="169"/>
      <c r="GN18" s="169"/>
      <c r="GO18" s="169"/>
      <c r="GP18" s="169"/>
      <c r="GQ18" s="169"/>
      <c r="GR18" s="169"/>
      <c r="GS18" s="169"/>
      <c r="GT18" s="169"/>
      <c r="GU18" s="169"/>
      <c r="GV18" s="169"/>
      <c r="GW18" s="169"/>
      <c r="GX18" s="169"/>
      <c r="GY18" s="169"/>
      <c r="GZ18" s="169"/>
      <c r="HA18" s="169"/>
      <c r="HB18" s="169"/>
      <c r="HC18" s="169"/>
      <c r="HD18" s="169"/>
      <c r="HE18" s="169"/>
      <c r="HF18" s="169"/>
      <c r="HG18" s="169"/>
      <c r="HH18" s="169"/>
      <c r="HI18" s="169"/>
      <c r="HJ18" s="169"/>
      <c r="HK18" s="169"/>
      <c r="HL18" s="169"/>
      <c r="HM18" s="169"/>
      <c r="HN18" s="169"/>
      <c r="HO18" s="169"/>
      <c r="HP18" s="169"/>
      <c r="HQ18" s="169"/>
      <c r="HR18" s="169"/>
      <c r="HS18" s="169"/>
      <c r="HT18" s="169"/>
      <c r="HU18" s="169"/>
      <c r="HV18" s="169"/>
      <c r="HW18" s="169"/>
      <c r="HX18" s="169"/>
      <c r="HY18" s="169"/>
      <c r="HZ18" s="169"/>
      <c r="IA18" s="169"/>
      <c r="IB18" s="169"/>
      <c r="IC18" s="169"/>
      <c r="ID18" s="169"/>
      <c r="IE18" s="169"/>
      <c r="IF18" s="169"/>
      <c r="IG18" s="169"/>
      <c r="IH18" s="169"/>
      <c r="II18" s="169"/>
      <c r="IJ18" s="169"/>
      <c r="IK18" s="169"/>
      <c r="IL18" s="169"/>
      <c r="IM18" s="169"/>
      <c r="IN18" s="169"/>
      <c r="IO18" s="169"/>
      <c r="IP18" s="169"/>
      <c r="IQ18" s="169"/>
      <c r="IR18" s="169"/>
      <c r="IS18" s="169"/>
      <c r="IT18" s="169"/>
      <c r="IU18" s="169"/>
      <c r="IV18" s="169"/>
      <c r="IW18" s="169"/>
      <c r="IX18" s="169"/>
      <c r="IY18" s="29">
        <v>1</v>
      </c>
      <c r="IZ18" s="40">
        <f>(TEXT(K18,"[m]")/60)*VLOOKUP(IY18,'Income Person-hours'!A$2:C$5,3,FALSE)</f>
        <v>0</v>
      </c>
      <c r="JA18" s="112"/>
      <c r="JB18" s="112"/>
      <c r="JC18" s="112"/>
      <c r="JD18" s="192">
        <f>SUM((TEXT(JA18,"[M]")/60)*'Income Person-hours'!$D$3,(TEXT(JB18,"[M]")/60)*'Income Person-hours'!$D$4,(TEXT(JC18,"[M]")/60)*'Income Person-hours'!$D$5)</f>
        <v>0</v>
      </c>
    </row>
    <row r="19" spans="1:264" s="191" customFormat="1" ht="11.25" hidden="1">
      <c r="A19" s="176">
        <v>1.7</v>
      </c>
      <c r="B19" s="106"/>
      <c r="C19" s="107"/>
      <c r="D19" s="170" t="str">
        <f>IF(OR(j_WEEKDAY(J_ADDDAY(VLOOKUP(I19,A:F,6,FALSE),H19,1),0)=6,SUMIFS(Holieday[ok],Holieday[date],J_ADDDAY(VLOOKUP(I19,A:F,6,FALSE),H19,1)))=FALSE(),J_ADDDAY(VLOOKUP(I19,A:F,6,FALSE),H19,1),IF(OR(j_WEEKDAY(J_ADDDAY(VLOOKUP(I19,A:F,6,FALSE),H19+1,1),0)=6,SUMIFS(Holieday[ok],Holieday[date],J_ADDDAY(VLOOKUP(I19,A:F,6,FALSE),H19+1,1)))=FALSE(),J_ADDDAY(VLOOKUP(I19,A:F,6,FALSE),H19+1,1),IF(OR(j_WEEKDAY(J_ADDDAY(VLOOKUP(I19,A:F,6,FALSE),H19+2,1),0)=6,SUMIFS(Holieday[ok],Holieday[date],J_ADDDAY(VLOOKUP(I19,A:F,6,FALSE),H19+2,1)))=FALSE(),J_ADDDAY(VLOOKUP(I19,A:F,6,FALSE),H19+2,1),IF(OR(j_WEEKDAY(J_ADDDAY(VLOOKUP(I19,A:F,6,FALSE),H19+3,1),0)=6,SUMIFS(Holieday[ok],Holieday[date],J_ADDDAY(VLOOKUP(I19,A:F,6,FALSE),H19+3,1)))=FALSE(),J_ADDDAY(VLOOKUP(I19,A:F,6,FALSE),H19+3,1),IF(OR(j_WEEKDAY(J_ADDDAY(VLOOKUP(I19,A:F,6,FALSE),H19+4,1),0)=6,SUMIFS(Holieday[ok],Holieday[date],J_ADDDAY(VLOOKUP(I19,A:F,6,FALSE),H19+4,1)))=FALSE(),J_ADDDAY(VLOOKUP(I19,A:F,6,FALSE),H19+4,1),J_ADDDAY(VLOOKUP(I19,A:F,6,FALSE),H19+5,1))))))</f>
        <v>1398/06/31</v>
      </c>
      <c r="E19" s="160">
        <f t="shared" si="4"/>
        <v>13980631</v>
      </c>
      <c r="F19" s="171" t="str">
        <f>IF(N19=0,J_SUBDAY(D19,1,1),IF((N19-(NETWORKDAYS.INTL(J_GregorianDate(D19,1),J_GregorianDate(J_SUBDAY(J_ADDDAY(D19,N19,1),1,1),1),16,1)))+SUMIFS(Holieday[ok],Holieday[date],CONCATENATE("&gt;","=",D19),Holieday[date],CONCATENATE("&lt;","=",J_SUBDAY(J_ADDDAY(D19,N19,1),1,1)))-SUMIFS(Holieday[Friday],Holieday[date],CONCATENATE("&gt;","=",D19),Holieday[date],CONCATENATE("&lt;","=",J_SUBDAY(J_ADDDAY(D19,N19,1),1,1)))=0,J_SUBDAY(J_ADDDAY(D19,N19,1),1,1),IF((N19+1-(NETWORKDAYS.INTL(J_GregorianDate(D19,1),J_GregorianDate(J_SUBDAY(J_ADDDAY(D19,N19+1,1),1,1),1),16,1)))+SUMIFS(Holieday[ok],Holieday[date],CONCATENATE("&gt;","=",D19),Holieday[date],CONCATENATE("&lt;","=",J_SUBDAY(J_ADDDAY(D19,N19+1,1),1,1)))-SUMIFS(Holieday[Friday],Holieday[date],CONCATENATE("&gt;","=",D19),Holieday[date],CONCATENATE("&lt;","=",J_SUBDAY(J_ADDDAY(D19,N19+1,1),1,1)))=1,J_SUBDAY(J_ADDDAY(D19,N19+1,1),1,1),IF((N19+2-(NETWORKDAYS.INTL(J_GregorianDate(D19,1),J_GregorianDate(J_SUBDAY(J_ADDDAY(D19,N19+2,1),1,1),1),16,1)))+SUMIFS(Holieday[ok],Holieday[date],CONCATENATE("&gt;","=",D19),Holieday[date],CONCATENATE("&lt;","=",J_SUBDAY(J_ADDDAY(D19,N19+2,1),1,1)))-SUMIFS(Holieday[Friday],Holieday[date],CONCATENATE("&gt;","=",D19),Holieday[date],CONCATENATE("&lt;","=",J_SUBDAY(J_ADDDAY(D19,N19+2,1),1,1)))=2,J_SUBDAY(J_ADDDAY(D19,N19+2,1),1,1),IF((N19+3-(NETWORKDAYS.INTL(J_GregorianDate(D19,1),J_GregorianDate(J_SUBDAY(J_ADDDAY(D19,N19+3,1),1,1),1),16,1)))+SUMIFS(Holieday[ok],Holieday[date],CONCATENATE("&gt;","=",D19),Holieday[date],CONCATENATE("&lt;","=",J_SUBDAY(J_ADDDAY(D19,N19+3,1),1,1)))-SUMIFS(Holieday[Friday],Holieday[date],CONCATENATE("&gt;","=",D19),Holieday[date],CONCATENATE("&lt;","=",J_SUBDAY(J_ADDDAY(D19,N19+3,1),1,1)))=3,J_SUBDAY(J_ADDDAY(D19,N19+3,1),1,1),IF((N19+4-(NETWORKDAYS.INTL(J_GregorianDate(D19,1),J_GregorianDate(J_SUBDAY(J_ADDDAY(D19,N19+4,1),1,1),1),16,1)))+SUMIFS(Holieday[ok],Holieday[date],CONCATENATE("&gt;","=",D19),Holieday[date],CONCATENATE("&lt;","=",J_SUBDAY(J_ADDDAY(D19,N19+4,1),1,1)))-SUMIFS(Holieday[Friday],Holieday[date],CONCATENATE("&gt;","=",D19),Holieday[date],CONCATENATE("&lt;","=",J_SUBDAY(J_ADDDAY(D19,N19+4,1),1,1)))=4,J_SUBDAY(J_ADDDAY(D19,N19+4,1),1,1),IF((N19+5-(NETWORKDAYS.INTL(J_GregorianDate(D19,1),J_GregorianDate(J_SUBDAY(J_ADDDAY(D19,N19+5,1),1,1),1),16,1)))+SUMIFS(Holieday[ok],Holieday[date],CONCATENATE("&gt;","=",D19),Holieday[date],CONCATENATE("&lt;","=",J_SUBDAY(J_ADDDAY(D19,N19+5,1),1,1)))-SUMIFS(Holieday[Friday],Holieday[date],CONCATENATE("&gt;","=",D19),Holieday[date],CONCATENATE("&lt;","=",J_SUBDAY(J_ADDDAY(D19,N19+5,1),1,1)))=5,J_SUBDAY(J_ADDDAY(D19,N19+5,1),1,1),J_SUBDAY(J_ADDDAY(D19,N19+6,1),1,1))))))))</f>
        <v>1398/06/30</v>
      </c>
      <c r="G19" s="163">
        <f t="shared" si="5"/>
        <v>13980630</v>
      </c>
      <c r="H19" s="109"/>
      <c r="I19" s="110">
        <v>1.1000000000000001</v>
      </c>
      <c r="J19" s="171">
        <f>j_WEEKDAY(D19,2)</f>
        <v>1</v>
      </c>
      <c r="K19" s="173">
        <f t="shared" si="7"/>
        <v>0</v>
      </c>
      <c r="L19" s="174">
        <f t="shared" si="8"/>
        <v>0</v>
      </c>
      <c r="M19" s="111">
        <v>1</v>
      </c>
      <c r="N19" s="108">
        <v>0</v>
      </c>
      <c r="O19" s="175">
        <f t="shared" si="9"/>
        <v>0</v>
      </c>
      <c r="P19" s="175">
        <f>VALUE(J_normdate(J_ADDDAY($D19,$O19,1)))</f>
        <v>13980631</v>
      </c>
      <c r="Q19" s="171">
        <f t="shared" si="10"/>
        <v>0</v>
      </c>
      <c r="R19" s="169"/>
      <c r="S19" s="169"/>
      <c r="T19" s="169"/>
      <c r="U19" s="169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69"/>
      <c r="AX19" s="169"/>
      <c r="AY19" s="169"/>
      <c r="AZ19" s="169"/>
      <c r="BA19" s="169"/>
      <c r="BB19" s="169"/>
      <c r="BC19" s="169"/>
      <c r="BD19" s="169"/>
      <c r="BE19" s="169"/>
      <c r="BF19" s="169"/>
      <c r="BG19" s="169"/>
      <c r="BH19" s="169"/>
      <c r="BI19" s="169"/>
      <c r="BJ19" s="169"/>
      <c r="BK19" s="169"/>
      <c r="BL19" s="169"/>
      <c r="BM19" s="169"/>
      <c r="BN19" s="169"/>
      <c r="BO19" s="169"/>
      <c r="BP19" s="169"/>
      <c r="BQ19" s="169"/>
      <c r="BR19" s="169"/>
      <c r="BS19" s="169"/>
      <c r="BT19" s="169"/>
      <c r="BU19" s="169"/>
      <c r="BV19" s="169"/>
      <c r="BW19" s="169"/>
      <c r="BX19" s="169"/>
      <c r="BY19" s="169"/>
      <c r="BZ19" s="169"/>
      <c r="CA19" s="169"/>
      <c r="CB19" s="169"/>
      <c r="CC19" s="169"/>
      <c r="CD19" s="169"/>
      <c r="CE19" s="169"/>
      <c r="CF19" s="169"/>
      <c r="CG19" s="169"/>
      <c r="CH19" s="169"/>
      <c r="CI19" s="169"/>
      <c r="CJ19" s="169"/>
      <c r="CK19" s="169"/>
      <c r="CL19" s="169"/>
      <c r="CM19" s="169"/>
      <c r="CN19" s="169"/>
      <c r="CO19" s="169"/>
      <c r="CP19" s="169"/>
      <c r="CQ19" s="169"/>
      <c r="CR19" s="169"/>
      <c r="CS19" s="169"/>
      <c r="CT19" s="169"/>
      <c r="CU19" s="169"/>
      <c r="CV19" s="169"/>
      <c r="CW19" s="169"/>
      <c r="CX19" s="169"/>
      <c r="CY19" s="169"/>
      <c r="CZ19" s="169"/>
      <c r="DA19" s="169"/>
      <c r="DB19" s="169"/>
      <c r="DC19" s="169"/>
      <c r="DD19" s="169"/>
      <c r="DE19" s="169"/>
      <c r="DF19" s="169"/>
      <c r="DG19" s="169"/>
      <c r="DH19" s="169"/>
      <c r="DI19" s="169"/>
      <c r="DJ19" s="169"/>
      <c r="DK19" s="169"/>
      <c r="DL19" s="169"/>
      <c r="DM19" s="169"/>
      <c r="DN19" s="169"/>
      <c r="DO19" s="169"/>
      <c r="DP19" s="169"/>
      <c r="DQ19" s="169"/>
      <c r="DR19" s="169"/>
      <c r="DS19" s="169"/>
      <c r="DT19" s="169"/>
      <c r="DU19" s="169"/>
      <c r="DV19" s="169"/>
      <c r="DW19" s="169"/>
      <c r="DX19" s="169"/>
      <c r="DY19" s="169"/>
      <c r="DZ19" s="169"/>
      <c r="EA19" s="169"/>
      <c r="EB19" s="169"/>
      <c r="EC19" s="169"/>
      <c r="ED19" s="169"/>
      <c r="EE19" s="169"/>
      <c r="EF19" s="169"/>
      <c r="EG19" s="169"/>
      <c r="EH19" s="169"/>
      <c r="EI19" s="169"/>
      <c r="EJ19" s="169"/>
      <c r="EK19" s="169"/>
      <c r="EL19" s="169"/>
      <c r="EM19" s="169"/>
      <c r="EN19" s="169"/>
      <c r="EO19" s="169"/>
      <c r="EP19" s="169"/>
      <c r="EQ19" s="169"/>
      <c r="ER19" s="169"/>
      <c r="ES19" s="169"/>
      <c r="ET19" s="169"/>
      <c r="EU19" s="169"/>
      <c r="EV19" s="169"/>
      <c r="EW19" s="169"/>
      <c r="EX19" s="169"/>
      <c r="EY19" s="169"/>
      <c r="EZ19" s="169"/>
      <c r="FA19" s="169"/>
      <c r="FB19" s="169"/>
      <c r="FC19" s="169"/>
      <c r="FD19" s="169"/>
      <c r="FE19" s="169"/>
      <c r="FF19" s="169"/>
      <c r="FG19" s="169"/>
      <c r="FH19" s="169"/>
      <c r="FI19" s="169"/>
      <c r="FJ19" s="169"/>
      <c r="FK19" s="169"/>
      <c r="FL19" s="169"/>
      <c r="FM19" s="169"/>
      <c r="FN19" s="169"/>
      <c r="FO19" s="169"/>
      <c r="FP19" s="169"/>
      <c r="FQ19" s="169"/>
      <c r="FR19" s="169"/>
      <c r="FS19" s="169"/>
      <c r="FT19" s="169"/>
      <c r="FU19" s="169"/>
      <c r="FV19" s="169"/>
      <c r="FW19" s="169"/>
      <c r="FX19" s="169"/>
      <c r="FY19" s="169"/>
      <c r="FZ19" s="169"/>
      <c r="GA19" s="169"/>
      <c r="GB19" s="169"/>
      <c r="GC19" s="169"/>
      <c r="GD19" s="169"/>
      <c r="GE19" s="169"/>
      <c r="GF19" s="169"/>
      <c r="GG19" s="169"/>
      <c r="GH19" s="169"/>
      <c r="GI19" s="169"/>
      <c r="GJ19" s="169"/>
      <c r="GK19" s="169"/>
      <c r="GL19" s="169"/>
      <c r="GM19" s="169"/>
      <c r="GN19" s="169"/>
      <c r="GO19" s="169"/>
      <c r="GP19" s="169"/>
      <c r="GQ19" s="169"/>
      <c r="GR19" s="169"/>
      <c r="GS19" s="169"/>
      <c r="GT19" s="169"/>
      <c r="GU19" s="169"/>
      <c r="GV19" s="169"/>
      <c r="GW19" s="169"/>
      <c r="GX19" s="169"/>
      <c r="GY19" s="169"/>
      <c r="GZ19" s="169"/>
      <c r="HA19" s="169"/>
      <c r="HB19" s="169"/>
      <c r="HC19" s="169"/>
      <c r="HD19" s="169"/>
      <c r="HE19" s="169"/>
      <c r="HF19" s="169"/>
      <c r="HG19" s="169"/>
      <c r="HH19" s="169"/>
      <c r="HI19" s="169"/>
      <c r="HJ19" s="169"/>
      <c r="HK19" s="169"/>
      <c r="HL19" s="169"/>
      <c r="HM19" s="169"/>
      <c r="HN19" s="169"/>
      <c r="HO19" s="169"/>
      <c r="HP19" s="169"/>
      <c r="HQ19" s="169"/>
      <c r="HR19" s="169"/>
      <c r="HS19" s="169"/>
      <c r="HT19" s="169"/>
      <c r="HU19" s="169"/>
      <c r="HV19" s="169"/>
      <c r="HW19" s="169"/>
      <c r="HX19" s="169"/>
      <c r="HY19" s="169"/>
      <c r="HZ19" s="169"/>
      <c r="IA19" s="169"/>
      <c r="IB19" s="169"/>
      <c r="IC19" s="169"/>
      <c r="ID19" s="169"/>
      <c r="IE19" s="169"/>
      <c r="IF19" s="169"/>
      <c r="IG19" s="169"/>
      <c r="IH19" s="169"/>
      <c r="II19" s="169"/>
      <c r="IJ19" s="169"/>
      <c r="IK19" s="169"/>
      <c r="IL19" s="169"/>
      <c r="IM19" s="169"/>
      <c r="IN19" s="169"/>
      <c r="IO19" s="169"/>
      <c r="IP19" s="169"/>
      <c r="IQ19" s="169"/>
      <c r="IR19" s="169"/>
      <c r="IS19" s="169"/>
      <c r="IT19" s="169"/>
      <c r="IU19" s="169"/>
      <c r="IV19" s="169"/>
      <c r="IW19" s="169"/>
      <c r="IX19" s="169"/>
      <c r="IY19" s="29">
        <v>1</v>
      </c>
      <c r="IZ19" s="40">
        <f>(TEXT(K19,"[m]")/60)*VLOOKUP(IY19,'Income Person-hours'!A$2:C$5,3,FALSE)</f>
        <v>0</v>
      </c>
      <c r="JA19" s="112"/>
      <c r="JB19" s="112"/>
      <c r="JC19" s="112"/>
      <c r="JD19" s="192">
        <f>SUM((TEXT(JA19,"[M]")/60)*'Income Person-hours'!$D$3,(TEXT(JB19,"[M]")/60)*'Income Person-hours'!$D$4,(TEXT(JC19,"[M]")/60)*'Income Person-hours'!$D$5)</f>
        <v>0</v>
      </c>
    </row>
    <row r="20" spans="1:264" s="191" customFormat="1" ht="11.25" hidden="1">
      <c r="A20" s="176">
        <v>1.8</v>
      </c>
      <c r="B20" s="106"/>
      <c r="C20" s="107"/>
      <c r="D20" s="170" t="str">
        <f>IF(OR(j_WEEKDAY(J_ADDDAY(VLOOKUP(I20,A:F,6,FALSE),H20,1),0)=6,SUMIFS(Holieday[ok],Holieday[date],J_ADDDAY(VLOOKUP(I20,A:F,6,FALSE),H20,1)))=FALSE(),J_ADDDAY(VLOOKUP(I20,A:F,6,FALSE),H20,1),IF(OR(j_WEEKDAY(J_ADDDAY(VLOOKUP(I20,A:F,6,FALSE),H20+1,1),0)=6,SUMIFS(Holieday[ok],Holieday[date],J_ADDDAY(VLOOKUP(I20,A:F,6,FALSE),H20+1,1)))=FALSE(),J_ADDDAY(VLOOKUP(I20,A:F,6,FALSE),H20+1,1),IF(OR(j_WEEKDAY(J_ADDDAY(VLOOKUP(I20,A:F,6,FALSE),H20+2,1),0)=6,SUMIFS(Holieday[ok],Holieday[date],J_ADDDAY(VLOOKUP(I20,A:F,6,FALSE),H20+2,1)))=FALSE(),J_ADDDAY(VLOOKUP(I20,A:F,6,FALSE),H20+2,1),IF(OR(j_WEEKDAY(J_ADDDAY(VLOOKUP(I20,A:F,6,FALSE),H20+3,1),0)=6,SUMIFS(Holieday[ok],Holieday[date],J_ADDDAY(VLOOKUP(I20,A:F,6,FALSE),H20+3,1)))=FALSE(),J_ADDDAY(VLOOKUP(I20,A:F,6,FALSE),H20+3,1),IF(OR(j_WEEKDAY(J_ADDDAY(VLOOKUP(I20,A:F,6,FALSE),H20+4,1),0)=6,SUMIFS(Holieday[ok],Holieday[date],J_ADDDAY(VLOOKUP(I20,A:F,6,FALSE),H20+4,1)))=FALSE(),J_ADDDAY(VLOOKUP(I20,A:F,6,FALSE),H20+4,1),J_ADDDAY(VLOOKUP(I20,A:F,6,FALSE),H20+5,1))))))</f>
        <v>1398/06/31</v>
      </c>
      <c r="E20" s="160">
        <f t="shared" si="4"/>
        <v>13980631</v>
      </c>
      <c r="F20" s="171" t="str">
        <f>IF(N20=0,J_SUBDAY(D20,1,1),IF((N20-(NETWORKDAYS.INTL(J_GregorianDate(D20,1),J_GregorianDate(J_SUBDAY(J_ADDDAY(D20,N20,1),1,1),1),16,1)))+SUMIFS(Holieday[ok],Holieday[date],CONCATENATE("&gt;","=",D20),Holieday[date],CONCATENATE("&lt;","=",J_SUBDAY(J_ADDDAY(D20,N20,1),1,1)))-SUMIFS(Holieday[Friday],Holieday[date],CONCATENATE("&gt;","=",D20),Holieday[date],CONCATENATE("&lt;","=",J_SUBDAY(J_ADDDAY(D20,N20,1),1,1)))=0,J_SUBDAY(J_ADDDAY(D20,N20,1),1,1),IF((N20+1-(NETWORKDAYS.INTL(J_GregorianDate(D20,1),J_GregorianDate(J_SUBDAY(J_ADDDAY(D20,N20+1,1),1,1),1),16,1)))+SUMIFS(Holieday[ok],Holieday[date],CONCATENATE("&gt;","=",D20),Holieday[date],CONCATENATE("&lt;","=",J_SUBDAY(J_ADDDAY(D20,N20+1,1),1,1)))-SUMIFS(Holieday[Friday],Holieday[date],CONCATENATE("&gt;","=",D20),Holieday[date],CONCATENATE("&lt;","=",J_SUBDAY(J_ADDDAY(D20,N20+1,1),1,1)))=1,J_SUBDAY(J_ADDDAY(D20,N20+1,1),1,1),IF((N20+2-(NETWORKDAYS.INTL(J_GregorianDate(D20,1),J_GregorianDate(J_SUBDAY(J_ADDDAY(D20,N20+2,1),1,1),1),16,1)))+SUMIFS(Holieday[ok],Holieday[date],CONCATENATE("&gt;","=",D20),Holieday[date],CONCATENATE("&lt;","=",J_SUBDAY(J_ADDDAY(D20,N20+2,1),1,1)))-SUMIFS(Holieday[Friday],Holieday[date],CONCATENATE("&gt;","=",D20),Holieday[date],CONCATENATE("&lt;","=",J_SUBDAY(J_ADDDAY(D20,N20+2,1),1,1)))=2,J_SUBDAY(J_ADDDAY(D20,N20+2,1),1,1),IF((N20+3-(NETWORKDAYS.INTL(J_GregorianDate(D20,1),J_GregorianDate(J_SUBDAY(J_ADDDAY(D20,N20+3,1),1,1),1),16,1)))+SUMIFS(Holieday[ok],Holieday[date],CONCATENATE("&gt;","=",D20),Holieday[date],CONCATENATE("&lt;","=",J_SUBDAY(J_ADDDAY(D20,N20+3,1),1,1)))-SUMIFS(Holieday[Friday],Holieday[date],CONCATENATE("&gt;","=",D20),Holieday[date],CONCATENATE("&lt;","=",J_SUBDAY(J_ADDDAY(D20,N20+3,1),1,1)))=3,J_SUBDAY(J_ADDDAY(D20,N20+3,1),1,1),IF((N20+4-(NETWORKDAYS.INTL(J_GregorianDate(D20,1),J_GregorianDate(J_SUBDAY(J_ADDDAY(D20,N20+4,1),1,1),1),16,1)))+SUMIFS(Holieday[ok],Holieday[date],CONCATENATE("&gt;","=",D20),Holieday[date],CONCATENATE("&lt;","=",J_SUBDAY(J_ADDDAY(D20,N20+4,1),1,1)))-SUMIFS(Holieday[Friday],Holieday[date],CONCATENATE("&gt;","=",D20),Holieday[date],CONCATENATE("&lt;","=",J_SUBDAY(J_ADDDAY(D20,N20+4,1),1,1)))=4,J_SUBDAY(J_ADDDAY(D20,N20+4,1),1,1),IF((N20+5-(NETWORKDAYS.INTL(J_GregorianDate(D20,1),J_GregorianDate(J_SUBDAY(J_ADDDAY(D20,N20+5,1),1,1),1),16,1)))+SUMIFS(Holieday[ok],Holieday[date],CONCATENATE("&gt;","=",D20),Holieday[date],CONCATENATE("&lt;","=",J_SUBDAY(J_ADDDAY(D20,N20+5,1),1,1)))-SUMIFS(Holieday[Friday],Holieday[date],CONCATENATE("&gt;","=",D20),Holieday[date],CONCATENATE("&lt;","=",J_SUBDAY(J_ADDDAY(D20,N20+5,1),1,1)))=5,J_SUBDAY(J_ADDDAY(D20,N20+5,1),1,1),J_SUBDAY(J_ADDDAY(D20,N20+6,1),1,1))))))))</f>
        <v>1398/06/30</v>
      </c>
      <c r="G20" s="163">
        <f t="shared" si="5"/>
        <v>13980630</v>
      </c>
      <c r="H20" s="109"/>
      <c r="I20" s="110">
        <v>1.1000000000000001</v>
      </c>
      <c r="J20" s="171">
        <f>j_WEEKDAY(D20,2)</f>
        <v>1</v>
      </c>
      <c r="K20" s="173">
        <f t="shared" si="7"/>
        <v>0</v>
      </c>
      <c r="L20" s="174">
        <f t="shared" si="8"/>
        <v>0</v>
      </c>
      <c r="M20" s="111">
        <v>1</v>
      </c>
      <c r="N20" s="108">
        <v>0</v>
      </c>
      <c r="O20" s="175">
        <f t="shared" si="9"/>
        <v>0</v>
      </c>
      <c r="P20" s="175">
        <f>VALUE(J_normdate(J_ADDDAY($D20,$O20,1)))</f>
        <v>13980631</v>
      </c>
      <c r="Q20" s="171">
        <f t="shared" si="10"/>
        <v>0</v>
      </c>
      <c r="R20" s="169"/>
      <c r="S20" s="169"/>
      <c r="T20" s="169"/>
      <c r="U20" s="169"/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169"/>
      <c r="AL20" s="169"/>
      <c r="AM20" s="169"/>
      <c r="AN20" s="169"/>
      <c r="AO20" s="169"/>
      <c r="AP20" s="169"/>
      <c r="AQ20" s="169"/>
      <c r="AR20" s="169"/>
      <c r="AS20" s="169"/>
      <c r="AT20" s="169"/>
      <c r="AU20" s="169"/>
      <c r="AV20" s="169"/>
      <c r="AW20" s="169"/>
      <c r="AX20" s="169"/>
      <c r="AY20" s="169"/>
      <c r="AZ20" s="169"/>
      <c r="BA20" s="169"/>
      <c r="BB20" s="169"/>
      <c r="BC20" s="169"/>
      <c r="BD20" s="169"/>
      <c r="BE20" s="169"/>
      <c r="BF20" s="169"/>
      <c r="BG20" s="169"/>
      <c r="BH20" s="169"/>
      <c r="BI20" s="169"/>
      <c r="BJ20" s="169"/>
      <c r="BK20" s="169"/>
      <c r="BL20" s="169"/>
      <c r="BM20" s="169"/>
      <c r="BN20" s="169"/>
      <c r="BO20" s="169"/>
      <c r="BP20" s="169"/>
      <c r="BQ20" s="169"/>
      <c r="BR20" s="169"/>
      <c r="BS20" s="169"/>
      <c r="BT20" s="169"/>
      <c r="BU20" s="169"/>
      <c r="BV20" s="169"/>
      <c r="BW20" s="169"/>
      <c r="BX20" s="169"/>
      <c r="BY20" s="169"/>
      <c r="BZ20" s="169"/>
      <c r="CA20" s="169"/>
      <c r="CB20" s="169"/>
      <c r="CC20" s="169"/>
      <c r="CD20" s="169"/>
      <c r="CE20" s="169"/>
      <c r="CF20" s="169"/>
      <c r="CG20" s="169"/>
      <c r="CH20" s="169"/>
      <c r="CI20" s="169"/>
      <c r="CJ20" s="169"/>
      <c r="CK20" s="169"/>
      <c r="CL20" s="169"/>
      <c r="CM20" s="169"/>
      <c r="CN20" s="169"/>
      <c r="CO20" s="169"/>
      <c r="CP20" s="169"/>
      <c r="CQ20" s="169"/>
      <c r="CR20" s="169"/>
      <c r="CS20" s="169"/>
      <c r="CT20" s="169"/>
      <c r="CU20" s="169"/>
      <c r="CV20" s="169"/>
      <c r="CW20" s="169"/>
      <c r="CX20" s="169"/>
      <c r="CY20" s="169"/>
      <c r="CZ20" s="169"/>
      <c r="DA20" s="169"/>
      <c r="DB20" s="169"/>
      <c r="DC20" s="169"/>
      <c r="DD20" s="169"/>
      <c r="DE20" s="169"/>
      <c r="DF20" s="169"/>
      <c r="DG20" s="169"/>
      <c r="DH20" s="169"/>
      <c r="DI20" s="169"/>
      <c r="DJ20" s="169"/>
      <c r="DK20" s="169"/>
      <c r="DL20" s="169"/>
      <c r="DM20" s="169"/>
      <c r="DN20" s="169"/>
      <c r="DO20" s="169"/>
      <c r="DP20" s="169"/>
      <c r="DQ20" s="169"/>
      <c r="DR20" s="169"/>
      <c r="DS20" s="169"/>
      <c r="DT20" s="169"/>
      <c r="DU20" s="169"/>
      <c r="DV20" s="169"/>
      <c r="DW20" s="169"/>
      <c r="DX20" s="169"/>
      <c r="DY20" s="169"/>
      <c r="DZ20" s="169"/>
      <c r="EA20" s="169"/>
      <c r="EB20" s="169"/>
      <c r="EC20" s="169"/>
      <c r="ED20" s="169"/>
      <c r="EE20" s="169"/>
      <c r="EF20" s="169"/>
      <c r="EG20" s="169"/>
      <c r="EH20" s="169"/>
      <c r="EI20" s="169"/>
      <c r="EJ20" s="169"/>
      <c r="EK20" s="169"/>
      <c r="EL20" s="169"/>
      <c r="EM20" s="169"/>
      <c r="EN20" s="169"/>
      <c r="EO20" s="169"/>
      <c r="EP20" s="169"/>
      <c r="EQ20" s="169"/>
      <c r="ER20" s="169"/>
      <c r="ES20" s="169"/>
      <c r="ET20" s="169"/>
      <c r="EU20" s="169"/>
      <c r="EV20" s="169"/>
      <c r="EW20" s="169"/>
      <c r="EX20" s="169"/>
      <c r="EY20" s="169"/>
      <c r="EZ20" s="169"/>
      <c r="FA20" s="169"/>
      <c r="FB20" s="169"/>
      <c r="FC20" s="169"/>
      <c r="FD20" s="169"/>
      <c r="FE20" s="169"/>
      <c r="FF20" s="169"/>
      <c r="FG20" s="169"/>
      <c r="FH20" s="169"/>
      <c r="FI20" s="169"/>
      <c r="FJ20" s="169"/>
      <c r="FK20" s="169"/>
      <c r="FL20" s="169"/>
      <c r="FM20" s="169"/>
      <c r="FN20" s="169"/>
      <c r="FO20" s="169"/>
      <c r="FP20" s="169"/>
      <c r="FQ20" s="169"/>
      <c r="FR20" s="169"/>
      <c r="FS20" s="169"/>
      <c r="FT20" s="169"/>
      <c r="FU20" s="169"/>
      <c r="FV20" s="169"/>
      <c r="FW20" s="169"/>
      <c r="FX20" s="169"/>
      <c r="FY20" s="169"/>
      <c r="FZ20" s="169"/>
      <c r="GA20" s="169"/>
      <c r="GB20" s="169"/>
      <c r="GC20" s="169"/>
      <c r="GD20" s="169"/>
      <c r="GE20" s="169"/>
      <c r="GF20" s="169"/>
      <c r="GG20" s="169"/>
      <c r="GH20" s="169"/>
      <c r="GI20" s="169"/>
      <c r="GJ20" s="169"/>
      <c r="GK20" s="169"/>
      <c r="GL20" s="169"/>
      <c r="GM20" s="169"/>
      <c r="GN20" s="169"/>
      <c r="GO20" s="169"/>
      <c r="GP20" s="169"/>
      <c r="GQ20" s="169"/>
      <c r="GR20" s="169"/>
      <c r="GS20" s="169"/>
      <c r="GT20" s="169"/>
      <c r="GU20" s="169"/>
      <c r="GV20" s="169"/>
      <c r="GW20" s="169"/>
      <c r="GX20" s="169"/>
      <c r="GY20" s="169"/>
      <c r="GZ20" s="169"/>
      <c r="HA20" s="169"/>
      <c r="HB20" s="169"/>
      <c r="HC20" s="169"/>
      <c r="HD20" s="169"/>
      <c r="HE20" s="169"/>
      <c r="HF20" s="169"/>
      <c r="HG20" s="169"/>
      <c r="HH20" s="169"/>
      <c r="HI20" s="169"/>
      <c r="HJ20" s="169"/>
      <c r="HK20" s="169"/>
      <c r="HL20" s="169"/>
      <c r="HM20" s="169"/>
      <c r="HN20" s="169"/>
      <c r="HO20" s="169"/>
      <c r="HP20" s="169"/>
      <c r="HQ20" s="169"/>
      <c r="HR20" s="169"/>
      <c r="HS20" s="169"/>
      <c r="HT20" s="169"/>
      <c r="HU20" s="169"/>
      <c r="HV20" s="169"/>
      <c r="HW20" s="169"/>
      <c r="HX20" s="169"/>
      <c r="HY20" s="169"/>
      <c r="HZ20" s="169"/>
      <c r="IA20" s="169"/>
      <c r="IB20" s="169"/>
      <c r="IC20" s="169"/>
      <c r="ID20" s="169"/>
      <c r="IE20" s="169"/>
      <c r="IF20" s="169"/>
      <c r="IG20" s="169"/>
      <c r="IH20" s="169"/>
      <c r="II20" s="169"/>
      <c r="IJ20" s="169"/>
      <c r="IK20" s="169"/>
      <c r="IL20" s="169"/>
      <c r="IM20" s="169"/>
      <c r="IN20" s="169"/>
      <c r="IO20" s="169"/>
      <c r="IP20" s="169"/>
      <c r="IQ20" s="169"/>
      <c r="IR20" s="169"/>
      <c r="IS20" s="169"/>
      <c r="IT20" s="169"/>
      <c r="IU20" s="169"/>
      <c r="IV20" s="169"/>
      <c r="IW20" s="169"/>
      <c r="IX20" s="169"/>
      <c r="IY20" s="29">
        <v>1</v>
      </c>
      <c r="IZ20" s="40">
        <f>(TEXT(K20,"[m]")/60)*VLOOKUP(IY20,'Income Person-hours'!A$2:C$5,3,FALSE)</f>
        <v>0</v>
      </c>
      <c r="JA20" s="112"/>
      <c r="JB20" s="112"/>
      <c r="JC20" s="112"/>
      <c r="JD20" s="192">
        <f>SUM((TEXT(JA20,"[M]")/60)*'Income Person-hours'!$D$3,(TEXT(JB20,"[M]")/60)*'Income Person-hours'!$D$4,(TEXT(JC20,"[M]")/60)*'Income Person-hours'!$D$5)</f>
        <v>0</v>
      </c>
    </row>
    <row r="21" spans="1:264" s="11" customFormat="1" ht="11.25" hidden="1">
      <c r="A21" s="30">
        <v>1.9</v>
      </c>
      <c r="B21" s="106"/>
      <c r="C21" s="107"/>
      <c r="D21" s="7" t="str">
        <f>IF(OR(j_WEEKDAY(J_ADDDAY(VLOOKUP(I21,A:F,6,FALSE),H21,1),0)=6,SUMIFS(Holieday[ok],Holieday[date],J_ADDDAY(VLOOKUP(I21,A:F,6,FALSE),H21,1)))=FALSE(),J_ADDDAY(VLOOKUP(I21,A:F,6,FALSE),H21,1),IF(OR(j_WEEKDAY(J_ADDDAY(VLOOKUP(I21,A:F,6,FALSE),H21+1,1),0)=6,SUMIFS(Holieday[ok],Holieday[date],J_ADDDAY(VLOOKUP(I21,A:F,6,FALSE),H21+1,1)))=FALSE(),J_ADDDAY(VLOOKUP(I21,A:F,6,FALSE),H21+1,1),IF(OR(j_WEEKDAY(J_ADDDAY(VLOOKUP(I21,A:F,6,FALSE),H21+2,1),0)=6,SUMIFS(Holieday[ok],Holieday[date],J_ADDDAY(VLOOKUP(I21,A:F,6,FALSE),H21+2,1)))=FALSE(),J_ADDDAY(VLOOKUP(I21,A:F,6,FALSE),H21+2,1),IF(OR(j_WEEKDAY(J_ADDDAY(VLOOKUP(I21,A:F,6,FALSE),H21+3,1),0)=6,SUMIFS(Holieday[ok],Holieday[date],J_ADDDAY(VLOOKUP(I21,A:F,6,FALSE),H21+3,1)))=FALSE(),J_ADDDAY(VLOOKUP(I21,A:F,6,FALSE),H21+3,1),IF(OR(j_WEEKDAY(J_ADDDAY(VLOOKUP(I21,A:F,6,FALSE),H21+4,1),0)=6,SUMIFS(Holieday[ok],Holieday[date],J_ADDDAY(VLOOKUP(I21,A:F,6,FALSE),H21+4,1)))=FALSE(),J_ADDDAY(VLOOKUP(I21,A:F,6,FALSE),H21+4,1),J_ADDDAY(VLOOKUP(I21,A:F,6,FALSE),H21+5,1))))))</f>
        <v>1398/06/31</v>
      </c>
      <c r="E21" s="1">
        <f t="shared" si="4"/>
        <v>13980631</v>
      </c>
      <c r="F21" s="12" t="str">
        <f>IF(N21=0,J_SUBDAY(D21,1,1),IF((N21-(NETWORKDAYS.INTL(J_GregorianDate(D21,1),J_GregorianDate(J_SUBDAY(J_ADDDAY(D21,N21,1),1,1),1),16,1)))+SUMIFS(Holieday[ok],Holieday[date],CONCATENATE("&gt;","=",D21),Holieday[date],CONCATENATE("&lt;","=",J_SUBDAY(J_ADDDAY(D21,N21,1),1,1)))-SUMIFS(Holieday[Friday],Holieday[date],CONCATENATE("&gt;","=",D21),Holieday[date],CONCATENATE("&lt;","=",J_SUBDAY(J_ADDDAY(D21,N21,1),1,1)))=0,J_SUBDAY(J_ADDDAY(D21,N21,1),1,1),IF((N21+1-(NETWORKDAYS.INTL(J_GregorianDate(D21,1),J_GregorianDate(J_SUBDAY(J_ADDDAY(D21,N21+1,1),1,1),1),16,1)))+SUMIFS(Holieday[ok],Holieday[date],CONCATENATE("&gt;","=",D21),Holieday[date],CONCATENATE("&lt;","=",J_SUBDAY(J_ADDDAY(D21,N21+1,1),1,1)))-SUMIFS(Holieday[Friday],Holieday[date],CONCATENATE("&gt;","=",D21),Holieday[date],CONCATENATE("&lt;","=",J_SUBDAY(J_ADDDAY(D21,N21+1,1),1,1)))=1,J_SUBDAY(J_ADDDAY(D21,N21+1,1),1,1),IF((N21+2-(NETWORKDAYS.INTL(J_GregorianDate(D21,1),J_GregorianDate(J_SUBDAY(J_ADDDAY(D21,N21+2,1),1,1),1),16,1)))+SUMIFS(Holieday[ok],Holieday[date],CONCATENATE("&gt;","=",D21),Holieday[date],CONCATENATE("&lt;","=",J_SUBDAY(J_ADDDAY(D21,N21+2,1),1,1)))-SUMIFS(Holieday[Friday],Holieday[date],CONCATENATE("&gt;","=",D21),Holieday[date],CONCATENATE("&lt;","=",J_SUBDAY(J_ADDDAY(D21,N21+2,1),1,1)))=2,J_SUBDAY(J_ADDDAY(D21,N21+2,1),1,1),IF((N21+3-(NETWORKDAYS.INTL(J_GregorianDate(D21,1),J_GregorianDate(J_SUBDAY(J_ADDDAY(D21,N21+3,1),1,1),1),16,1)))+SUMIFS(Holieday[ok],Holieday[date],CONCATENATE("&gt;","=",D21),Holieday[date],CONCATENATE("&lt;","=",J_SUBDAY(J_ADDDAY(D21,N21+3,1),1,1)))-SUMIFS(Holieday[Friday],Holieday[date],CONCATENATE("&gt;","=",D21),Holieday[date],CONCATENATE("&lt;","=",J_SUBDAY(J_ADDDAY(D21,N21+3,1),1,1)))=3,J_SUBDAY(J_ADDDAY(D21,N21+3,1),1,1),IF((N21+4-(NETWORKDAYS.INTL(J_GregorianDate(D21,1),J_GregorianDate(J_SUBDAY(J_ADDDAY(D21,N21+4,1),1,1),1),16,1)))+SUMIFS(Holieday[ok],Holieday[date],CONCATENATE("&gt;","=",D21),Holieday[date],CONCATENATE("&lt;","=",J_SUBDAY(J_ADDDAY(D21,N21+4,1),1,1)))-SUMIFS(Holieday[Friday],Holieday[date],CONCATENATE("&gt;","=",D21),Holieday[date],CONCATENATE("&lt;","=",J_SUBDAY(J_ADDDAY(D21,N21+4,1),1,1)))=4,J_SUBDAY(J_ADDDAY(D21,N21+4,1),1,1),IF((N21+5-(NETWORKDAYS.INTL(J_GregorianDate(D21,1),J_GregorianDate(J_SUBDAY(J_ADDDAY(D21,N21+5,1),1,1),1),16,1)))+SUMIFS(Holieday[ok],Holieday[date],CONCATENATE("&gt;","=",D21),Holieday[date],CONCATENATE("&lt;","=",J_SUBDAY(J_ADDDAY(D21,N21+5,1),1,1)))-SUMIFS(Holieday[Friday],Holieday[date],CONCATENATE("&gt;","=",D21),Holieday[date],CONCATENATE("&lt;","=",J_SUBDAY(J_ADDDAY(D21,N21+5,1),1,1)))=5,J_SUBDAY(J_ADDDAY(D21,N21+5,1),1,1),J_SUBDAY(J_ADDDAY(D21,N21+6,1),1,1))))))))</f>
        <v>1398/06/30</v>
      </c>
      <c r="G21" s="2">
        <f t="shared" si="5"/>
        <v>13980630</v>
      </c>
      <c r="H21" s="109"/>
      <c r="I21" s="110">
        <v>1.1000000000000001</v>
      </c>
      <c r="J21" s="9">
        <f>j_WEEKDAY(D21,2)</f>
        <v>1</v>
      </c>
      <c r="K21" s="21">
        <f t="shared" si="7"/>
        <v>0</v>
      </c>
      <c r="L21" s="8">
        <f t="shared" si="8"/>
        <v>0</v>
      </c>
      <c r="M21" s="111">
        <v>1</v>
      </c>
      <c r="N21" s="108">
        <v>0</v>
      </c>
      <c r="O21" s="10">
        <f t="shared" si="9"/>
        <v>0</v>
      </c>
      <c r="P21" s="10">
        <f>VALUE(J_normdate(J_ADDDAY($D21,$O21,1)))</f>
        <v>13980631</v>
      </c>
      <c r="Q21" s="9">
        <f t="shared" si="10"/>
        <v>0</v>
      </c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29">
        <v>1</v>
      </c>
      <c r="IZ21" s="40">
        <f>(TEXT(K21,"[m]")/60)*VLOOKUP(IY21,'Income Person-hours'!A$2:C$5,3,FALSE)</f>
        <v>0</v>
      </c>
      <c r="JA21" s="113"/>
      <c r="JB21" s="113"/>
      <c r="JC21" s="113"/>
      <c r="JD21" s="66">
        <f>SUM((TEXT(JA21,"[M]")/60)*'Income Person-hours'!$D$3,(TEXT(JB21,"[M]")/60)*'Income Person-hours'!$D$4,(TEXT(JC21,"[M]")/60)*'Income Person-hours'!$D$5)</f>
        <v>0</v>
      </c>
    </row>
    <row r="22" spans="1:264" s="11" customFormat="1" ht="11.25" hidden="1">
      <c r="A22" s="30">
        <v>1.1100000000000001</v>
      </c>
      <c r="B22" s="106"/>
      <c r="C22" s="107"/>
      <c r="D22" s="7" t="str">
        <f>IF(OR(j_WEEKDAY(J_ADDDAY(VLOOKUP(I22,A:F,6,FALSE),H22,1),0)=6,SUMIFS(Holieday[ok],Holieday[date],J_ADDDAY(VLOOKUP(I22,A:F,6,FALSE),H22,1)))=FALSE(),J_ADDDAY(VLOOKUP(I22,A:F,6,FALSE),H22,1),IF(OR(j_WEEKDAY(J_ADDDAY(VLOOKUP(I22,A:F,6,FALSE),H22+1,1),0)=6,SUMIFS(Holieday[ok],Holieday[date],J_ADDDAY(VLOOKUP(I22,A:F,6,FALSE),H22+1,1)))=FALSE(),J_ADDDAY(VLOOKUP(I22,A:F,6,FALSE),H22+1,1),IF(OR(j_WEEKDAY(J_ADDDAY(VLOOKUP(I22,A:F,6,FALSE),H22+2,1),0)=6,SUMIFS(Holieday[ok],Holieday[date],J_ADDDAY(VLOOKUP(I22,A:F,6,FALSE),H22+2,1)))=FALSE(),J_ADDDAY(VLOOKUP(I22,A:F,6,FALSE),H22+2,1),IF(OR(j_WEEKDAY(J_ADDDAY(VLOOKUP(I22,A:F,6,FALSE),H22+3,1),0)=6,SUMIFS(Holieday[ok],Holieday[date],J_ADDDAY(VLOOKUP(I22,A:F,6,FALSE),H22+3,1)))=FALSE(),J_ADDDAY(VLOOKUP(I22,A:F,6,FALSE),H22+3,1),IF(OR(j_WEEKDAY(J_ADDDAY(VLOOKUP(I22,A:F,6,FALSE),H22+4,1),0)=6,SUMIFS(Holieday[ok],Holieday[date],J_ADDDAY(VLOOKUP(I22,A:F,6,FALSE),H22+4,1)))=FALSE(),J_ADDDAY(VLOOKUP(I22,A:F,6,FALSE),H22+4,1),J_ADDDAY(VLOOKUP(I22,A:F,6,FALSE),H22+5,1))))))</f>
        <v>1398/06/31</v>
      </c>
      <c r="E22" s="1">
        <f t="shared" si="4"/>
        <v>13980631</v>
      </c>
      <c r="F22" s="12" t="str">
        <f>IF(N22=0,J_SUBDAY(D22,1,1),IF((N22-(NETWORKDAYS.INTL(J_GregorianDate(D22,1),J_GregorianDate(J_SUBDAY(J_ADDDAY(D22,N22,1),1,1),1),16,1)))+SUMIFS(Holieday[ok],Holieday[date],CONCATENATE("&gt;","=",D22),Holieday[date],CONCATENATE("&lt;","=",J_SUBDAY(J_ADDDAY(D22,N22,1),1,1)))-SUMIFS(Holieday[Friday],Holieday[date],CONCATENATE("&gt;","=",D22),Holieday[date],CONCATENATE("&lt;","=",J_SUBDAY(J_ADDDAY(D22,N22,1),1,1)))=0,J_SUBDAY(J_ADDDAY(D22,N22,1),1,1),IF((N22+1-(NETWORKDAYS.INTL(J_GregorianDate(D22,1),J_GregorianDate(J_SUBDAY(J_ADDDAY(D22,N22+1,1),1,1),1),16,1)))+SUMIFS(Holieday[ok],Holieday[date],CONCATENATE("&gt;","=",D22),Holieday[date],CONCATENATE("&lt;","=",J_SUBDAY(J_ADDDAY(D22,N22+1,1),1,1)))-SUMIFS(Holieday[Friday],Holieday[date],CONCATENATE("&gt;","=",D22),Holieday[date],CONCATENATE("&lt;","=",J_SUBDAY(J_ADDDAY(D22,N22+1,1),1,1)))=1,J_SUBDAY(J_ADDDAY(D22,N22+1,1),1,1),IF((N22+2-(NETWORKDAYS.INTL(J_GregorianDate(D22,1),J_GregorianDate(J_SUBDAY(J_ADDDAY(D22,N22+2,1),1,1),1),16,1)))+SUMIFS(Holieday[ok],Holieday[date],CONCATENATE("&gt;","=",D22),Holieday[date],CONCATENATE("&lt;","=",J_SUBDAY(J_ADDDAY(D22,N22+2,1),1,1)))-SUMIFS(Holieday[Friday],Holieday[date],CONCATENATE("&gt;","=",D22),Holieday[date],CONCATENATE("&lt;","=",J_SUBDAY(J_ADDDAY(D22,N22+2,1),1,1)))=2,J_SUBDAY(J_ADDDAY(D22,N22+2,1),1,1),IF((N22+3-(NETWORKDAYS.INTL(J_GregorianDate(D22,1),J_GregorianDate(J_SUBDAY(J_ADDDAY(D22,N22+3,1),1,1),1),16,1)))+SUMIFS(Holieday[ok],Holieday[date],CONCATENATE("&gt;","=",D22),Holieday[date],CONCATENATE("&lt;","=",J_SUBDAY(J_ADDDAY(D22,N22+3,1),1,1)))-SUMIFS(Holieday[Friday],Holieday[date],CONCATENATE("&gt;","=",D22),Holieday[date],CONCATENATE("&lt;","=",J_SUBDAY(J_ADDDAY(D22,N22+3,1),1,1)))=3,J_SUBDAY(J_ADDDAY(D22,N22+3,1),1,1),IF((N22+4-(NETWORKDAYS.INTL(J_GregorianDate(D22,1),J_GregorianDate(J_SUBDAY(J_ADDDAY(D22,N22+4,1),1,1),1),16,1)))+SUMIFS(Holieday[ok],Holieday[date],CONCATENATE("&gt;","=",D22),Holieday[date],CONCATENATE("&lt;","=",J_SUBDAY(J_ADDDAY(D22,N22+4,1),1,1)))-SUMIFS(Holieday[Friday],Holieday[date],CONCATENATE("&gt;","=",D22),Holieday[date],CONCATENATE("&lt;","=",J_SUBDAY(J_ADDDAY(D22,N22+4,1),1,1)))=4,J_SUBDAY(J_ADDDAY(D22,N22+4,1),1,1),IF((N22+5-(NETWORKDAYS.INTL(J_GregorianDate(D22,1),J_GregorianDate(J_SUBDAY(J_ADDDAY(D22,N22+5,1),1,1),1),16,1)))+SUMIFS(Holieday[ok],Holieday[date],CONCATENATE("&gt;","=",D22),Holieday[date],CONCATENATE("&lt;","=",J_SUBDAY(J_ADDDAY(D22,N22+5,1),1,1)))-SUMIFS(Holieday[Friday],Holieday[date],CONCATENATE("&gt;","=",D22),Holieday[date],CONCATENATE("&lt;","=",J_SUBDAY(J_ADDDAY(D22,N22+5,1),1,1)))=5,J_SUBDAY(J_ADDDAY(D22,N22+5,1),1,1),J_SUBDAY(J_ADDDAY(D22,N22+6,1),1,1))))))))</f>
        <v>1398/06/30</v>
      </c>
      <c r="G22" s="2">
        <f t="shared" si="5"/>
        <v>13980630</v>
      </c>
      <c r="H22" s="109"/>
      <c r="I22" s="110">
        <v>1.1000000000000001</v>
      </c>
      <c r="J22" s="9">
        <f>j_WEEKDAY(D22,2)</f>
        <v>1</v>
      </c>
      <c r="K22" s="21">
        <f t="shared" si="7"/>
        <v>0</v>
      </c>
      <c r="L22" s="8">
        <f t="shared" si="8"/>
        <v>0</v>
      </c>
      <c r="M22" s="111">
        <v>1</v>
      </c>
      <c r="N22" s="108">
        <v>0</v>
      </c>
      <c r="O22" s="10">
        <f t="shared" si="9"/>
        <v>0</v>
      </c>
      <c r="P22" s="10">
        <f>VALUE(J_normdate(J_ADDDAY($D22,$O22,1)))</f>
        <v>13980631</v>
      </c>
      <c r="Q22" s="9">
        <f t="shared" si="10"/>
        <v>0</v>
      </c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29">
        <v>1</v>
      </c>
      <c r="IZ22" s="29"/>
      <c r="JA22" s="113"/>
      <c r="JB22" s="113"/>
      <c r="JC22" s="113"/>
      <c r="JD22" s="66">
        <f>SUM((TEXT(JA22,"[M]")/60)*'Income Person-hours'!$D$3,(TEXT(JB22,"[M]")/60)*'Income Person-hours'!$D$4,(TEXT(JC22,"[M]")/60)*'Income Person-hours'!$D$5)</f>
        <v>0</v>
      </c>
    </row>
    <row r="23" spans="1:264" s="11" customFormat="1" ht="11.25" hidden="1">
      <c r="A23" s="30">
        <v>1.1200000000000001</v>
      </c>
      <c r="B23" s="106"/>
      <c r="C23" s="107"/>
      <c r="D23" s="7" t="str">
        <f>IF(OR(j_WEEKDAY(J_ADDDAY(VLOOKUP(I23,A:F,6,FALSE),H23,1),0)=6,SUMIFS(Holieday[ok],Holieday[date],J_ADDDAY(VLOOKUP(I23,A:F,6,FALSE),H23,1)))=FALSE(),J_ADDDAY(VLOOKUP(I23,A:F,6,FALSE),H23,1),IF(OR(j_WEEKDAY(J_ADDDAY(VLOOKUP(I23,A:F,6,FALSE),H23+1,1),0)=6,SUMIFS(Holieday[ok],Holieday[date],J_ADDDAY(VLOOKUP(I23,A:F,6,FALSE),H23+1,1)))=FALSE(),J_ADDDAY(VLOOKUP(I23,A:F,6,FALSE),H23+1,1),IF(OR(j_WEEKDAY(J_ADDDAY(VLOOKUP(I23,A:F,6,FALSE),H23+2,1),0)=6,SUMIFS(Holieday[ok],Holieday[date],J_ADDDAY(VLOOKUP(I23,A:F,6,FALSE),H23+2,1)))=FALSE(),J_ADDDAY(VLOOKUP(I23,A:F,6,FALSE),H23+2,1),IF(OR(j_WEEKDAY(J_ADDDAY(VLOOKUP(I23,A:F,6,FALSE),H23+3,1),0)=6,SUMIFS(Holieday[ok],Holieday[date],J_ADDDAY(VLOOKUP(I23,A:F,6,FALSE),H23+3,1)))=FALSE(),J_ADDDAY(VLOOKUP(I23,A:F,6,FALSE),H23+3,1),IF(OR(j_WEEKDAY(J_ADDDAY(VLOOKUP(I23,A:F,6,FALSE),H23+4,1),0)=6,SUMIFS(Holieday[ok],Holieday[date],J_ADDDAY(VLOOKUP(I23,A:F,6,FALSE),H23+4,1)))=FALSE(),J_ADDDAY(VLOOKUP(I23,A:F,6,FALSE),H23+4,1),J_ADDDAY(VLOOKUP(I23,A:F,6,FALSE),H23+5,1))))))</f>
        <v>1398/06/31</v>
      </c>
      <c r="E23" s="1">
        <f t="shared" si="4"/>
        <v>13980631</v>
      </c>
      <c r="F23" s="12" t="str">
        <f>IF(N23=0,J_SUBDAY(D23,1,1),IF((N23-(NETWORKDAYS.INTL(J_GregorianDate(D23,1),J_GregorianDate(J_SUBDAY(J_ADDDAY(D23,N23,1),1,1),1),16,1)))+SUMIFS(Holieday[ok],Holieday[date],CONCATENATE("&gt;","=",D23),Holieday[date],CONCATENATE("&lt;","=",J_SUBDAY(J_ADDDAY(D23,N23,1),1,1)))-SUMIFS(Holieday[Friday],Holieday[date],CONCATENATE("&gt;","=",D23),Holieday[date],CONCATENATE("&lt;","=",J_SUBDAY(J_ADDDAY(D23,N23,1),1,1)))=0,J_SUBDAY(J_ADDDAY(D23,N23,1),1,1),IF((N23+1-(NETWORKDAYS.INTL(J_GregorianDate(D23,1),J_GregorianDate(J_SUBDAY(J_ADDDAY(D23,N23+1,1),1,1),1),16,1)))+SUMIFS(Holieday[ok],Holieday[date],CONCATENATE("&gt;","=",D23),Holieday[date],CONCATENATE("&lt;","=",J_SUBDAY(J_ADDDAY(D23,N23+1,1),1,1)))-SUMIFS(Holieday[Friday],Holieday[date],CONCATENATE("&gt;","=",D23),Holieday[date],CONCATENATE("&lt;","=",J_SUBDAY(J_ADDDAY(D23,N23+1,1),1,1)))=1,J_SUBDAY(J_ADDDAY(D23,N23+1,1),1,1),IF((N23+2-(NETWORKDAYS.INTL(J_GregorianDate(D23,1),J_GregorianDate(J_SUBDAY(J_ADDDAY(D23,N23+2,1),1,1),1),16,1)))+SUMIFS(Holieday[ok],Holieday[date],CONCATENATE("&gt;","=",D23),Holieday[date],CONCATENATE("&lt;","=",J_SUBDAY(J_ADDDAY(D23,N23+2,1),1,1)))-SUMIFS(Holieday[Friday],Holieday[date],CONCATENATE("&gt;","=",D23),Holieday[date],CONCATENATE("&lt;","=",J_SUBDAY(J_ADDDAY(D23,N23+2,1),1,1)))=2,J_SUBDAY(J_ADDDAY(D23,N23+2,1),1,1),IF((N23+3-(NETWORKDAYS.INTL(J_GregorianDate(D23,1),J_GregorianDate(J_SUBDAY(J_ADDDAY(D23,N23+3,1),1,1),1),16,1)))+SUMIFS(Holieday[ok],Holieday[date],CONCATENATE("&gt;","=",D23),Holieday[date],CONCATENATE("&lt;","=",J_SUBDAY(J_ADDDAY(D23,N23+3,1),1,1)))-SUMIFS(Holieday[Friday],Holieday[date],CONCATENATE("&gt;","=",D23),Holieday[date],CONCATENATE("&lt;","=",J_SUBDAY(J_ADDDAY(D23,N23+3,1),1,1)))=3,J_SUBDAY(J_ADDDAY(D23,N23+3,1),1,1),IF((N23+4-(NETWORKDAYS.INTL(J_GregorianDate(D23,1),J_GregorianDate(J_SUBDAY(J_ADDDAY(D23,N23+4,1),1,1),1),16,1)))+SUMIFS(Holieday[ok],Holieday[date],CONCATENATE("&gt;","=",D23),Holieday[date],CONCATENATE("&lt;","=",J_SUBDAY(J_ADDDAY(D23,N23+4,1),1,1)))-SUMIFS(Holieday[Friday],Holieday[date],CONCATENATE("&gt;","=",D23),Holieday[date],CONCATENATE("&lt;","=",J_SUBDAY(J_ADDDAY(D23,N23+4,1),1,1)))=4,J_SUBDAY(J_ADDDAY(D23,N23+4,1),1,1),IF((N23+5-(NETWORKDAYS.INTL(J_GregorianDate(D23,1),J_GregorianDate(J_SUBDAY(J_ADDDAY(D23,N23+5,1),1,1),1),16,1)))+SUMIFS(Holieday[ok],Holieday[date],CONCATENATE("&gt;","=",D23),Holieday[date],CONCATENATE("&lt;","=",J_SUBDAY(J_ADDDAY(D23,N23+5,1),1,1)))-SUMIFS(Holieday[Friday],Holieday[date],CONCATENATE("&gt;","=",D23),Holieday[date],CONCATENATE("&lt;","=",J_SUBDAY(J_ADDDAY(D23,N23+5,1),1,1)))=5,J_SUBDAY(J_ADDDAY(D23,N23+5,1),1,1),J_SUBDAY(J_ADDDAY(D23,N23+6,1),1,1))))))))</f>
        <v>1398/06/30</v>
      </c>
      <c r="G23" s="2">
        <f t="shared" si="5"/>
        <v>13980630</v>
      </c>
      <c r="H23" s="109"/>
      <c r="I23" s="110">
        <v>1.1000000000000001</v>
      </c>
      <c r="J23" s="9">
        <f>j_WEEKDAY(D23,2)</f>
        <v>1</v>
      </c>
      <c r="K23" s="21">
        <f t="shared" si="7"/>
        <v>0</v>
      </c>
      <c r="L23" s="8">
        <f t="shared" si="8"/>
        <v>0</v>
      </c>
      <c r="M23" s="111">
        <v>0</v>
      </c>
      <c r="N23" s="108">
        <v>0</v>
      </c>
      <c r="O23" s="10">
        <f t="shared" si="9"/>
        <v>0</v>
      </c>
      <c r="P23" s="10">
        <f>VALUE(J_normdate(J_ADDDAY($D23,$O23,1)))</f>
        <v>13980631</v>
      </c>
      <c r="Q23" s="9">
        <f t="shared" si="10"/>
        <v>0</v>
      </c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29">
        <v>1</v>
      </c>
      <c r="IZ23" s="29"/>
      <c r="JA23" s="113"/>
      <c r="JB23" s="113"/>
      <c r="JC23" s="113"/>
      <c r="JD23" s="66">
        <f>SUM((TEXT(JA23,"[M]")/60)*'Income Person-hours'!$D$3,(TEXT(JB23,"[M]")/60)*'Income Person-hours'!$D$4,(TEXT(JC23,"[M]")/60)*'Income Person-hours'!$D$5)</f>
        <v>0</v>
      </c>
    </row>
    <row r="24" spans="1:264" s="11" customFormat="1" ht="11.25" hidden="1">
      <c r="A24" s="30">
        <v>1.1299999999999999</v>
      </c>
      <c r="B24" s="106"/>
      <c r="C24" s="107"/>
      <c r="D24" s="7" t="str">
        <f>IF(OR(j_WEEKDAY(J_ADDDAY(VLOOKUP(I24,A:F,6,FALSE),H24,1),0)=6,SUMIFS(Holieday[ok],Holieday[date],J_ADDDAY(VLOOKUP(I24,A:F,6,FALSE),H24,1)))=FALSE(),J_ADDDAY(VLOOKUP(I24,A:F,6,FALSE),H24,1),IF(OR(j_WEEKDAY(J_ADDDAY(VLOOKUP(I24,A:F,6,FALSE),H24+1,1),0)=6,SUMIFS(Holieday[ok],Holieday[date],J_ADDDAY(VLOOKUP(I24,A:F,6,FALSE),H24+1,1)))=FALSE(),J_ADDDAY(VLOOKUP(I24,A:F,6,FALSE),H24+1,1),IF(OR(j_WEEKDAY(J_ADDDAY(VLOOKUP(I24,A:F,6,FALSE),H24+2,1),0)=6,SUMIFS(Holieday[ok],Holieday[date],J_ADDDAY(VLOOKUP(I24,A:F,6,FALSE),H24+2,1)))=FALSE(),J_ADDDAY(VLOOKUP(I24,A:F,6,FALSE),H24+2,1),IF(OR(j_WEEKDAY(J_ADDDAY(VLOOKUP(I24,A:F,6,FALSE),H24+3,1),0)=6,SUMIFS(Holieday[ok],Holieday[date],J_ADDDAY(VLOOKUP(I24,A:F,6,FALSE),H24+3,1)))=FALSE(),J_ADDDAY(VLOOKUP(I24,A:F,6,FALSE),H24+3,1),IF(OR(j_WEEKDAY(J_ADDDAY(VLOOKUP(I24,A:F,6,FALSE),H24+4,1),0)=6,SUMIFS(Holieday[ok],Holieday[date],J_ADDDAY(VLOOKUP(I24,A:F,6,FALSE),H24+4,1)))=FALSE(),J_ADDDAY(VLOOKUP(I24,A:F,6,FALSE),H24+4,1),J_ADDDAY(VLOOKUP(I24,A:F,6,FALSE),H24+5,1))))))</f>
        <v>1398/06/31</v>
      </c>
      <c r="E24" s="1">
        <f t="shared" si="4"/>
        <v>13980631</v>
      </c>
      <c r="F24" s="12" t="str">
        <f>IF(N24=0,J_SUBDAY(D24,1,1),IF((N24-(NETWORKDAYS.INTL(J_GregorianDate(D24,1),J_GregorianDate(J_SUBDAY(J_ADDDAY(D24,N24,1),1,1),1),16,1)))+SUMIFS(Holieday[ok],Holieday[date],CONCATENATE("&gt;","=",D24),Holieday[date],CONCATENATE("&lt;","=",J_SUBDAY(J_ADDDAY(D24,N24,1),1,1)))-SUMIFS(Holieday[Friday],Holieday[date],CONCATENATE("&gt;","=",D24),Holieday[date],CONCATENATE("&lt;","=",J_SUBDAY(J_ADDDAY(D24,N24,1),1,1)))=0,J_SUBDAY(J_ADDDAY(D24,N24,1),1,1),IF((N24+1-(NETWORKDAYS.INTL(J_GregorianDate(D24,1),J_GregorianDate(J_SUBDAY(J_ADDDAY(D24,N24+1,1),1,1),1),16,1)))+SUMIFS(Holieday[ok],Holieday[date],CONCATENATE("&gt;","=",D24),Holieday[date],CONCATENATE("&lt;","=",J_SUBDAY(J_ADDDAY(D24,N24+1,1),1,1)))-SUMIFS(Holieday[Friday],Holieday[date],CONCATENATE("&gt;","=",D24),Holieday[date],CONCATENATE("&lt;","=",J_SUBDAY(J_ADDDAY(D24,N24+1,1),1,1)))=1,J_SUBDAY(J_ADDDAY(D24,N24+1,1),1,1),IF((N24+2-(NETWORKDAYS.INTL(J_GregorianDate(D24,1),J_GregorianDate(J_SUBDAY(J_ADDDAY(D24,N24+2,1),1,1),1),16,1)))+SUMIFS(Holieday[ok],Holieday[date],CONCATENATE("&gt;","=",D24),Holieday[date],CONCATENATE("&lt;","=",J_SUBDAY(J_ADDDAY(D24,N24+2,1),1,1)))-SUMIFS(Holieday[Friday],Holieday[date],CONCATENATE("&gt;","=",D24),Holieday[date],CONCATENATE("&lt;","=",J_SUBDAY(J_ADDDAY(D24,N24+2,1),1,1)))=2,J_SUBDAY(J_ADDDAY(D24,N24+2,1),1,1),IF((N24+3-(NETWORKDAYS.INTL(J_GregorianDate(D24,1),J_GregorianDate(J_SUBDAY(J_ADDDAY(D24,N24+3,1),1,1),1),16,1)))+SUMIFS(Holieday[ok],Holieday[date],CONCATENATE("&gt;","=",D24),Holieday[date],CONCATENATE("&lt;","=",J_SUBDAY(J_ADDDAY(D24,N24+3,1),1,1)))-SUMIFS(Holieday[Friday],Holieday[date],CONCATENATE("&gt;","=",D24),Holieday[date],CONCATENATE("&lt;","=",J_SUBDAY(J_ADDDAY(D24,N24+3,1),1,1)))=3,J_SUBDAY(J_ADDDAY(D24,N24+3,1),1,1),IF((N24+4-(NETWORKDAYS.INTL(J_GregorianDate(D24,1),J_GregorianDate(J_SUBDAY(J_ADDDAY(D24,N24+4,1),1,1),1),16,1)))+SUMIFS(Holieday[ok],Holieday[date],CONCATENATE("&gt;","=",D24),Holieday[date],CONCATENATE("&lt;","=",J_SUBDAY(J_ADDDAY(D24,N24+4,1),1,1)))-SUMIFS(Holieday[Friday],Holieday[date],CONCATENATE("&gt;","=",D24),Holieday[date],CONCATENATE("&lt;","=",J_SUBDAY(J_ADDDAY(D24,N24+4,1),1,1)))=4,J_SUBDAY(J_ADDDAY(D24,N24+4,1),1,1),IF((N24+5-(NETWORKDAYS.INTL(J_GregorianDate(D24,1),J_GregorianDate(J_SUBDAY(J_ADDDAY(D24,N24+5,1),1,1),1),16,1)))+SUMIFS(Holieday[ok],Holieday[date],CONCATENATE("&gt;","=",D24),Holieday[date],CONCATENATE("&lt;","=",J_SUBDAY(J_ADDDAY(D24,N24+5,1),1,1)))-SUMIFS(Holieday[Friday],Holieday[date],CONCATENATE("&gt;","=",D24),Holieday[date],CONCATENATE("&lt;","=",J_SUBDAY(J_ADDDAY(D24,N24+5,1),1,1)))=5,J_SUBDAY(J_ADDDAY(D24,N24+5,1),1,1),J_SUBDAY(J_ADDDAY(D24,N24+6,1),1,1))))))))</f>
        <v>1398/06/30</v>
      </c>
      <c r="G24" s="2">
        <f t="shared" si="5"/>
        <v>13980630</v>
      </c>
      <c r="H24" s="109"/>
      <c r="I24" s="110">
        <v>1.1000000000000001</v>
      </c>
      <c r="J24" s="9">
        <f>j_WEEKDAY(D24,2)</f>
        <v>1</v>
      </c>
      <c r="K24" s="21">
        <f t="shared" si="7"/>
        <v>0</v>
      </c>
      <c r="L24" s="8">
        <f t="shared" si="8"/>
        <v>0</v>
      </c>
      <c r="M24" s="111">
        <v>0</v>
      </c>
      <c r="N24" s="108">
        <v>0</v>
      </c>
      <c r="O24" s="10">
        <f t="shared" si="9"/>
        <v>0</v>
      </c>
      <c r="P24" s="10">
        <f>VALUE(J_normdate(J_ADDDAY($D24,$O24,1)))</f>
        <v>13980631</v>
      </c>
      <c r="Q24" s="9">
        <f t="shared" si="10"/>
        <v>0</v>
      </c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29">
        <v>1</v>
      </c>
      <c r="IZ24" s="29"/>
      <c r="JA24" s="113"/>
      <c r="JB24" s="113"/>
      <c r="JC24" s="113"/>
      <c r="JD24" s="66">
        <f>SUM((TEXT(JA24,"[M]")/60)*'Income Person-hours'!$D$3,(TEXT(JB24,"[M]")/60)*'Income Person-hours'!$D$4,(TEXT(JC24,"[M]")/60)*'Income Person-hours'!$D$5)</f>
        <v>0</v>
      </c>
    </row>
    <row r="25" spans="1:264" s="11" customFormat="1" ht="11.25" hidden="1">
      <c r="A25" s="30">
        <v>1.1399999999999999</v>
      </c>
      <c r="B25" s="106"/>
      <c r="C25" s="107"/>
      <c r="D25" s="7" t="str">
        <f>IF(OR(j_WEEKDAY(J_ADDDAY(VLOOKUP(I25,A:F,6,FALSE),H25,1),0)=6,SUMIFS(Holieday[ok],Holieday[date],J_ADDDAY(VLOOKUP(I25,A:F,6,FALSE),H25,1)))=FALSE(),J_ADDDAY(VLOOKUP(I25,A:F,6,FALSE),H25,1),IF(OR(j_WEEKDAY(J_ADDDAY(VLOOKUP(I25,A:F,6,FALSE),H25+1,1),0)=6,SUMIFS(Holieday[ok],Holieday[date],J_ADDDAY(VLOOKUP(I25,A:F,6,FALSE),H25+1,1)))=FALSE(),J_ADDDAY(VLOOKUP(I25,A:F,6,FALSE),H25+1,1),IF(OR(j_WEEKDAY(J_ADDDAY(VLOOKUP(I25,A:F,6,FALSE),H25+2,1),0)=6,SUMIFS(Holieday[ok],Holieday[date],J_ADDDAY(VLOOKUP(I25,A:F,6,FALSE),H25+2,1)))=FALSE(),J_ADDDAY(VLOOKUP(I25,A:F,6,FALSE),H25+2,1),IF(OR(j_WEEKDAY(J_ADDDAY(VLOOKUP(I25,A:F,6,FALSE),H25+3,1),0)=6,SUMIFS(Holieday[ok],Holieday[date],J_ADDDAY(VLOOKUP(I25,A:F,6,FALSE),H25+3,1)))=FALSE(),J_ADDDAY(VLOOKUP(I25,A:F,6,FALSE),H25+3,1),IF(OR(j_WEEKDAY(J_ADDDAY(VLOOKUP(I25,A:F,6,FALSE),H25+4,1),0)=6,SUMIFS(Holieday[ok],Holieday[date],J_ADDDAY(VLOOKUP(I25,A:F,6,FALSE),H25+4,1)))=FALSE(),J_ADDDAY(VLOOKUP(I25,A:F,6,FALSE),H25+4,1),J_ADDDAY(VLOOKUP(I25,A:F,6,FALSE),H25+5,1))))))</f>
        <v>1398/06/31</v>
      </c>
      <c r="E25" s="1">
        <f t="shared" si="4"/>
        <v>13980631</v>
      </c>
      <c r="F25" s="12" t="str">
        <f>IF(N25=0,J_SUBDAY(D25,1,1),IF((N25-(NETWORKDAYS.INTL(J_GregorianDate(D25,1),J_GregorianDate(J_SUBDAY(J_ADDDAY(D25,N25,1),1,1),1),16,1)))+SUMIFS(Holieday[ok],Holieday[date],CONCATENATE("&gt;","=",D25),Holieday[date],CONCATENATE("&lt;","=",J_SUBDAY(J_ADDDAY(D25,N25,1),1,1)))-SUMIFS(Holieday[Friday],Holieday[date],CONCATENATE("&gt;","=",D25),Holieday[date],CONCATENATE("&lt;","=",J_SUBDAY(J_ADDDAY(D25,N25,1),1,1)))=0,J_SUBDAY(J_ADDDAY(D25,N25,1),1,1),IF((N25+1-(NETWORKDAYS.INTL(J_GregorianDate(D25,1),J_GregorianDate(J_SUBDAY(J_ADDDAY(D25,N25+1,1),1,1),1),16,1)))+SUMIFS(Holieday[ok],Holieday[date],CONCATENATE("&gt;","=",D25),Holieday[date],CONCATENATE("&lt;","=",J_SUBDAY(J_ADDDAY(D25,N25+1,1),1,1)))-SUMIFS(Holieday[Friday],Holieday[date],CONCATENATE("&gt;","=",D25),Holieday[date],CONCATENATE("&lt;","=",J_SUBDAY(J_ADDDAY(D25,N25+1,1),1,1)))=1,J_SUBDAY(J_ADDDAY(D25,N25+1,1),1,1),IF((N25+2-(NETWORKDAYS.INTL(J_GregorianDate(D25,1),J_GregorianDate(J_SUBDAY(J_ADDDAY(D25,N25+2,1),1,1),1),16,1)))+SUMIFS(Holieday[ok],Holieday[date],CONCATENATE("&gt;","=",D25),Holieday[date],CONCATENATE("&lt;","=",J_SUBDAY(J_ADDDAY(D25,N25+2,1),1,1)))-SUMIFS(Holieday[Friday],Holieday[date],CONCATENATE("&gt;","=",D25),Holieday[date],CONCATENATE("&lt;","=",J_SUBDAY(J_ADDDAY(D25,N25+2,1),1,1)))=2,J_SUBDAY(J_ADDDAY(D25,N25+2,1),1,1),IF((N25+3-(NETWORKDAYS.INTL(J_GregorianDate(D25,1),J_GregorianDate(J_SUBDAY(J_ADDDAY(D25,N25+3,1),1,1),1),16,1)))+SUMIFS(Holieday[ok],Holieday[date],CONCATENATE("&gt;","=",D25),Holieday[date],CONCATENATE("&lt;","=",J_SUBDAY(J_ADDDAY(D25,N25+3,1),1,1)))-SUMIFS(Holieday[Friday],Holieday[date],CONCATENATE("&gt;","=",D25),Holieday[date],CONCATENATE("&lt;","=",J_SUBDAY(J_ADDDAY(D25,N25+3,1),1,1)))=3,J_SUBDAY(J_ADDDAY(D25,N25+3,1),1,1),IF((N25+4-(NETWORKDAYS.INTL(J_GregorianDate(D25,1),J_GregorianDate(J_SUBDAY(J_ADDDAY(D25,N25+4,1),1,1),1),16,1)))+SUMIFS(Holieday[ok],Holieday[date],CONCATENATE("&gt;","=",D25),Holieday[date],CONCATENATE("&lt;","=",J_SUBDAY(J_ADDDAY(D25,N25+4,1),1,1)))-SUMIFS(Holieday[Friday],Holieday[date],CONCATENATE("&gt;","=",D25),Holieday[date],CONCATENATE("&lt;","=",J_SUBDAY(J_ADDDAY(D25,N25+4,1),1,1)))=4,J_SUBDAY(J_ADDDAY(D25,N25+4,1),1,1),IF((N25+5-(NETWORKDAYS.INTL(J_GregorianDate(D25,1),J_GregorianDate(J_SUBDAY(J_ADDDAY(D25,N25+5,1),1,1),1),16,1)))+SUMIFS(Holieday[ok],Holieday[date],CONCATENATE("&gt;","=",D25),Holieday[date],CONCATENATE("&lt;","=",J_SUBDAY(J_ADDDAY(D25,N25+5,1),1,1)))-SUMIFS(Holieday[Friday],Holieday[date],CONCATENATE("&gt;","=",D25),Holieday[date],CONCATENATE("&lt;","=",J_SUBDAY(J_ADDDAY(D25,N25+5,1),1,1)))=5,J_SUBDAY(J_ADDDAY(D25,N25+5,1),1,1),J_SUBDAY(J_ADDDAY(D25,N25+6,1),1,1))))))))</f>
        <v>1398/06/30</v>
      </c>
      <c r="G25" s="2">
        <f t="shared" si="5"/>
        <v>13980630</v>
      </c>
      <c r="H25" s="109"/>
      <c r="I25" s="110">
        <v>1.1000000000000001</v>
      </c>
      <c r="J25" s="9">
        <f>j_WEEKDAY(D25,2)</f>
        <v>1</v>
      </c>
      <c r="K25" s="21">
        <f t="shared" si="7"/>
        <v>0</v>
      </c>
      <c r="L25" s="8">
        <f t="shared" si="8"/>
        <v>0</v>
      </c>
      <c r="M25" s="111">
        <v>0</v>
      </c>
      <c r="N25" s="108">
        <v>0</v>
      </c>
      <c r="O25" s="10">
        <f t="shared" si="9"/>
        <v>0</v>
      </c>
      <c r="P25" s="10">
        <f>VALUE(J_normdate(J_ADDDAY($D25,$O25,1)))</f>
        <v>13980631</v>
      </c>
      <c r="Q25" s="9">
        <f t="shared" si="10"/>
        <v>0</v>
      </c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29">
        <v>1</v>
      </c>
      <c r="IZ25" s="29"/>
      <c r="JA25" s="113"/>
      <c r="JB25" s="113"/>
      <c r="JC25" s="113"/>
      <c r="JD25" s="66">
        <f>SUM((TEXT(JA25,"[M]")/60)*'Income Person-hours'!$D$3,(TEXT(JB25,"[M]")/60)*'Income Person-hours'!$D$4,(TEXT(JC25,"[M]")/60)*'Income Person-hours'!$D$5)</f>
        <v>0</v>
      </c>
    </row>
    <row r="26" spans="1:264" s="11" customFormat="1" ht="11.25" hidden="1">
      <c r="A26" s="30">
        <v>1.1499999999999999</v>
      </c>
      <c r="B26" s="106"/>
      <c r="C26" s="107"/>
      <c r="D26" s="7" t="str">
        <f>IF(OR(j_WEEKDAY(J_ADDDAY(VLOOKUP(I26,A:F,6,FALSE),H26,1),0)=6,SUMIFS(Holieday[ok],Holieday[date],J_ADDDAY(VLOOKUP(I26,A:F,6,FALSE),H26,1)))=FALSE(),J_ADDDAY(VLOOKUP(I26,A:F,6,FALSE),H26,1),IF(OR(j_WEEKDAY(J_ADDDAY(VLOOKUP(I26,A:F,6,FALSE),H26+1,1),0)=6,SUMIFS(Holieday[ok],Holieday[date],J_ADDDAY(VLOOKUP(I26,A:F,6,FALSE),H26+1,1)))=FALSE(),J_ADDDAY(VLOOKUP(I26,A:F,6,FALSE),H26+1,1),IF(OR(j_WEEKDAY(J_ADDDAY(VLOOKUP(I26,A:F,6,FALSE),H26+2,1),0)=6,SUMIFS(Holieday[ok],Holieday[date],J_ADDDAY(VLOOKUP(I26,A:F,6,FALSE),H26+2,1)))=FALSE(),J_ADDDAY(VLOOKUP(I26,A:F,6,FALSE),H26+2,1),IF(OR(j_WEEKDAY(J_ADDDAY(VLOOKUP(I26,A:F,6,FALSE),H26+3,1),0)=6,SUMIFS(Holieday[ok],Holieday[date],J_ADDDAY(VLOOKUP(I26,A:F,6,FALSE),H26+3,1)))=FALSE(),J_ADDDAY(VLOOKUP(I26,A:F,6,FALSE),H26+3,1),IF(OR(j_WEEKDAY(J_ADDDAY(VLOOKUP(I26,A:F,6,FALSE),H26+4,1),0)=6,SUMIFS(Holieday[ok],Holieday[date],J_ADDDAY(VLOOKUP(I26,A:F,6,FALSE),H26+4,1)))=FALSE(),J_ADDDAY(VLOOKUP(I26,A:F,6,FALSE),H26+4,1),J_ADDDAY(VLOOKUP(I26,A:F,6,FALSE),H26+5,1))))))</f>
        <v>1398/06/31</v>
      </c>
      <c r="E26" s="1">
        <f t="shared" si="4"/>
        <v>13980631</v>
      </c>
      <c r="F26" s="12" t="str">
        <f>IF(N26=0,J_SUBDAY(D26,1,1),IF((N26-(NETWORKDAYS.INTL(J_GregorianDate(D26,1),J_GregorianDate(J_SUBDAY(J_ADDDAY(D26,N26,1),1,1),1),16,1)))+SUMIFS(Holieday[ok],Holieday[date],CONCATENATE("&gt;","=",D26),Holieday[date],CONCATENATE("&lt;","=",J_SUBDAY(J_ADDDAY(D26,N26,1),1,1)))-SUMIFS(Holieday[Friday],Holieday[date],CONCATENATE("&gt;","=",D26),Holieday[date],CONCATENATE("&lt;","=",J_SUBDAY(J_ADDDAY(D26,N26,1),1,1)))=0,J_SUBDAY(J_ADDDAY(D26,N26,1),1,1),IF((N26+1-(NETWORKDAYS.INTL(J_GregorianDate(D26,1),J_GregorianDate(J_SUBDAY(J_ADDDAY(D26,N26+1,1),1,1),1),16,1)))+SUMIFS(Holieday[ok],Holieday[date],CONCATENATE("&gt;","=",D26),Holieday[date],CONCATENATE("&lt;","=",J_SUBDAY(J_ADDDAY(D26,N26+1,1),1,1)))-SUMIFS(Holieday[Friday],Holieday[date],CONCATENATE("&gt;","=",D26),Holieday[date],CONCATENATE("&lt;","=",J_SUBDAY(J_ADDDAY(D26,N26+1,1),1,1)))=1,J_SUBDAY(J_ADDDAY(D26,N26+1,1),1,1),IF((N26+2-(NETWORKDAYS.INTL(J_GregorianDate(D26,1),J_GregorianDate(J_SUBDAY(J_ADDDAY(D26,N26+2,1),1,1),1),16,1)))+SUMIFS(Holieday[ok],Holieday[date],CONCATENATE("&gt;","=",D26),Holieday[date],CONCATENATE("&lt;","=",J_SUBDAY(J_ADDDAY(D26,N26+2,1),1,1)))-SUMIFS(Holieday[Friday],Holieday[date],CONCATENATE("&gt;","=",D26),Holieday[date],CONCATENATE("&lt;","=",J_SUBDAY(J_ADDDAY(D26,N26+2,1),1,1)))=2,J_SUBDAY(J_ADDDAY(D26,N26+2,1),1,1),IF((N26+3-(NETWORKDAYS.INTL(J_GregorianDate(D26,1),J_GregorianDate(J_SUBDAY(J_ADDDAY(D26,N26+3,1),1,1),1),16,1)))+SUMIFS(Holieday[ok],Holieday[date],CONCATENATE("&gt;","=",D26),Holieday[date],CONCATENATE("&lt;","=",J_SUBDAY(J_ADDDAY(D26,N26+3,1),1,1)))-SUMIFS(Holieday[Friday],Holieday[date],CONCATENATE("&gt;","=",D26),Holieday[date],CONCATENATE("&lt;","=",J_SUBDAY(J_ADDDAY(D26,N26+3,1),1,1)))=3,J_SUBDAY(J_ADDDAY(D26,N26+3,1),1,1),IF((N26+4-(NETWORKDAYS.INTL(J_GregorianDate(D26,1),J_GregorianDate(J_SUBDAY(J_ADDDAY(D26,N26+4,1),1,1),1),16,1)))+SUMIFS(Holieday[ok],Holieday[date],CONCATENATE("&gt;","=",D26),Holieday[date],CONCATENATE("&lt;","=",J_SUBDAY(J_ADDDAY(D26,N26+4,1),1,1)))-SUMIFS(Holieday[Friday],Holieday[date],CONCATENATE("&gt;","=",D26),Holieday[date],CONCATENATE("&lt;","=",J_SUBDAY(J_ADDDAY(D26,N26+4,1),1,1)))=4,J_SUBDAY(J_ADDDAY(D26,N26+4,1),1,1),IF((N26+5-(NETWORKDAYS.INTL(J_GregorianDate(D26,1),J_GregorianDate(J_SUBDAY(J_ADDDAY(D26,N26+5,1),1,1),1),16,1)))+SUMIFS(Holieday[ok],Holieday[date],CONCATENATE("&gt;","=",D26),Holieday[date],CONCATENATE("&lt;","=",J_SUBDAY(J_ADDDAY(D26,N26+5,1),1,1)))-SUMIFS(Holieday[Friday],Holieday[date],CONCATENATE("&gt;","=",D26),Holieday[date],CONCATENATE("&lt;","=",J_SUBDAY(J_ADDDAY(D26,N26+5,1),1,1)))=5,J_SUBDAY(J_ADDDAY(D26,N26+5,1),1,1),J_SUBDAY(J_ADDDAY(D26,N26+6,1),1,1))))))))</f>
        <v>1398/06/30</v>
      </c>
      <c r="G26" s="2">
        <f t="shared" si="5"/>
        <v>13980630</v>
      </c>
      <c r="H26" s="109"/>
      <c r="I26" s="110">
        <v>1.1000000000000001</v>
      </c>
      <c r="J26" s="9">
        <f>j_WEEKDAY(D26,2)</f>
        <v>1</v>
      </c>
      <c r="K26" s="21">
        <f t="shared" si="7"/>
        <v>0</v>
      </c>
      <c r="L26" s="8">
        <f t="shared" si="8"/>
        <v>0</v>
      </c>
      <c r="M26" s="111">
        <v>0</v>
      </c>
      <c r="N26" s="108">
        <v>0</v>
      </c>
      <c r="O26" s="10">
        <f t="shared" si="9"/>
        <v>0</v>
      </c>
      <c r="P26" s="10">
        <f>VALUE(J_normdate(J_ADDDAY($D26,$O26,1)))</f>
        <v>13980631</v>
      </c>
      <c r="Q26" s="9">
        <f t="shared" si="10"/>
        <v>0</v>
      </c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29">
        <v>1</v>
      </c>
      <c r="IZ26" s="29"/>
      <c r="JA26" s="113"/>
      <c r="JB26" s="113"/>
      <c r="JC26" s="113"/>
      <c r="JD26" s="66">
        <f>SUM((TEXT(JA26,"[M]")/60)*'Income Person-hours'!$D$3,(TEXT(JB26,"[M]")/60)*'Income Person-hours'!$D$4,(TEXT(JC26,"[M]")/60)*'Income Person-hours'!$D$5)</f>
        <v>0</v>
      </c>
    </row>
    <row r="27" spans="1:264" s="11" customFormat="1" ht="11.25" hidden="1">
      <c r="A27" s="30">
        <v>1.1599999999999999</v>
      </c>
      <c r="B27" s="106"/>
      <c r="C27" s="107"/>
      <c r="D27" s="7" t="str">
        <f>IF(OR(j_WEEKDAY(J_ADDDAY(VLOOKUP(I27,A:F,6,FALSE),H27,1),0)=6,SUMIFS(Holieday[ok],Holieday[date],J_ADDDAY(VLOOKUP(I27,A:F,6,FALSE),H27,1)))=FALSE(),J_ADDDAY(VLOOKUP(I27,A:F,6,FALSE),H27,1),IF(OR(j_WEEKDAY(J_ADDDAY(VLOOKUP(I27,A:F,6,FALSE),H27+1,1),0)=6,SUMIFS(Holieday[ok],Holieday[date],J_ADDDAY(VLOOKUP(I27,A:F,6,FALSE),H27+1,1)))=FALSE(),J_ADDDAY(VLOOKUP(I27,A:F,6,FALSE),H27+1,1),IF(OR(j_WEEKDAY(J_ADDDAY(VLOOKUP(I27,A:F,6,FALSE),H27+2,1),0)=6,SUMIFS(Holieday[ok],Holieday[date],J_ADDDAY(VLOOKUP(I27,A:F,6,FALSE),H27+2,1)))=FALSE(),J_ADDDAY(VLOOKUP(I27,A:F,6,FALSE),H27+2,1),IF(OR(j_WEEKDAY(J_ADDDAY(VLOOKUP(I27,A:F,6,FALSE),H27+3,1),0)=6,SUMIFS(Holieday[ok],Holieday[date],J_ADDDAY(VLOOKUP(I27,A:F,6,FALSE),H27+3,1)))=FALSE(),J_ADDDAY(VLOOKUP(I27,A:F,6,FALSE),H27+3,1),IF(OR(j_WEEKDAY(J_ADDDAY(VLOOKUP(I27,A:F,6,FALSE),H27+4,1),0)=6,SUMIFS(Holieday[ok],Holieday[date],J_ADDDAY(VLOOKUP(I27,A:F,6,FALSE),H27+4,1)))=FALSE(),J_ADDDAY(VLOOKUP(I27,A:F,6,FALSE),H27+4,1),J_ADDDAY(VLOOKUP(I27,A:F,6,FALSE),H27+5,1))))))</f>
        <v>1398/06/31</v>
      </c>
      <c r="E27" s="1">
        <f t="shared" si="4"/>
        <v>13980631</v>
      </c>
      <c r="F27" s="12" t="str">
        <f>IF(N27=0,J_SUBDAY(D27,1,1),IF((N27-(NETWORKDAYS.INTL(J_GregorianDate(D27,1),J_GregorianDate(J_SUBDAY(J_ADDDAY(D27,N27,1),1,1),1),16,1)))+SUMIFS(Holieday[ok],Holieday[date],CONCATENATE("&gt;","=",D27),Holieday[date],CONCATENATE("&lt;","=",J_SUBDAY(J_ADDDAY(D27,N27,1),1,1)))-SUMIFS(Holieday[Friday],Holieday[date],CONCATENATE("&gt;","=",D27),Holieday[date],CONCATENATE("&lt;","=",J_SUBDAY(J_ADDDAY(D27,N27,1),1,1)))=0,J_SUBDAY(J_ADDDAY(D27,N27,1),1,1),IF((N27+1-(NETWORKDAYS.INTL(J_GregorianDate(D27,1),J_GregorianDate(J_SUBDAY(J_ADDDAY(D27,N27+1,1),1,1),1),16,1)))+SUMIFS(Holieday[ok],Holieday[date],CONCATENATE("&gt;","=",D27),Holieday[date],CONCATENATE("&lt;","=",J_SUBDAY(J_ADDDAY(D27,N27+1,1),1,1)))-SUMIFS(Holieday[Friday],Holieday[date],CONCATENATE("&gt;","=",D27),Holieday[date],CONCATENATE("&lt;","=",J_SUBDAY(J_ADDDAY(D27,N27+1,1),1,1)))=1,J_SUBDAY(J_ADDDAY(D27,N27+1,1),1,1),IF((N27+2-(NETWORKDAYS.INTL(J_GregorianDate(D27,1),J_GregorianDate(J_SUBDAY(J_ADDDAY(D27,N27+2,1),1,1),1),16,1)))+SUMIFS(Holieday[ok],Holieday[date],CONCATENATE("&gt;","=",D27),Holieday[date],CONCATENATE("&lt;","=",J_SUBDAY(J_ADDDAY(D27,N27+2,1),1,1)))-SUMIFS(Holieday[Friday],Holieday[date],CONCATENATE("&gt;","=",D27),Holieday[date],CONCATENATE("&lt;","=",J_SUBDAY(J_ADDDAY(D27,N27+2,1),1,1)))=2,J_SUBDAY(J_ADDDAY(D27,N27+2,1),1,1),IF((N27+3-(NETWORKDAYS.INTL(J_GregorianDate(D27,1),J_GregorianDate(J_SUBDAY(J_ADDDAY(D27,N27+3,1),1,1),1),16,1)))+SUMIFS(Holieday[ok],Holieday[date],CONCATENATE("&gt;","=",D27),Holieday[date],CONCATENATE("&lt;","=",J_SUBDAY(J_ADDDAY(D27,N27+3,1),1,1)))-SUMIFS(Holieday[Friday],Holieday[date],CONCATENATE("&gt;","=",D27),Holieday[date],CONCATENATE("&lt;","=",J_SUBDAY(J_ADDDAY(D27,N27+3,1),1,1)))=3,J_SUBDAY(J_ADDDAY(D27,N27+3,1),1,1),IF((N27+4-(NETWORKDAYS.INTL(J_GregorianDate(D27,1),J_GregorianDate(J_SUBDAY(J_ADDDAY(D27,N27+4,1),1,1),1),16,1)))+SUMIFS(Holieday[ok],Holieday[date],CONCATENATE("&gt;","=",D27),Holieday[date],CONCATENATE("&lt;","=",J_SUBDAY(J_ADDDAY(D27,N27+4,1),1,1)))-SUMIFS(Holieday[Friday],Holieday[date],CONCATENATE("&gt;","=",D27),Holieday[date],CONCATENATE("&lt;","=",J_SUBDAY(J_ADDDAY(D27,N27+4,1),1,1)))=4,J_SUBDAY(J_ADDDAY(D27,N27+4,1),1,1),IF((N27+5-(NETWORKDAYS.INTL(J_GregorianDate(D27,1),J_GregorianDate(J_SUBDAY(J_ADDDAY(D27,N27+5,1),1,1),1),16,1)))+SUMIFS(Holieday[ok],Holieday[date],CONCATENATE("&gt;","=",D27),Holieday[date],CONCATENATE("&lt;","=",J_SUBDAY(J_ADDDAY(D27,N27+5,1),1,1)))-SUMIFS(Holieday[Friday],Holieday[date],CONCATENATE("&gt;","=",D27),Holieday[date],CONCATENATE("&lt;","=",J_SUBDAY(J_ADDDAY(D27,N27+5,1),1,1)))=5,J_SUBDAY(J_ADDDAY(D27,N27+5,1),1,1),J_SUBDAY(J_ADDDAY(D27,N27+6,1),1,1))))))))</f>
        <v>1398/06/30</v>
      </c>
      <c r="G27" s="2">
        <f t="shared" si="5"/>
        <v>13980630</v>
      </c>
      <c r="H27" s="109"/>
      <c r="I27" s="110">
        <v>1.1000000000000001</v>
      </c>
      <c r="J27" s="9">
        <f>j_WEEKDAY(D27,2)</f>
        <v>1</v>
      </c>
      <c r="K27" s="21">
        <f t="shared" si="7"/>
        <v>0</v>
      </c>
      <c r="L27" s="8">
        <f t="shared" si="8"/>
        <v>0</v>
      </c>
      <c r="M27" s="111">
        <v>0</v>
      </c>
      <c r="N27" s="108">
        <v>0</v>
      </c>
      <c r="O27" s="10">
        <f t="shared" si="9"/>
        <v>0</v>
      </c>
      <c r="P27" s="10">
        <f>VALUE(J_normdate(J_ADDDAY($D27,$O27,1)))</f>
        <v>13980631</v>
      </c>
      <c r="Q27" s="9">
        <f t="shared" si="10"/>
        <v>0</v>
      </c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29">
        <v>1</v>
      </c>
      <c r="IZ27" s="29"/>
      <c r="JA27" s="113"/>
      <c r="JB27" s="113"/>
      <c r="JC27" s="113"/>
      <c r="JD27" s="66">
        <f>SUM((TEXT(JA27,"[M]")/60)*'Income Person-hours'!$D$3,(TEXT(JB27,"[M]")/60)*'Income Person-hours'!$D$4,(TEXT(JC27,"[M]")/60)*'Income Person-hours'!$D$5)</f>
        <v>0</v>
      </c>
    </row>
    <row r="28" spans="1:264" s="11" customFormat="1" ht="11.25" hidden="1">
      <c r="A28" s="30">
        <v>1.17</v>
      </c>
      <c r="B28" s="106"/>
      <c r="C28" s="107"/>
      <c r="D28" s="7" t="str">
        <f>IF(OR(j_WEEKDAY(J_ADDDAY(VLOOKUP(I28,A:F,6,FALSE),H28,1),0)=6,SUMIFS(Holieday[ok],Holieday[date],J_ADDDAY(VLOOKUP(I28,A:F,6,FALSE),H28,1)))=FALSE(),J_ADDDAY(VLOOKUP(I28,A:F,6,FALSE),H28,1),IF(OR(j_WEEKDAY(J_ADDDAY(VLOOKUP(I28,A:F,6,FALSE),H28+1,1),0)=6,SUMIFS(Holieday[ok],Holieday[date],J_ADDDAY(VLOOKUP(I28,A:F,6,FALSE),H28+1,1)))=FALSE(),J_ADDDAY(VLOOKUP(I28,A:F,6,FALSE),H28+1,1),IF(OR(j_WEEKDAY(J_ADDDAY(VLOOKUP(I28,A:F,6,FALSE),H28+2,1),0)=6,SUMIFS(Holieday[ok],Holieday[date],J_ADDDAY(VLOOKUP(I28,A:F,6,FALSE),H28+2,1)))=FALSE(),J_ADDDAY(VLOOKUP(I28,A:F,6,FALSE),H28+2,1),IF(OR(j_WEEKDAY(J_ADDDAY(VLOOKUP(I28,A:F,6,FALSE),H28+3,1),0)=6,SUMIFS(Holieday[ok],Holieday[date],J_ADDDAY(VLOOKUP(I28,A:F,6,FALSE),H28+3,1)))=FALSE(),J_ADDDAY(VLOOKUP(I28,A:F,6,FALSE),H28+3,1),IF(OR(j_WEEKDAY(J_ADDDAY(VLOOKUP(I28,A:F,6,FALSE),H28+4,1),0)=6,SUMIFS(Holieday[ok],Holieday[date],J_ADDDAY(VLOOKUP(I28,A:F,6,FALSE),H28+4,1)))=FALSE(),J_ADDDAY(VLOOKUP(I28,A:F,6,FALSE),H28+4,1),J_ADDDAY(VLOOKUP(I28,A:F,6,FALSE),H28+5,1))))))</f>
        <v>1398/06/31</v>
      </c>
      <c r="E28" s="1">
        <f t="shared" si="4"/>
        <v>13980631</v>
      </c>
      <c r="F28" s="12" t="str">
        <f>IF(N28=0,J_SUBDAY(D28,1,1),IF((N28-NETWORKDAYS.INTL(J_GregorianDate(D28,1),J_GregorianDate(J_SUBDAY(J_ADDDAY(D28,N28,1),1,1),1),16,1)-SUMIFS(Holieday[ok],Holieday[date],CONCATENATE("&gt;","=",D28),Holieday[date],CONCATENATE("&lt;","=",J_SUBDAY(J_ADDDAY(D28,N28,1),1,1)))+SUMIFS(Holieday[Friday],Holieday[date],CONCATENATE("&gt;","=",D28),Holieday[date],CONCATENATE("&lt;","=",J_SUBDAY(J_ADDDAY(D28,N28,1),1,1))))=0,J_SUBDAY(J_ADDDAY(D28,N28,1),1,1),IF((N28-NETWORKDAYS.INTL(J_GregorianDate(D28,1),J_GregorianDate(J_SUBDAY(J_ADDDAY(D28,N28,1),1,1),1),16,1)-SUMIFS(Holieday[ok],Holieday[date],CONCATENATE("&gt;","=",D28),Holieday[date],CONCATENATE("&lt;","=",J_SUBDAY(J_ADDDAY(D28,N28,1),1,1)))+SUMIFS(Holieday[Friday],Holieday[date],CONCATENATE("&gt;","=",D28),Holieday[date],CONCATENATE("&lt;","=",J_SUBDAY(J_ADDDAY(D28,N28,1),1,1))))=1,J_SUBDAY(J_ADDDAY(D28,N28+1,1),1,1),IF((N28-NETWORKDAYS.INTL(J_GregorianDate(D28,1),J_GregorianDate(J_SUBDAY(J_ADDDAY(D28,N28,1),1,1),1),16,1)-SUMIFS(Holieday[ok],Holieday[date],CONCATENATE("&gt;","=",D28),Holieday[date],CONCATENATE("&lt;","=",J_SUBDAY(J_ADDDAY(D28,N28,1),1,1)))+SUMIFS(Holieday[Friday],Holieday[date],CONCATENATE("&gt;","=",D28),Holieday[date],CONCATENATE("&lt;","=",J_SUBDAY(J_ADDDAY(D28,N28,1),1,1))))=2,J_SUBDAY(J_ADDDAY(D28,N28+2,1),1,1),J_SUBDAY(J_ADDDAY(D28,N28+3,1),1,1)))))</f>
        <v>1398/06/30</v>
      </c>
      <c r="G28" s="2">
        <f t="shared" si="5"/>
        <v>13980630</v>
      </c>
      <c r="H28" s="109"/>
      <c r="I28" s="110">
        <v>1.1000000000000001</v>
      </c>
      <c r="J28" s="19">
        <f>j_WEEKDAY(D28,2)</f>
        <v>1</v>
      </c>
      <c r="K28" s="21">
        <f t="shared" si="7"/>
        <v>0</v>
      </c>
      <c r="L28" s="8">
        <f t="shared" si="8"/>
        <v>0</v>
      </c>
      <c r="M28" s="111">
        <v>0</v>
      </c>
      <c r="N28" s="108">
        <v>0</v>
      </c>
      <c r="O28" s="10">
        <f t="shared" si="9"/>
        <v>0</v>
      </c>
      <c r="P28" s="10">
        <f>VALUE(J_normdate(J_ADDDAY($D28,$O28,1)))</f>
        <v>13980631</v>
      </c>
      <c r="Q28" s="9">
        <f t="shared" si="10"/>
        <v>0</v>
      </c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JA28" s="113"/>
      <c r="JB28" s="113"/>
      <c r="JC28" s="113"/>
      <c r="JD28" s="66">
        <f>SUM((TEXT(JA28,"[M]")/60)*'Income Person-hours'!$D$3,(TEXT(JB28,"[M]")/60)*'Income Person-hours'!$D$4,(TEXT(JC28,"[M]")/60)*'Income Person-hours'!$D$5)</f>
        <v>0</v>
      </c>
    </row>
    <row r="29" spans="1:264" s="11" customFormat="1" ht="11.25" hidden="1">
      <c r="A29" s="30">
        <v>1.18</v>
      </c>
      <c r="B29" s="106"/>
      <c r="C29" s="107"/>
      <c r="D29" s="7" t="str">
        <f>IF(OR(j_WEEKDAY(J_ADDDAY(VLOOKUP(I29,A:F,6,FALSE),H29,1),0)=6,SUMIFS(Holieday[ok],Holieday[date],J_ADDDAY(VLOOKUP(I29,A:F,6,FALSE),H29,1)))=FALSE(),J_ADDDAY(VLOOKUP(I29,A:F,6,FALSE),H29,1),IF(OR(j_WEEKDAY(J_ADDDAY(VLOOKUP(I29,A:F,6,FALSE),H29+1,1),0)=6,SUMIFS(Holieday[ok],Holieday[date],J_ADDDAY(VLOOKUP(I29,A:F,6,FALSE),H29+1,1)))=FALSE(),J_ADDDAY(VLOOKUP(I29,A:F,6,FALSE),H29+1,1),IF(OR(j_WEEKDAY(J_ADDDAY(VLOOKUP(I29,A:F,6,FALSE),H29+2,1),0)=6,SUMIFS(Holieday[ok],Holieday[date],J_ADDDAY(VLOOKUP(I29,A:F,6,FALSE),H29+2,1)))=FALSE(),J_ADDDAY(VLOOKUP(I29,A:F,6,FALSE),H29+2,1),IF(OR(j_WEEKDAY(J_ADDDAY(VLOOKUP(I29,A:F,6,FALSE),H29+3,1),0)=6,SUMIFS(Holieday[ok],Holieday[date],J_ADDDAY(VLOOKUP(I29,A:F,6,FALSE),H29+3,1)))=FALSE(),J_ADDDAY(VLOOKUP(I29,A:F,6,FALSE),H29+3,1),IF(OR(j_WEEKDAY(J_ADDDAY(VLOOKUP(I29,A:F,6,FALSE),H29+4,1),0)=6,SUMIFS(Holieday[ok],Holieday[date],J_ADDDAY(VLOOKUP(I29,A:F,6,FALSE),H29+4,1)))=FALSE(),J_ADDDAY(VLOOKUP(I29,A:F,6,FALSE),H29+4,1),J_ADDDAY(VLOOKUP(I29,A:F,6,FALSE),H29+5,1))))))</f>
        <v>1398/06/31</v>
      </c>
      <c r="E29" s="1">
        <f t="shared" si="4"/>
        <v>13980631</v>
      </c>
      <c r="F29" s="12" t="str">
        <f>IF(N29=0,J_SUBDAY(D29,1,1),IF((N29-NETWORKDAYS.INTL(J_GregorianDate(D29,1),J_GregorianDate(J_SUBDAY(J_ADDDAY(D29,N29,1),1,1),1),16,1)-SUMIFS(Holieday[ok],Holieday[date],CONCATENATE("&gt;","=",D29),Holieday[date],CONCATENATE("&lt;","=",J_SUBDAY(J_ADDDAY(D29,N29,1),1,1)))+SUMIFS(Holieday[Friday],Holieday[date],CONCATENATE("&gt;","=",D29),Holieday[date],CONCATENATE("&lt;","=",J_SUBDAY(J_ADDDAY(D29,N29,1),1,1))))=0,J_SUBDAY(J_ADDDAY(D29,N29,1),1,1),IF((N29-NETWORKDAYS.INTL(J_GregorianDate(D29,1),J_GregorianDate(J_SUBDAY(J_ADDDAY(D29,N29,1),1,1),1),16,1)-SUMIFS(Holieday[ok],Holieday[date],CONCATENATE("&gt;","=",D29),Holieday[date],CONCATENATE("&lt;","=",J_SUBDAY(J_ADDDAY(D29,N29,1),1,1)))+SUMIFS(Holieday[Friday],Holieday[date],CONCATENATE("&gt;","=",D29),Holieday[date],CONCATENATE("&lt;","=",J_SUBDAY(J_ADDDAY(D29,N29,1),1,1))))=1,J_SUBDAY(J_ADDDAY(D29,N29+1,1),1,1),IF((N29-NETWORKDAYS.INTL(J_GregorianDate(D29,1),J_GregorianDate(J_SUBDAY(J_ADDDAY(D29,N29,1),1,1),1),16,1)-SUMIFS(Holieday[ok],Holieday[date],CONCATENATE("&gt;","=",D29),Holieday[date],CONCATENATE("&lt;","=",J_SUBDAY(J_ADDDAY(D29,N29,1),1,1)))+SUMIFS(Holieday[Friday],Holieday[date],CONCATENATE("&gt;","=",D29),Holieday[date],CONCATENATE("&lt;","=",J_SUBDAY(J_ADDDAY(D29,N29,1),1,1))))=2,J_SUBDAY(J_ADDDAY(D29,N29+2,1),1,1),J_SUBDAY(J_ADDDAY(D29,N29+3,1),1,1)))))</f>
        <v>1398/06/30</v>
      </c>
      <c r="G29" s="2">
        <f t="shared" si="5"/>
        <v>13980630</v>
      </c>
      <c r="H29" s="109"/>
      <c r="I29" s="110">
        <v>1.1000000000000001</v>
      </c>
      <c r="J29" s="19">
        <f>j_WEEKDAY(D29,2)</f>
        <v>1</v>
      </c>
      <c r="K29" s="21">
        <f t="shared" si="7"/>
        <v>0</v>
      </c>
      <c r="L29" s="8">
        <f t="shared" si="8"/>
        <v>0</v>
      </c>
      <c r="M29" s="111">
        <v>0</v>
      </c>
      <c r="N29" s="108">
        <v>0</v>
      </c>
      <c r="O29" s="10">
        <f t="shared" si="9"/>
        <v>0</v>
      </c>
      <c r="P29" s="10">
        <f>VALUE(J_normdate(J_ADDDAY($D29,$O29,1)))</f>
        <v>13980631</v>
      </c>
      <c r="Q29" s="9">
        <f t="shared" si="10"/>
        <v>0</v>
      </c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JA29" s="113"/>
      <c r="JB29" s="113"/>
      <c r="JC29" s="113"/>
      <c r="JD29" s="66">
        <f>SUM((TEXT(JA29,"[M]")/60)*'Income Person-hours'!$D$3,(TEXT(JB29,"[M]")/60)*'Income Person-hours'!$D$4,(TEXT(JC29,"[M]")/60)*'Income Person-hours'!$D$5)</f>
        <v>0</v>
      </c>
    </row>
    <row r="30" spans="1:264" s="11" customFormat="1" ht="11.25" hidden="1">
      <c r="A30" s="30">
        <v>1.19</v>
      </c>
      <c r="B30" s="116"/>
      <c r="C30" s="107"/>
      <c r="D30" s="7" t="str">
        <f>IF(OR(j_WEEKDAY(J_ADDDAY(VLOOKUP(I30,A:F,6,FALSE),H30,1),0)=6,SUMIFS(Holieday[ok],Holieday[date],J_ADDDAY(VLOOKUP(I30,A:F,6,FALSE),H30,1)))=FALSE(),J_ADDDAY(VLOOKUP(I30,A:F,6,FALSE),H30,1),IF(OR(j_WEEKDAY(J_ADDDAY(VLOOKUP(I30,A:F,6,FALSE),H30+1,1),0)=6,SUMIFS(Holieday[ok],Holieday[date],J_ADDDAY(VLOOKUP(I30,A:F,6,FALSE),H30+1,1)))=FALSE(),J_ADDDAY(VLOOKUP(I30,A:F,6,FALSE),H30+1,1),IF(OR(j_WEEKDAY(J_ADDDAY(VLOOKUP(I30,A:F,6,FALSE),H30+2,1),0)=6,SUMIFS(Holieday[ok],Holieday[date],J_ADDDAY(VLOOKUP(I30,A:F,6,FALSE),H30+2,1)))=FALSE(),J_ADDDAY(VLOOKUP(I30,A:F,6,FALSE),H30+2,1),IF(OR(j_WEEKDAY(J_ADDDAY(VLOOKUP(I30,A:F,6,FALSE),H30+3,1),0)=6,SUMIFS(Holieday[ok],Holieday[date],J_ADDDAY(VLOOKUP(I30,A:F,6,FALSE),H30+3,1)))=FALSE(),J_ADDDAY(VLOOKUP(I30,A:F,6,FALSE),H30+3,1),IF(OR(j_WEEKDAY(J_ADDDAY(VLOOKUP(I30,A:F,6,FALSE),H30+4,1),0)=6,SUMIFS(Holieday[ok],Holieday[date],J_ADDDAY(VLOOKUP(I30,A:F,6,FALSE),H30+4,1)))=FALSE(),J_ADDDAY(VLOOKUP(I30,A:F,6,FALSE),H30+4,1),J_ADDDAY(VLOOKUP(I30,A:F,6,FALSE),H30+5,1))))))</f>
        <v>1398/06/31</v>
      </c>
      <c r="E30" s="1">
        <f t="shared" si="4"/>
        <v>13980631</v>
      </c>
      <c r="F30" s="12" t="str">
        <f>IF(N30=0,J_SUBDAY(D30,1,1),IF((N30-NETWORKDAYS.INTL(J_GregorianDate(D30,1),J_GregorianDate(J_SUBDAY(J_ADDDAY(D30,N30,1),1,1),1),16,1)-SUMIFS(Holieday[ok],Holieday[date],CONCATENATE("&gt;","=",D30),Holieday[date],CONCATENATE("&lt;","=",J_SUBDAY(J_ADDDAY(D30,N30,1),1,1)))+SUMIFS(Holieday[Friday],Holieday[date],CONCATENATE("&gt;","=",D30),Holieday[date],CONCATENATE("&lt;","=",J_SUBDAY(J_ADDDAY(D30,N30,1),1,1))))=0,J_SUBDAY(J_ADDDAY(D30,N30,1),1,1),IF((N30-NETWORKDAYS.INTL(J_GregorianDate(D30,1),J_GregorianDate(J_SUBDAY(J_ADDDAY(D30,N30,1),1,1),1),16,1)-SUMIFS(Holieday[ok],Holieday[date],CONCATENATE("&gt;","=",D30),Holieday[date],CONCATENATE("&lt;","=",J_SUBDAY(J_ADDDAY(D30,N30,1),1,1)))+SUMIFS(Holieday[Friday],Holieday[date],CONCATENATE("&gt;","=",D30),Holieday[date],CONCATENATE("&lt;","=",J_SUBDAY(J_ADDDAY(D30,N30,1),1,1))))=1,J_SUBDAY(J_ADDDAY(D30,N30+1,1),1,1),IF((N30-NETWORKDAYS.INTL(J_GregorianDate(D30,1),J_GregorianDate(J_SUBDAY(J_ADDDAY(D30,N30,1),1,1),1),16,1)-SUMIFS(Holieday[ok],Holieday[date],CONCATENATE("&gt;","=",D30),Holieday[date],CONCATENATE("&lt;","=",J_SUBDAY(J_ADDDAY(D30,N30,1),1,1)))+SUMIFS(Holieday[Friday],Holieday[date],CONCATENATE("&gt;","=",D30),Holieday[date],CONCATENATE("&lt;","=",J_SUBDAY(J_ADDDAY(D30,N30,1),1,1))))=2,J_SUBDAY(J_ADDDAY(D30,N30+2,1),1,1),J_SUBDAY(J_ADDDAY(D30,N30+3,1),1,1)))))</f>
        <v>1398/06/30</v>
      </c>
      <c r="G30" s="2">
        <f t="shared" si="5"/>
        <v>13980630</v>
      </c>
      <c r="H30" s="109"/>
      <c r="I30" s="110">
        <v>1.1000000000000001</v>
      </c>
      <c r="J30" s="19">
        <f>j_WEEKDAY(D30,2)</f>
        <v>1</v>
      </c>
      <c r="K30" s="21">
        <f t="shared" si="7"/>
        <v>0</v>
      </c>
      <c r="L30" s="8">
        <f t="shared" si="8"/>
        <v>0</v>
      </c>
      <c r="M30" s="111">
        <v>0</v>
      </c>
      <c r="N30" s="108">
        <v>0</v>
      </c>
      <c r="O30" s="10">
        <f t="shared" si="9"/>
        <v>0</v>
      </c>
      <c r="P30" s="10">
        <f>VALUE(J_normdate(J_ADDDAY($D30,$O30,1)))</f>
        <v>13980631</v>
      </c>
      <c r="Q30" s="9">
        <f t="shared" si="10"/>
        <v>0</v>
      </c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JA30" s="113"/>
      <c r="JB30" s="113"/>
      <c r="JC30" s="113"/>
      <c r="JD30" s="66">
        <f>SUM((TEXT(JA30,"[M]")/60)*'Income Person-hours'!$D$3,(TEXT(JB30,"[M]")/60)*'Income Person-hours'!$D$4,(TEXT(JC30,"[M]")/60)*'Income Person-hours'!$D$5)</f>
        <v>0</v>
      </c>
    </row>
    <row r="31" spans="1:264" s="11" customFormat="1" ht="11.25" hidden="1">
      <c r="A31" s="30">
        <v>1.21</v>
      </c>
      <c r="B31" s="116"/>
      <c r="C31" s="107"/>
      <c r="D31" s="7" t="str">
        <f>IF(OR(j_WEEKDAY(J_ADDDAY(VLOOKUP(I31,A:F,6,FALSE),H31,1),0)=6,SUMIFS(Holieday[ok],Holieday[date],J_ADDDAY(VLOOKUP(I31,A:F,6,FALSE),H31,1)))=FALSE(),J_ADDDAY(VLOOKUP(I31,A:F,6,FALSE),H31,1),IF(OR(j_WEEKDAY(J_ADDDAY(VLOOKUP(I31,A:F,6,FALSE),H31+1,1),0)=6,SUMIFS(Holieday[ok],Holieday[date],J_ADDDAY(VLOOKUP(I31,A:F,6,FALSE),H31+1,1)))=FALSE(),J_ADDDAY(VLOOKUP(I31,A:F,6,FALSE),H31+1,1),IF(OR(j_WEEKDAY(J_ADDDAY(VLOOKUP(I31,A:F,6,FALSE),H31+2,1),0)=6,SUMIFS(Holieday[ok],Holieday[date],J_ADDDAY(VLOOKUP(I31,A:F,6,FALSE),H31+2,1)))=FALSE(),J_ADDDAY(VLOOKUP(I31,A:F,6,FALSE),H31+2,1),IF(OR(j_WEEKDAY(J_ADDDAY(VLOOKUP(I31,A:F,6,FALSE),H31+3,1),0)=6,SUMIFS(Holieday[ok],Holieday[date],J_ADDDAY(VLOOKUP(I31,A:F,6,FALSE),H31+3,1)))=FALSE(),J_ADDDAY(VLOOKUP(I31,A:F,6,FALSE),H31+3,1),IF(OR(j_WEEKDAY(J_ADDDAY(VLOOKUP(I31,A:F,6,FALSE),H31+4,1),0)=6,SUMIFS(Holieday[ok],Holieday[date],J_ADDDAY(VLOOKUP(I31,A:F,6,FALSE),H31+4,1)))=FALSE(),J_ADDDAY(VLOOKUP(I31,A:F,6,FALSE),H31+4,1),J_ADDDAY(VLOOKUP(I31,A:F,6,FALSE),H31+5,1))))))</f>
        <v>1398/06/31</v>
      </c>
      <c r="E31" s="1">
        <f t="shared" si="4"/>
        <v>13980631</v>
      </c>
      <c r="F31" s="12" t="str">
        <f>IF(N31=0,J_SUBDAY(D31,1,1),IF((N31-NETWORKDAYS.INTL(J_GregorianDate(D31,1),J_GregorianDate(J_SUBDAY(J_ADDDAY(D31,N31,1),1,1),1),16,1)-SUMIFS(Holieday[ok],Holieday[date],CONCATENATE("&gt;","=",D31),Holieday[date],CONCATENATE("&lt;","=",J_SUBDAY(J_ADDDAY(D31,N31,1),1,1)))+SUMIFS(Holieday[Friday],Holieday[date],CONCATENATE("&gt;","=",D31),Holieday[date],CONCATENATE("&lt;","=",J_SUBDAY(J_ADDDAY(D31,N31,1),1,1))))=0,J_SUBDAY(J_ADDDAY(D31,N31,1),1,1),IF((N31-NETWORKDAYS.INTL(J_GregorianDate(D31,1),J_GregorianDate(J_SUBDAY(J_ADDDAY(D31,N31,1),1,1),1),16,1)-SUMIFS(Holieday[ok],Holieday[date],CONCATENATE("&gt;","=",D31),Holieday[date],CONCATENATE("&lt;","=",J_SUBDAY(J_ADDDAY(D31,N31,1),1,1)))+SUMIFS(Holieday[Friday],Holieday[date],CONCATENATE("&gt;","=",D31),Holieday[date],CONCATENATE("&lt;","=",J_SUBDAY(J_ADDDAY(D31,N31,1),1,1))))=1,J_SUBDAY(J_ADDDAY(D31,N31+1,1),1,1),IF((N31-NETWORKDAYS.INTL(J_GregorianDate(D31,1),J_GregorianDate(J_SUBDAY(J_ADDDAY(D31,N31,1),1,1),1),16,1)-SUMIFS(Holieday[ok],Holieday[date],CONCATENATE("&gt;","=",D31),Holieday[date],CONCATENATE("&lt;","=",J_SUBDAY(J_ADDDAY(D31,N31,1),1,1)))+SUMIFS(Holieday[Friday],Holieday[date],CONCATENATE("&gt;","=",D31),Holieday[date],CONCATENATE("&lt;","=",J_SUBDAY(J_ADDDAY(D31,N31,1),1,1))))=2,J_SUBDAY(J_ADDDAY(D31,N31+2,1),1,1),J_SUBDAY(J_ADDDAY(D31,N31+3,1),1,1)))))</f>
        <v>1398/06/30</v>
      </c>
      <c r="G31" s="2">
        <f t="shared" si="5"/>
        <v>13980630</v>
      </c>
      <c r="H31" s="109"/>
      <c r="I31" s="110">
        <v>1.1000000000000001</v>
      </c>
      <c r="J31" s="19">
        <f>j_WEEKDAY(D31,2)</f>
        <v>1</v>
      </c>
      <c r="K31" s="21">
        <f t="shared" si="7"/>
        <v>0</v>
      </c>
      <c r="L31" s="8">
        <f t="shared" si="8"/>
        <v>0</v>
      </c>
      <c r="M31" s="111">
        <v>0</v>
      </c>
      <c r="N31" s="108">
        <v>0</v>
      </c>
      <c r="O31" s="10">
        <f t="shared" si="9"/>
        <v>0</v>
      </c>
      <c r="P31" s="10">
        <f>VALUE(J_normdate(J_ADDDAY($D31,$O31,1)))</f>
        <v>13980631</v>
      </c>
      <c r="Q31" s="9">
        <f t="shared" si="10"/>
        <v>0</v>
      </c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JA31" s="113"/>
      <c r="JB31" s="113"/>
      <c r="JC31" s="113"/>
      <c r="JD31" s="66">
        <f>SUM((TEXT(JA31,"[M]")/60)*'Income Person-hours'!$D$3,(TEXT(JB31,"[M]")/60)*'Income Person-hours'!$D$4,(TEXT(JC31,"[M]")/60)*'Income Person-hours'!$D$5)</f>
        <v>0</v>
      </c>
    </row>
    <row r="32" spans="1:264" s="11" customFormat="1" ht="11.25" hidden="1">
      <c r="A32" s="30">
        <v>1.22</v>
      </c>
      <c r="B32" s="116"/>
      <c r="C32" s="107"/>
      <c r="D32" s="7" t="str">
        <f>IF(OR(j_WEEKDAY(J_ADDDAY(VLOOKUP(I32,A:F,6,FALSE),H32,1),0)=6,SUMIFS(Holieday[ok],Holieday[date],J_ADDDAY(VLOOKUP(I32,A:F,6,FALSE),H32,1)))=FALSE(),J_ADDDAY(VLOOKUP(I32,A:F,6,FALSE),H32,1),IF(OR(j_WEEKDAY(J_ADDDAY(VLOOKUP(I32,A:F,6,FALSE),H32+1,1),0)=6,SUMIFS(Holieday[ok],Holieday[date],J_ADDDAY(VLOOKUP(I32,A:F,6,FALSE),H32+1,1)))=FALSE(),J_ADDDAY(VLOOKUP(I32,A:F,6,FALSE),H32+1,1),IF(OR(j_WEEKDAY(J_ADDDAY(VLOOKUP(I32,A:F,6,FALSE),H32+2,1),0)=6,SUMIFS(Holieday[ok],Holieday[date],J_ADDDAY(VLOOKUP(I32,A:F,6,FALSE),H32+2,1)))=FALSE(),J_ADDDAY(VLOOKUP(I32,A:F,6,FALSE),H32+2,1),IF(OR(j_WEEKDAY(J_ADDDAY(VLOOKUP(I32,A:F,6,FALSE),H32+3,1),0)=6,SUMIFS(Holieday[ok],Holieday[date],J_ADDDAY(VLOOKUP(I32,A:F,6,FALSE),H32+3,1)))=FALSE(),J_ADDDAY(VLOOKUP(I32,A:F,6,FALSE),H32+3,1),IF(OR(j_WEEKDAY(J_ADDDAY(VLOOKUP(I32,A:F,6,FALSE),H32+4,1),0)=6,SUMIFS(Holieday[ok],Holieday[date],J_ADDDAY(VLOOKUP(I32,A:F,6,FALSE),H32+4,1)))=FALSE(),J_ADDDAY(VLOOKUP(I32,A:F,6,FALSE),H32+4,1),J_ADDDAY(VLOOKUP(I32,A:F,6,FALSE),H32+5,1))))))</f>
        <v>1398/06/31</v>
      </c>
      <c r="E32" s="1">
        <f t="shared" si="4"/>
        <v>13980631</v>
      </c>
      <c r="F32" s="12" t="str">
        <f>IF(N32=0,J_SUBDAY(D32,1,1),IF((N32-NETWORKDAYS.INTL(J_GregorianDate(D32,1),J_GregorianDate(J_SUBDAY(J_ADDDAY(D32,N32,1),1,1),1),16,1)-SUMIFS(Holieday[ok],Holieday[date],CONCATENATE("&gt;","=",D32),Holieday[date],CONCATENATE("&lt;","=",J_SUBDAY(J_ADDDAY(D32,N32,1),1,1)))+SUMIFS(Holieday[Friday],Holieday[date],CONCATENATE("&gt;","=",D32),Holieday[date],CONCATENATE("&lt;","=",J_SUBDAY(J_ADDDAY(D32,N32,1),1,1))))=0,J_SUBDAY(J_ADDDAY(D32,N32,1),1,1),IF((N32-NETWORKDAYS.INTL(J_GregorianDate(D32,1),J_GregorianDate(J_SUBDAY(J_ADDDAY(D32,N32,1),1,1),1),16,1)-SUMIFS(Holieday[ok],Holieday[date],CONCATENATE("&gt;","=",D32),Holieday[date],CONCATENATE("&lt;","=",J_SUBDAY(J_ADDDAY(D32,N32,1),1,1)))+SUMIFS(Holieday[Friday],Holieday[date],CONCATENATE("&gt;","=",D32),Holieday[date],CONCATENATE("&lt;","=",J_SUBDAY(J_ADDDAY(D32,N32,1),1,1))))=1,J_SUBDAY(J_ADDDAY(D32,N32+1,1),1,1),IF((N32-NETWORKDAYS.INTL(J_GregorianDate(D32,1),J_GregorianDate(J_SUBDAY(J_ADDDAY(D32,N32,1),1,1),1),16,1)-SUMIFS(Holieday[ok],Holieday[date],CONCATENATE("&gt;","=",D32),Holieday[date],CONCATENATE("&lt;","=",J_SUBDAY(J_ADDDAY(D32,N32,1),1,1)))+SUMIFS(Holieday[Friday],Holieday[date],CONCATENATE("&gt;","=",D32),Holieday[date],CONCATENATE("&lt;","=",J_SUBDAY(J_ADDDAY(D32,N32,1),1,1))))=2,J_SUBDAY(J_ADDDAY(D32,N32+2,1),1,1),J_SUBDAY(J_ADDDAY(D32,N32+3,1),1,1)))))</f>
        <v>1398/06/30</v>
      </c>
      <c r="G32" s="2">
        <f t="shared" si="5"/>
        <v>13980630</v>
      </c>
      <c r="H32" s="109"/>
      <c r="I32" s="110">
        <v>1.1000000000000001</v>
      </c>
      <c r="J32" s="19">
        <f>j_WEEKDAY(D32,2)</f>
        <v>1</v>
      </c>
      <c r="K32" s="21">
        <f t="shared" si="7"/>
        <v>0</v>
      </c>
      <c r="L32" s="8">
        <f t="shared" si="8"/>
        <v>0</v>
      </c>
      <c r="M32" s="111">
        <v>0</v>
      </c>
      <c r="N32" s="108">
        <v>0</v>
      </c>
      <c r="O32" s="10">
        <f t="shared" si="9"/>
        <v>0</v>
      </c>
      <c r="P32" s="10">
        <f>VALUE(J_normdate(J_ADDDAY($D32,$O32,1)))</f>
        <v>13980631</v>
      </c>
      <c r="Q32" s="9">
        <f t="shared" si="10"/>
        <v>0</v>
      </c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JA32" s="113"/>
      <c r="JB32" s="113"/>
      <c r="JC32" s="113"/>
      <c r="JD32" s="66">
        <f>SUM((TEXT(JA32,"[M]")/60)*'Income Person-hours'!$D$3,(TEXT(JB32,"[M]")/60)*'Income Person-hours'!$D$4,(TEXT(JC32,"[M]")/60)*'Income Person-hours'!$D$5)</f>
        <v>0</v>
      </c>
    </row>
    <row r="33" spans="1:16383" s="11" customFormat="1" ht="11.25" hidden="1">
      <c r="A33" s="30">
        <v>1.23</v>
      </c>
      <c r="B33" s="116"/>
      <c r="C33" s="107"/>
      <c r="D33" s="7" t="str">
        <f>IF(OR(j_WEEKDAY(J_ADDDAY(VLOOKUP(I33,A:F,6,FALSE),H33,1),0)=6,SUMIFS(Holieday[ok],Holieday[date],J_ADDDAY(VLOOKUP(I33,A:F,6,FALSE),H33,1)))=FALSE(),J_ADDDAY(VLOOKUP(I33,A:F,6,FALSE),H33,1),IF(OR(j_WEEKDAY(J_ADDDAY(VLOOKUP(I33,A:F,6,FALSE),H33+1,1),0)=6,SUMIFS(Holieday[ok],Holieday[date],J_ADDDAY(VLOOKUP(I33,A:F,6,FALSE),H33+1,1)))=FALSE(),J_ADDDAY(VLOOKUP(I33,A:F,6,FALSE),H33+1,1),IF(OR(j_WEEKDAY(J_ADDDAY(VLOOKUP(I33,A:F,6,FALSE),H33+2,1),0)=6,SUMIFS(Holieday[ok],Holieday[date],J_ADDDAY(VLOOKUP(I33,A:F,6,FALSE),H33+2,1)))=FALSE(),J_ADDDAY(VLOOKUP(I33,A:F,6,FALSE),H33+2,1),IF(OR(j_WEEKDAY(J_ADDDAY(VLOOKUP(I33,A:F,6,FALSE),H33+3,1),0)=6,SUMIFS(Holieday[ok],Holieday[date],J_ADDDAY(VLOOKUP(I33,A:F,6,FALSE),H33+3,1)))=FALSE(),J_ADDDAY(VLOOKUP(I33,A:F,6,FALSE),H33+3,1),IF(OR(j_WEEKDAY(J_ADDDAY(VLOOKUP(I33,A:F,6,FALSE),H33+4,1),0)=6,SUMIFS(Holieday[ok],Holieday[date],J_ADDDAY(VLOOKUP(I33,A:F,6,FALSE),H33+4,1)))=FALSE(),J_ADDDAY(VLOOKUP(I33,A:F,6,FALSE),H33+4,1),J_ADDDAY(VLOOKUP(I33,A:F,6,FALSE),H33+5,1))))))</f>
        <v>1398/06/31</v>
      </c>
      <c r="E33" s="1">
        <f t="shared" si="4"/>
        <v>13980631</v>
      </c>
      <c r="F33" s="12" t="str">
        <f>IF(N33=0,J_SUBDAY(D33,1,1),IF((N33-NETWORKDAYS.INTL(J_GregorianDate(D33,1),J_GregorianDate(J_SUBDAY(J_ADDDAY(D33,N33,1),1,1),1),16,1)-SUMIFS(Holieday[ok],Holieday[date],CONCATENATE("&gt;","=",D33),Holieday[date],CONCATENATE("&lt;","=",J_SUBDAY(J_ADDDAY(D33,N33,1),1,1)))+SUMIFS(Holieday[Friday],Holieday[date],CONCATENATE("&gt;","=",D33),Holieday[date],CONCATENATE("&lt;","=",J_SUBDAY(J_ADDDAY(D33,N33,1),1,1))))=0,J_SUBDAY(J_ADDDAY(D33,N33,1),1,1),IF((N33-NETWORKDAYS.INTL(J_GregorianDate(D33,1),J_GregorianDate(J_SUBDAY(J_ADDDAY(D33,N33,1),1,1),1),16,1)-SUMIFS(Holieday[ok],Holieday[date],CONCATENATE("&gt;","=",D33),Holieday[date],CONCATENATE("&lt;","=",J_SUBDAY(J_ADDDAY(D33,N33,1),1,1)))+SUMIFS(Holieday[Friday],Holieday[date],CONCATENATE("&gt;","=",D33),Holieday[date],CONCATENATE("&lt;","=",J_SUBDAY(J_ADDDAY(D33,N33,1),1,1))))=1,J_SUBDAY(J_ADDDAY(D33,N33+1,1),1,1),IF((N33-NETWORKDAYS.INTL(J_GregorianDate(D33,1),J_GregorianDate(J_SUBDAY(J_ADDDAY(D33,N33,1),1,1),1),16,1)-SUMIFS(Holieday[ok],Holieday[date],CONCATENATE("&gt;","=",D33),Holieday[date],CONCATENATE("&lt;","=",J_SUBDAY(J_ADDDAY(D33,N33,1),1,1)))+SUMIFS(Holieday[Friday],Holieday[date],CONCATENATE("&gt;","=",D33),Holieday[date],CONCATENATE("&lt;","=",J_SUBDAY(J_ADDDAY(D33,N33,1),1,1))))=2,J_SUBDAY(J_ADDDAY(D33,N33+2,1),1,1),J_SUBDAY(J_ADDDAY(D33,N33+3,1),1,1)))))</f>
        <v>1398/06/30</v>
      </c>
      <c r="G33" s="2">
        <f t="shared" si="5"/>
        <v>13980630</v>
      </c>
      <c r="H33" s="109"/>
      <c r="I33" s="110">
        <v>1.1000000000000001</v>
      </c>
      <c r="J33" s="19">
        <f>j_WEEKDAY(D33,2)</f>
        <v>1</v>
      </c>
      <c r="K33" s="21">
        <f t="shared" si="7"/>
        <v>0</v>
      </c>
      <c r="L33" s="8">
        <f t="shared" si="8"/>
        <v>0</v>
      </c>
      <c r="M33" s="111">
        <v>0</v>
      </c>
      <c r="N33" s="108">
        <v>0</v>
      </c>
      <c r="O33" s="10">
        <f t="shared" si="9"/>
        <v>0</v>
      </c>
      <c r="P33" s="10">
        <f>VALUE(J_normdate(J_ADDDAY($D33,$O33,1)))</f>
        <v>13980631</v>
      </c>
      <c r="Q33" s="9">
        <f t="shared" si="10"/>
        <v>0</v>
      </c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JA33" s="113"/>
      <c r="JB33" s="113"/>
      <c r="JC33" s="113"/>
      <c r="JD33" s="66">
        <f>SUM((TEXT(JA33,"[M]")/60)*'Income Person-hours'!$D$3,(TEXT(JB33,"[M]")/60)*'Income Person-hours'!$D$4,(TEXT(JC33,"[M]")/60)*'Income Person-hours'!$D$5)</f>
        <v>0</v>
      </c>
    </row>
    <row r="34" spans="1:16383" s="11" customFormat="1" ht="13.5">
      <c r="A34" s="227" t="s">
        <v>180</v>
      </c>
      <c r="B34" s="241" t="s">
        <v>178</v>
      </c>
      <c r="C34" s="228" t="s">
        <v>79</v>
      </c>
      <c r="D34" s="235" t="str">
        <f>IF(OR(j_WEEKDAY(J_ADDDAY(VLOOKUP(I34,A:F,6,FALSE),H34,1),0)=6,SUMIFS(Holieday[ok],Holieday[date],J_ADDDAY(VLOOKUP(I34,A:F,6,FALSE),H34,1)))=FALSE(),J_ADDDAY(VLOOKUP(I34,A:F,6,FALSE),H34,1),IF(OR(j_WEEKDAY(J_ADDDAY(VLOOKUP(I34,A:F,6,FALSE),H34+1,1),0)=6,SUMIFS(Holieday[ok],Holieday[date],J_ADDDAY(VLOOKUP(I34,A:F,6,FALSE),H34+1,1)))=FALSE(),J_ADDDAY(VLOOKUP(I34,A:F,6,FALSE),H34+1,1),IF(OR(j_WEEKDAY(J_ADDDAY(VLOOKUP(I34,A:F,6,FALSE),H34+2,1),0)=6,SUMIFS(Holieday[ok],Holieday[date],J_ADDDAY(VLOOKUP(I34,A:F,6,FALSE),H34+2,1)))=FALSE(),J_ADDDAY(VLOOKUP(I34,A:F,6,FALSE),H34+2,1),IF(OR(j_WEEKDAY(J_ADDDAY(VLOOKUP(I34,A:F,6,FALSE),H34+3,1),0)=6,SUMIFS(Holieday[ok],Holieday[date],J_ADDDAY(VLOOKUP(I34,A:F,6,FALSE),H34+3,1)))=FALSE(),J_ADDDAY(VLOOKUP(I34,A:F,6,FALSE),H34+3,1),IF(OR(j_WEEKDAY(J_ADDDAY(VLOOKUP(I34,A:F,6,FALSE),H34+4,1),0)=6,SUMIFS(Holieday[ok],Holieday[date],J_ADDDAY(VLOOKUP(I34,A:F,6,FALSE),H34+4,1)))=FALSE(),J_ADDDAY(VLOOKUP(I34,A:F,6,FALSE),H34+4,1),J_ADDDAY(VLOOKUP(I34,A:F,6,FALSE),H34+5,1))))))</f>
        <v>1398/08/11</v>
      </c>
      <c r="E34" s="244" t="e">
        <f>IF(M34=0,J_SUBDAY(C34,1,1),IF((M34-(NETWORKDAYS.INTL(J_GregorianDate(C34,1),J_GregorianDate(J_SUBDAY(J_ADDDAY(C34,M34,1),1,1),1),16,1)))+SUMIFS(Holieday[ok],Holieday[date],CONCATENATE("&gt;","=",C34),Holieday[date],CONCATENATE("&lt;","=",J_SUBDAY(J_ADDDAY(C34,M34,1),1,1)))-SUMIFS(Holieday[Friday],Holieday[date],CONCATENATE("&gt;","=",C34),Holieday[date],CONCATENATE("&lt;","=",J_SUBDAY(J_ADDDAY(C34,M34,1),1,1)))=0,J_SUBDAY(J_ADDDAY(C34,M34,1),1,1),IF((M34+1-(NETWORKDAYS.INTL(J_GregorianDate(C34,1),J_GregorianDate(J_SUBDAY(J_ADDDAY(C34,M34+1,1),1,1),1),16,1)))+SUMIFS(Holieday[ok],Holieday[date],CONCATENATE("&gt;","=",C34),Holieday[date],CONCATENATE("&lt;","=",J_SUBDAY(J_ADDDAY(C34,M34+1,1),1,1)))-SUMIFS(Holieday[Friday],Holieday[date],CONCATENATE("&gt;","=",C34),Holieday[date],CONCATENATE("&lt;","=",J_SUBDAY(J_ADDDAY(C34,M34+1,1),1,1)))=1,J_SUBDAY(J_ADDDAY(C34,M34+1,1),1,1),IF((M34+2-(NETWORKDAYS.INTL(J_GregorianDate(C34,1),J_GregorianDate(J_SUBDAY(J_ADDDAY(C34,M34+2,1),1,1),1),16,1)))+SUMIFS(Holieday[ok],Holieday[date],CONCATENATE("&gt;","=",C34),Holieday[date],CONCATENATE("&lt;","=",J_SUBDAY(J_ADDDAY(C34,M34+2,1),1,1)))-SUMIFS(Holieday[Friday],Holieday[date],CONCATENATE("&gt;","=",C34),Holieday[date],CONCATENATE("&lt;","=",J_SUBDAY(J_ADDDAY(C34,M34+2,1),1,1)))=2,J_SUBDAY(J_ADDDAY(C34,M34+2,1),1,1),IF((M34+3-(NETWORKDAYS.INTL(J_GregorianDate(C34,1),J_GregorianDate(J_SUBDAY(J_ADDDAY(C34,M34+3,1),1,1),1),16,1)))+SUMIFS(Holieday[ok],Holieday[date],CONCATENATE("&gt;","=",C34),Holieday[date],CONCATENATE("&lt;","=",J_SUBDAY(J_ADDDAY(C34,M34+3,1),1,1)))-SUMIFS(Holieday[Friday],Holieday[date],CONCATENATE("&gt;","=",C34),Holieday[date],CONCATENATE("&lt;","=",J_SUBDAY(J_ADDDAY(C34,M34+3,1),1,1)))=3,J_SUBDAY(J_ADDDAY(C34,M34+3,1),1,1),IF((M34+4-(NETWORKDAYS.INTL(J_GregorianDate(C34,1),J_GregorianDate(J_SUBDAY(J_ADDDAY(C34,M34+4,1),1,1),1),16,1)))+SUMIFS(Holieday[ok],Holieday[date],CONCATENATE("&gt;","=",C34),Holieday[date],CONCATENATE("&lt;","=",J_SUBDAY(J_ADDDAY(C34,M34+4,1),1,1)))-SUMIFS(Holieday[Friday],Holieday[date],CONCATENATE("&gt;","=",C34),Holieday[date],CONCATENATE("&lt;","=",J_SUBDAY(J_ADDDAY(C34,M34+4,1),1,1)))=4,J_SUBDAY(J_ADDDAY(C34,M34+4,1),1,1),IF((M34+5-(NETWORKDAYS.INTL(J_GregorianDate(C34,1),J_GregorianDate(J_SUBDAY(J_ADDDAY(C34,M34+5,1),1,1),1),16,1)))+SUMIFS(Holieday[ok],Holieday[date],CONCATENATE("&gt;","=",C34),Holieday[date],CONCATENATE("&lt;","=",J_SUBDAY(J_ADDDAY(C34,M34+5,1),1,1)))-SUMIFS(Holieday[Friday],Holieday[date],CONCATENATE("&gt;","=",C34),Holieday[date],CONCATENATE("&lt;","=",J_SUBDAY(J_ADDDAY(C34,M34+5,1),1,1)))=5,J_SUBDAY(J_ADDDAY(C34,M34+5,1),1,1),J_SUBDAY(J_ADDDAY(C34,M34+6,1),1,1))))))))</f>
        <v>#VALUE!</v>
      </c>
      <c r="F34" s="244" t="str">
        <f>IF(N34=0,J_SUBDAY(D34,1,1),IF((N34-(NETWORKDAYS.INTL(J_GregorianDate(D34,1),J_GregorianDate(J_SUBDAY(J_ADDDAY(D34,N34,1),1,1),1),16,1)))+SUMIFS(Holieday[ok],Holieday[date],CONCATENATE("&gt;","=",D34),Holieday[date],CONCATENATE("&lt;","=",J_SUBDAY(J_ADDDAY(D34,N34,1),1,1)))-SUMIFS(Holieday[Friday],Holieday[date],CONCATENATE("&gt;","=",D34),Holieday[date],CONCATENATE("&lt;","=",J_SUBDAY(J_ADDDAY(D34,N34,1),1,1)))=0,J_SUBDAY(J_ADDDAY(D34,N34,1),1,1),IF((N34+1-(NETWORKDAYS.INTL(J_GregorianDate(D34,1),J_GregorianDate(J_SUBDAY(J_ADDDAY(D34,N34+1,1),1,1),1),16,1)))+SUMIFS(Holieday[ok],Holieday[date],CONCATENATE("&gt;","=",D34),Holieday[date],CONCATENATE("&lt;","=",J_SUBDAY(J_ADDDAY(D34,N34+1,1),1,1)))-SUMIFS(Holieday[Friday],Holieday[date],CONCATENATE("&gt;","=",D34),Holieday[date],CONCATENATE("&lt;","=",J_SUBDAY(J_ADDDAY(D34,N34+1,1),1,1)))=1,J_SUBDAY(J_ADDDAY(D34,N34+1,1),1,1),IF((N34+2-(NETWORKDAYS.INTL(J_GregorianDate(D34,1),J_GregorianDate(J_SUBDAY(J_ADDDAY(D34,N34+2,1),1,1),1),16,1)))+SUMIFS(Holieday[ok],Holieday[date],CONCATENATE("&gt;","=",D34),Holieday[date],CONCATENATE("&lt;","=",J_SUBDAY(J_ADDDAY(D34,N34+2,1),1,1)))-SUMIFS(Holieday[Friday],Holieday[date],CONCATENATE("&gt;","=",D34),Holieday[date],CONCATENATE("&lt;","=",J_SUBDAY(J_ADDDAY(D34,N34+2,1),1,1)))=2,J_SUBDAY(J_ADDDAY(D34,N34+2,1),1,1),IF((N34+3-(NETWORKDAYS.INTL(J_GregorianDate(D34,1),J_GregorianDate(J_SUBDAY(J_ADDDAY(D34,N34+3,1),1,1),1),16,1)))+SUMIFS(Holieday[ok],Holieday[date],CONCATENATE("&gt;","=",D34),Holieday[date],CONCATENATE("&lt;","=",J_SUBDAY(J_ADDDAY(D34,N34+3,1),1,1)))-SUMIFS(Holieday[Friday],Holieday[date],CONCATENATE("&gt;","=",D34),Holieday[date],CONCATENATE("&lt;","=",J_SUBDAY(J_ADDDAY(D34,N34+3,1),1,1)))=3,J_SUBDAY(J_ADDDAY(D34,N34+3,1),1,1),IF((N34+4-(NETWORKDAYS.INTL(J_GregorianDate(D34,1),J_GregorianDate(J_SUBDAY(J_ADDDAY(D34,N34+4,1),1,1),1),16,1)))+SUMIFS(Holieday[ok],Holieday[date],CONCATENATE("&gt;","=",D34),Holieday[date],CONCATENATE("&lt;","=",J_SUBDAY(J_ADDDAY(D34,N34+4,1),1,1)))-SUMIFS(Holieday[Friday],Holieday[date],CONCATENATE("&gt;","=",D34),Holieday[date],CONCATENATE("&lt;","=",J_SUBDAY(J_ADDDAY(D34,N34+4,1),1,1)))=4,J_SUBDAY(J_ADDDAY(D34,N34+4,1),1,1),IF((N34+5-(NETWORKDAYS.INTL(J_GregorianDate(D34,1),J_GregorianDate(J_SUBDAY(J_ADDDAY(D34,N34+5,1),1,1),1),16,1)))+SUMIFS(Holieday[ok],Holieday[date],CONCATENATE("&gt;","=",D34),Holieday[date],CONCATENATE("&lt;","=",J_SUBDAY(J_ADDDAY(D34,N34+5,1),1,1)))-SUMIFS(Holieday[Friday],Holieday[date],CONCATENATE("&gt;","=",D34),Holieday[date],CONCATENATE("&lt;","=",J_SUBDAY(J_ADDDAY(D34,N34+5,1),1,1)))=5,J_SUBDAY(J_ADDDAY(D34,N34+5,1),1,1),J_SUBDAY(J_ADDDAY(D34,N34+6,1),1,1))))))))</f>
        <v>1398/08/19</v>
      </c>
      <c r="G34" s="231">
        <v>1.4</v>
      </c>
      <c r="H34" s="230">
        <v>10</v>
      </c>
      <c r="I34" s="231">
        <v>1.6</v>
      </c>
      <c r="J34" s="229">
        <f>j_WEEKDAY(D34,2)</f>
        <v>0</v>
      </c>
      <c r="K34" s="234">
        <v>5</v>
      </c>
      <c r="L34" s="232">
        <f t="shared" si="8"/>
        <v>9</v>
      </c>
      <c r="M34" s="233">
        <v>0</v>
      </c>
      <c r="N34" s="234">
        <v>7</v>
      </c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169"/>
      <c r="AP34" s="169"/>
      <c r="AQ34" s="169"/>
      <c r="AR34" s="169"/>
      <c r="AS34" s="169"/>
      <c r="AT34" s="169"/>
      <c r="AU34" s="169"/>
      <c r="AV34" s="169"/>
      <c r="AW34" s="169"/>
      <c r="AX34" s="169"/>
      <c r="AY34" s="169"/>
      <c r="AZ34" s="169"/>
      <c r="BA34" s="169"/>
      <c r="BB34" s="169"/>
      <c r="BC34" s="169"/>
      <c r="BD34" s="169"/>
      <c r="BE34" s="169"/>
      <c r="BF34" s="169"/>
      <c r="BG34" s="169"/>
      <c r="BH34" s="169"/>
      <c r="BI34" s="169"/>
      <c r="BJ34" s="169"/>
      <c r="BK34" s="169"/>
      <c r="BL34" s="169"/>
      <c r="BM34" s="169"/>
      <c r="BN34" s="169"/>
      <c r="BO34" s="169"/>
      <c r="BP34" s="169"/>
      <c r="BQ34" s="169"/>
      <c r="BR34" s="169"/>
      <c r="BS34" s="169"/>
      <c r="BT34" s="169"/>
      <c r="BU34" s="169"/>
      <c r="BV34" s="169"/>
      <c r="BW34" s="169"/>
      <c r="BX34" s="169"/>
      <c r="BY34" s="169"/>
      <c r="BZ34" s="169"/>
      <c r="CA34" s="169"/>
      <c r="CB34" s="169"/>
      <c r="CC34" s="169"/>
      <c r="CD34" s="169"/>
      <c r="CE34" s="169"/>
      <c r="CF34" s="169"/>
      <c r="CG34" s="169"/>
      <c r="CH34" s="169"/>
      <c r="CI34" s="169"/>
      <c r="CJ34" s="169"/>
      <c r="CK34" s="169"/>
      <c r="CL34" s="169"/>
      <c r="CM34" s="169"/>
      <c r="CN34" s="169"/>
      <c r="CO34" s="169"/>
      <c r="CP34" s="169"/>
      <c r="CQ34" s="169"/>
      <c r="CR34" s="169"/>
      <c r="CS34" s="169"/>
      <c r="CT34" s="169"/>
      <c r="CU34" s="169"/>
      <c r="CV34" s="169"/>
      <c r="CW34" s="169"/>
      <c r="CX34" s="169"/>
      <c r="CY34" s="169"/>
      <c r="CZ34" s="169"/>
      <c r="DA34" s="169"/>
      <c r="DB34" s="169"/>
      <c r="DC34" s="169"/>
      <c r="DD34" s="169"/>
      <c r="DE34" s="169"/>
      <c r="DF34" s="169"/>
      <c r="DG34" s="169"/>
      <c r="DH34" s="169"/>
      <c r="DI34" s="169"/>
      <c r="DJ34" s="169"/>
      <c r="DK34" s="169"/>
      <c r="DL34" s="169"/>
      <c r="DM34" s="169"/>
      <c r="DN34" s="169"/>
      <c r="DO34" s="169"/>
      <c r="DP34" s="169"/>
      <c r="DQ34" s="169"/>
      <c r="DR34" s="169"/>
      <c r="DS34" s="169"/>
      <c r="DT34" s="169"/>
      <c r="DU34" s="169"/>
      <c r="DV34" s="169"/>
      <c r="DW34" s="169"/>
      <c r="DX34" s="169"/>
      <c r="DY34" s="169"/>
      <c r="DZ34" s="169"/>
      <c r="EA34" s="169"/>
      <c r="EB34" s="169"/>
      <c r="EC34" s="169"/>
      <c r="ED34" s="169"/>
      <c r="EE34" s="169"/>
      <c r="EF34" s="169"/>
      <c r="EG34" s="169"/>
      <c r="EH34" s="169"/>
      <c r="EI34" s="169"/>
      <c r="EJ34" s="169"/>
      <c r="EK34" s="169"/>
      <c r="EL34" s="169"/>
      <c r="EM34" s="169"/>
      <c r="EN34" s="169"/>
      <c r="EO34" s="169"/>
      <c r="EP34" s="169"/>
      <c r="EQ34" s="169"/>
      <c r="ER34" s="169"/>
      <c r="ES34" s="169"/>
      <c r="ET34" s="169"/>
      <c r="EU34" s="169"/>
      <c r="EV34" s="169"/>
      <c r="EW34" s="169"/>
      <c r="EX34" s="169"/>
      <c r="EY34" s="169"/>
      <c r="EZ34" s="169"/>
      <c r="FA34" s="169"/>
      <c r="FB34" s="169"/>
      <c r="FC34" s="169"/>
      <c r="FD34" s="169"/>
      <c r="FE34" s="169"/>
      <c r="FF34" s="169"/>
      <c r="FG34" s="169"/>
      <c r="FH34" s="169"/>
      <c r="FI34" s="169"/>
      <c r="FJ34" s="169"/>
      <c r="FK34" s="169"/>
      <c r="FL34" s="169"/>
      <c r="FM34" s="169"/>
      <c r="FN34" s="169"/>
      <c r="FO34" s="169"/>
      <c r="FP34" s="169"/>
      <c r="FQ34" s="169"/>
      <c r="FR34" s="169"/>
      <c r="FS34" s="169"/>
      <c r="FT34" s="169"/>
      <c r="FU34" s="169"/>
      <c r="FV34" s="169"/>
      <c r="FW34" s="169"/>
      <c r="FX34" s="169"/>
      <c r="FY34" s="169"/>
      <c r="FZ34" s="169"/>
      <c r="GA34" s="169"/>
      <c r="GB34" s="169"/>
      <c r="GC34" s="169"/>
      <c r="GD34" s="169"/>
      <c r="GE34" s="169"/>
      <c r="GF34" s="169"/>
      <c r="GG34" s="169"/>
      <c r="GH34" s="169"/>
      <c r="GI34" s="169"/>
      <c r="GJ34" s="169"/>
      <c r="GK34" s="169"/>
      <c r="GL34" s="169"/>
      <c r="GM34" s="169"/>
      <c r="GN34" s="169"/>
      <c r="GO34" s="169"/>
      <c r="GP34" s="169"/>
      <c r="GQ34" s="169"/>
      <c r="GR34" s="169"/>
      <c r="GS34" s="169"/>
      <c r="GT34" s="169"/>
      <c r="GU34" s="169"/>
      <c r="GV34" s="169"/>
      <c r="GW34" s="169"/>
      <c r="GX34" s="169"/>
      <c r="GY34" s="169"/>
      <c r="GZ34" s="169"/>
      <c r="HA34" s="169"/>
      <c r="HB34" s="169"/>
      <c r="HC34" s="169"/>
      <c r="HD34" s="169"/>
      <c r="HE34" s="169"/>
      <c r="HF34" s="169"/>
      <c r="HG34" s="169"/>
      <c r="HH34" s="169"/>
      <c r="HI34" s="169"/>
      <c r="HJ34" s="169"/>
      <c r="HK34" s="169"/>
      <c r="HL34" s="169"/>
      <c r="HM34" s="169"/>
      <c r="HN34" s="169"/>
      <c r="HO34" s="169"/>
      <c r="HP34" s="169"/>
      <c r="HQ34" s="169"/>
      <c r="HR34" s="169"/>
      <c r="HS34" s="169"/>
      <c r="HT34" s="169"/>
      <c r="HU34" s="169"/>
      <c r="HV34" s="169"/>
      <c r="HW34" s="169"/>
      <c r="HX34" s="169"/>
      <c r="HY34" s="169"/>
      <c r="HZ34" s="169"/>
      <c r="IA34" s="169"/>
      <c r="IB34" s="169"/>
      <c r="IC34" s="169"/>
      <c r="ID34" s="169"/>
      <c r="IE34" s="169"/>
      <c r="IF34" s="169"/>
      <c r="IG34" s="169"/>
      <c r="IH34" s="169"/>
      <c r="II34" s="169"/>
      <c r="IJ34" s="169"/>
      <c r="IK34" s="169"/>
      <c r="IL34" s="169"/>
      <c r="IM34" s="169"/>
      <c r="IN34" s="169"/>
      <c r="IO34" s="169"/>
      <c r="IP34" s="169"/>
      <c r="IQ34" s="169"/>
      <c r="IR34" s="169"/>
      <c r="IS34" s="29">
        <v>1</v>
      </c>
      <c r="IT34" s="40" t="e">
        <f>(TEXT(E34,"[m]")/60)*VLOOKUP(IS34,'Income Person-hours'!#REF!,3,FALSE)</f>
        <v>#VALUE!</v>
      </c>
      <c r="IU34" s="112"/>
      <c r="IV34" s="112"/>
      <c r="IW34" s="112"/>
      <c r="IX34" s="192">
        <f>SUM((TEXT(IU34,"[M]")/60)*'Income Person-hours'!$D$3,(TEXT(IV34,"[M]")/60)*'Income Person-hours'!$D$4,(TEXT(IW34,"[M]")/60)*'Income Person-hours'!$D$5)</f>
        <v>0</v>
      </c>
      <c r="IY34" s="191"/>
      <c r="IZ34" s="191"/>
      <c r="JA34" s="191"/>
      <c r="JB34" s="191"/>
      <c r="JC34" s="191"/>
      <c r="JD34" s="191"/>
      <c r="JE34" s="191"/>
      <c r="JF34" s="191"/>
      <c r="JG34" s="191"/>
      <c r="JH34" s="191"/>
      <c r="JI34" s="191"/>
      <c r="JJ34" s="191"/>
      <c r="JK34" s="191"/>
      <c r="JL34" s="191"/>
      <c r="JM34" s="191"/>
      <c r="JN34" s="191"/>
      <c r="JO34" s="191"/>
      <c r="JP34" s="191"/>
      <c r="JQ34" s="191"/>
      <c r="JR34" s="191"/>
      <c r="JS34" s="191"/>
      <c r="JT34" s="191"/>
      <c r="JU34" s="191"/>
      <c r="JV34" s="191"/>
      <c r="JW34" s="191"/>
      <c r="JX34" s="191"/>
      <c r="JY34" s="191"/>
      <c r="JZ34" s="191"/>
      <c r="KA34" s="191"/>
      <c r="KB34" s="191"/>
      <c r="KC34" s="191"/>
      <c r="KD34" s="191"/>
      <c r="KE34" s="191"/>
      <c r="KF34" s="191"/>
      <c r="KG34" s="191"/>
      <c r="KH34" s="191"/>
      <c r="KI34" s="191"/>
      <c r="KJ34" s="191"/>
      <c r="KK34" s="191"/>
      <c r="KL34" s="191"/>
      <c r="KM34" s="191"/>
      <c r="KN34" s="191"/>
      <c r="KO34" s="191"/>
      <c r="KP34" s="191"/>
      <c r="KQ34" s="191"/>
      <c r="KR34" s="191"/>
      <c r="KS34" s="191"/>
      <c r="KT34" s="191"/>
      <c r="KU34" s="191"/>
      <c r="KV34" s="191"/>
      <c r="KW34" s="191"/>
      <c r="KX34" s="191"/>
      <c r="KY34" s="191"/>
      <c r="KZ34" s="191"/>
      <c r="LA34" s="191"/>
      <c r="LB34" s="191"/>
      <c r="LC34" s="191"/>
      <c r="LD34" s="191"/>
      <c r="LE34" s="191"/>
      <c r="LF34" s="191"/>
      <c r="LG34" s="191"/>
      <c r="LH34" s="191"/>
      <c r="LI34" s="191"/>
      <c r="LJ34" s="191"/>
      <c r="LK34" s="191"/>
      <c r="LL34" s="191"/>
      <c r="LM34" s="191"/>
      <c r="LN34" s="191"/>
      <c r="LO34" s="191"/>
      <c r="LP34" s="191"/>
      <c r="LQ34" s="191"/>
      <c r="LR34" s="191"/>
      <c r="LS34" s="191"/>
      <c r="LT34" s="191"/>
      <c r="LU34" s="191"/>
      <c r="LV34" s="191"/>
      <c r="LW34" s="191"/>
      <c r="LX34" s="191"/>
      <c r="LY34" s="191"/>
      <c r="LZ34" s="191"/>
      <c r="MA34" s="191"/>
      <c r="MB34" s="191"/>
      <c r="MC34" s="191"/>
      <c r="MD34" s="191"/>
      <c r="ME34" s="191"/>
      <c r="MF34" s="191"/>
      <c r="MG34" s="191"/>
      <c r="MH34" s="191"/>
      <c r="MI34" s="191"/>
      <c r="MJ34" s="191"/>
      <c r="MK34" s="191"/>
      <c r="ML34" s="191"/>
      <c r="MM34" s="191"/>
      <c r="MN34" s="191"/>
      <c r="MO34" s="191"/>
      <c r="MP34" s="191"/>
      <c r="MQ34" s="191"/>
      <c r="MR34" s="191"/>
      <c r="MS34" s="191"/>
      <c r="MT34" s="191"/>
      <c r="MU34" s="191"/>
      <c r="MV34" s="191"/>
      <c r="MW34" s="191"/>
      <c r="MX34" s="191"/>
      <c r="MY34" s="191"/>
      <c r="MZ34" s="191"/>
      <c r="NA34" s="191"/>
      <c r="NB34" s="191"/>
      <c r="NC34" s="191"/>
      <c r="ND34" s="191"/>
      <c r="NE34" s="191"/>
      <c r="NF34" s="191"/>
      <c r="NG34" s="191"/>
      <c r="NH34" s="191"/>
      <c r="NI34" s="191"/>
      <c r="NJ34" s="191"/>
      <c r="NK34" s="191"/>
      <c r="NL34" s="191"/>
      <c r="NM34" s="191"/>
      <c r="NN34" s="191"/>
      <c r="NO34" s="191"/>
      <c r="NP34" s="191"/>
      <c r="NQ34" s="191"/>
      <c r="NR34" s="191"/>
      <c r="NS34" s="191"/>
      <c r="NT34" s="191"/>
      <c r="NU34" s="191"/>
      <c r="NV34" s="191"/>
      <c r="NW34" s="191"/>
      <c r="NX34" s="191"/>
      <c r="NY34" s="191"/>
      <c r="NZ34" s="191"/>
      <c r="OA34" s="191"/>
      <c r="OB34" s="191"/>
      <c r="OC34" s="191"/>
      <c r="OD34" s="191"/>
      <c r="OE34" s="191"/>
      <c r="OF34" s="191"/>
      <c r="OG34" s="191"/>
      <c r="OH34" s="191"/>
      <c r="OI34" s="191"/>
      <c r="OJ34" s="191"/>
      <c r="OK34" s="191"/>
      <c r="OL34" s="191"/>
      <c r="OM34" s="191"/>
      <c r="ON34" s="191"/>
      <c r="OO34" s="191"/>
      <c r="OP34" s="191"/>
      <c r="OQ34" s="191"/>
      <c r="OR34" s="191"/>
      <c r="OS34" s="191"/>
      <c r="OT34" s="191"/>
      <c r="OU34" s="191"/>
      <c r="OV34" s="191"/>
      <c r="OW34" s="191"/>
      <c r="OX34" s="191"/>
      <c r="OY34" s="191"/>
      <c r="OZ34" s="191"/>
      <c r="PA34" s="191"/>
      <c r="PB34" s="191"/>
      <c r="PC34" s="191"/>
      <c r="PD34" s="191"/>
      <c r="PE34" s="191"/>
      <c r="PF34" s="191"/>
      <c r="PG34" s="191"/>
      <c r="PH34" s="191"/>
      <c r="PI34" s="191"/>
      <c r="PJ34" s="191"/>
      <c r="PK34" s="191"/>
      <c r="PL34" s="191"/>
      <c r="PM34" s="191"/>
      <c r="PN34" s="191"/>
      <c r="PO34" s="191"/>
      <c r="PP34" s="191"/>
      <c r="PQ34" s="191"/>
      <c r="PR34" s="191"/>
      <c r="PS34" s="191"/>
      <c r="PT34" s="191"/>
      <c r="PU34" s="191"/>
      <c r="PV34" s="191"/>
      <c r="PW34" s="191"/>
      <c r="PX34" s="191"/>
      <c r="PY34" s="191"/>
      <c r="PZ34" s="191"/>
      <c r="QA34" s="191"/>
      <c r="QB34" s="191"/>
      <c r="QC34" s="191"/>
      <c r="QD34" s="191"/>
      <c r="QE34" s="191"/>
      <c r="QF34" s="191"/>
      <c r="QG34" s="191"/>
      <c r="QH34" s="191"/>
      <c r="QI34" s="191"/>
      <c r="QJ34" s="191"/>
      <c r="QK34" s="191"/>
      <c r="QL34" s="191"/>
      <c r="QM34" s="191"/>
      <c r="QN34" s="191"/>
      <c r="QO34" s="191"/>
      <c r="QP34" s="191"/>
      <c r="QQ34" s="191"/>
      <c r="QR34" s="191"/>
      <c r="QS34" s="191"/>
      <c r="QT34" s="191"/>
      <c r="QU34" s="191"/>
      <c r="QV34" s="191"/>
      <c r="QW34" s="191"/>
      <c r="QX34" s="191"/>
      <c r="QY34" s="191"/>
      <c r="QZ34" s="191"/>
      <c r="RA34" s="191"/>
      <c r="RB34" s="191"/>
      <c r="RC34" s="191"/>
      <c r="RD34" s="191"/>
      <c r="RE34" s="191"/>
      <c r="RF34" s="191"/>
      <c r="RG34" s="191"/>
      <c r="RH34" s="191"/>
      <c r="RI34" s="191"/>
      <c r="RJ34" s="191"/>
      <c r="RK34" s="191"/>
      <c r="RL34" s="191"/>
      <c r="RM34" s="191"/>
      <c r="RN34" s="191"/>
      <c r="RO34" s="191"/>
      <c r="RP34" s="191"/>
      <c r="RQ34" s="191"/>
      <c r="RR34" s="191"/>
      <c r="RS34" s="191"/>
      <c r="RT34" s="191"/>
      <c r="RU34" s="191"/>
      <c r="RV34" s="191"/>
      <c r="RW34" s="191"/>
      <c r="RX34" s="191"/>
      <c r="RY34" s="191"/>
      <c r="RZ34" s="191"/>
      <c r="SA34" s="191"/>
      <c r="SB34" s="191"/>
      <c r="SC34" s="191"/>
      <c r="SD34" s="191"/>
      <c r="SE34" s="191"/>
      <c r="SF34" s="191"/>
      <c r="SG34" s="191"/>
      <c r="SH34" s="191"/>
      <c r="SI34" s="191"/>
      <c r="SJ34" s="191"/>
      <c r="SK34" s="191"/>
      <c r="SL34" s="191"/>
      <c r="SM34" s="191"/>
      <c r="SN34" s="191"/>
      <c r="SO34" s="191"/>
      <c r="SP34" s="191"/>
      <c r="SQ34" s="191"/>
      <c r="SR34" s="191"/>
      <c r="SS34" s="191"/>
      <c r="ST34" s="191"/>
      <c r="SU34" s="191"/>
      <c r="SV34" s="191"/>
      <c r="SW34" s="191"/>
      <c r="SX34" s="191"/>
      <c r="SY34" s="191"/>
      <c r="SZ34" s="191"/>
      <c r="TA34" s="191"/>
      <c r="TB34" s="191"/>
      <c r="TC34" s="191"/>
      <c r="TD34" s="191"/>
      <c r="TE34" s="191"/>
      <c r="TF34" s="191"/>
      <c r="TG34" s="191"/>
      <c r="TH34" s="191"/>
      <c r="TI34" s="191"/>
      <c r="TJ34" s="191"/>
      <c r="TK34" s="191"/>
      <c r="TL34" s="191"/>
      <c r="TM34" s="191"/>
      <c r="TN34" s="191"/>
      <c r="TO34" s="191"/>
      <c r="TP34" s="191"/>
      <c r="TQ34" s="191"/>
      <c r="TR34" s="191"/>
      <c r="TS34" s="191"/>
      <c r="TT34" s="191"/>
      <c r="TU34" s="191"/>
      <c r="TV34" s="191"/>
      <c r="TW34" s="191"/>
      <c r="TX34" s="191"/>
      <c r="TY34" s="191"/>
      <c r="TZ34" s="191"/>
      <c r="UA34" s="191"/>
      <c r="UB34" s="191"/>
      <c r="UC34" s="191"/>
      <c r="UD34" s="191"/>
      <c r="UE34" s="191"/>
      <c r="UF34" s="191"/>
      <c r="UG34" s="191"/>
      <c r="UH34" s="191"/>
      <c r="UI34" s="191"/>
      <c r="UJ34" s="191"/>
      <c r="UK34" s="191"/>
      <c r="UL34" s="191"/>
      <c r="UM34" s="191"/>
      <c r="UN34" s="191"/>
      <c r="UO34" s="191"/>
      <c r="UP34" s="191"/>
      <c r="UQ34" s="191"/>
      <c r="UR34" s="191"/>
      <c r="US34" s="191"/>
      <c r="UT34" s="191"/>
      <c r="UU34" s="191"/>
      <c r="UV34" s="191"/>
      <c r="UW34" s="191"/>
      <c r="UX34" s="191"/>
      <c r="UY34" s="191"/>
      <c r="UZ34" s="191"/>
      <c r="VA34" s="191"/>
      <c r="VB34" s="191"/>
      <c r="VC34" s="191"/>
      <c r="VD34" s="191"/>
      <c r="VE34" s="191"/>
      <c r="VF34" s="191"/>
      <c r="VG34" s="191"/>
      <c r="VH34" s="191"/>
      <c r="VI34" s="191"/>
      <c r="VJ34" s="191"/>
      <c r="VK34" s="191"/>
      <c r="VL34" s="191"/>
      <c r="VM34" s="191"/>
      <c r="VN34" s="191"/>
      <c r="VO34" s="191"/>
      <c r="VP34" s="191"/>
      <c r="VQ34" s="191"/>
      <c r="VR34" s="191"/>
      <c r="VS34" s="191"/>
      <c r="VT34" s="191"/>
      <c r="VU34" s="191"/>
      <c r="VV34" s="191"/>
      <c r="VW34" s="191"/>
      <c r="VX34" s="191"/>
      <c r="VY34" s="191"/>
      <c r="VZ34" s="191"/>
      <c r="WA34" s="191"/>
      <c r="WB34" s="191"/>
      <c r="WC34" s="191"/>
      <c r="WD34" s="191"/>
      <c r="WE34" s="191"/>
      <c r="WF34" s="191"/>
      <c r="WG34" s="191"/>
      <c r="WH34" s="191"/>
      <c r="WI34" s="191"/>
      <c r="WJ34" s="191"/>
      <c r="WK34" s="191"/>
      <c r="WL34" s="191"/>
      <c r="WM34" s="191"/>
      <c r="WN34" s="191"/>
      <c r="WO34" s="191"/>
      <c r="WP34" s="191"/>
      <c r="WQ34" s="191"/>
      <c r="WR34" s="191"/>
      <c r="WS34" s="191"/>
      <c r="WT34" s="191"/>
      <c r="WU34" s="191"/>
      <c r="WV34" s="191"/>
      <c r="WW34" s="191"/>
      <c r="WX34" s="191"/>
      <c r="WY34" s="191"/>
      <c r="WZ34" s="191"/>
      <c r="XA34" s="191"/>
      <c r="XB34" s="191"/>
      <c r="XC34" s="191"/>
      <c r="XD34" s="191"/>
      <c r="XE34" s="191"/>
      <c r="XF34" s="191"/>
      <c r="XG34" s="191"/>
      <c r="XH34" s="191"/>
      <c r="XI34" s="191"/>
      <c r="XJ34" s="191"/>
      <c r="XK34" s="191"/>
      <c r="XL34" s="191"/>
      <c r="XM34" s="191"/>
      <c r="XN34" s="191"/>
      <c r="XO34" s="191"/>
      <c r="XP34" s="191"/>
      <c r="XQ34" s="191"/>
      <c r="XR34" s="191"/>
      <c r="XS34" s="191"/>
      <c r="XT34" s="191"/>
      <c r="XU34" s="191"/>
      <c r="XV34" s="191"/>
      <c r="XW34" s="191"/>
      <c r="XX34" s="191"/>
      <c r="XY34" s="191"/>
      <c r="XZ34" s="191"/>
      <c r="YA34" s="191"/>
      <c r="YB34" s="191"/>
      <c r="YC34" s="191"/>
      <c r="YD34" s="191"/>
      <c r="YE34" s="191"/>
      <c r="YF34" s="191"/>
      <c r="YG34" s="191"/>
      <c r="YH34" s="191"/>
      <c r="YI34" s="191"/>
      <c r="YJ34" s="191"/>
      <c r="YK34" s="191"/>
      <c r="YL34" s="191"/>
      <c r="YM34" s="191"/>
      <c r="YN34" s="191"/>
      <c r="YO34" s="191"/>
      <c r="YP34" s="191"/>
      <c r="YQ34" s="191"/>
      <c r="YR34" s="191"/>
      <c r="YS34" s="191"/>
      <c r="YT34" s="191"/>
      <c r="YU34" s="191"/>
      <c r="YV34" s="191"/>
      <c r="YW34" s="191"/>
      <c r="YX34" s="191"/>
      <c r="YY34" s="191"/>
      <c r="YZ34" s="191"/>
      <c r="ZA34" s="191"/>
      <c r="ZB34" s="191"/>
      <c r="ZC34" s="191"/>
      <c r="ZD34" s="191"/>
      <c r="ZE34" s="191"/>
      <c r="ZF34" s="191"/>
      <c r="ZG34" s="191"/>
      <c r="ZH34" s="191"/>
      <c r="ZI34" s="191"/>
      <c r="ZJ34" s="191"/>
      <c r="ZK34" s="191"/>
      <c r="ZL34" s="191"/>
      <c r="ZM34" s="191"/>
      <c r="ZN34" s="191"/>
      <c r="ZO34" s="191"/>
      <c r="ZP34" s="191"/>
      <c r="ZQ34" s="191"/>
      <c r="ZR34" s="191"/>
      <c r="ZS34" s="191"/>
      <c r="ZT34" s="191"/>
      <c r="ZU34" s="191"/>
      <c r="ZV34" s="191"/>
      <c r="ZW34" s="191"/>
      <c r="ZX34" s="191"/>
      <c r="ZY34" s="191"/>
      <c r="ZZ34" s="191"/>
      <c r="AAA34" s="191"/>
      <c r="AAB34" s="191"/>
      <c r="AAC34" s="191"/>
      <c r="AAD34" s="191"/>
      <c r="AAE34" s="191"/>
      <c r="AAF34" s="191"/>
      <c r="AAG34" s="191"/>
      <c r="AAH34" s="191"/>
      <c r="AAI34" s="191"/>
      <c r="AAJ34" s="191"/>
      <c r="AAK34" s="191"/>
      <c r="AAL34" s="191"/>
      <c r="AAM34" s="191"/>
      <c r="AAN34" s="191"/>
      <c r="AAO34" s="191"/>
      <c r="AAP34" s="191"/>
      <c r="AAQ34" s="191"/>
      <c r="AAR34" s="191"/>
      <c r="AAS34" s="191"/>
      <c r="AAT34" s="191"/>
      <c r="AAU34" s="191"/>
      <c r="AAV34" s="191"/>
      <c r="AAW34" s="191"/>
      <c r="AAX34" s="191"/>
      <c r="AAY34" s="191"/>
      <c r="AAZ34" s="191"/>
      <c r="ABA34" s="191"/>
      <c r="ABB34" s="191"/>
      <c r="ABC34" s="191"/>
      <c r="ABD34" s="191"/>
      <c r="ABE34" s="191"/>
      <c r="ABF34" s="191"/>
      <c r="ABG34" s="191"/>
      <c r="ABH34" s="191"/>
      <c r="ABI34" s="191"/>
      <c r="ABJ34" s="191"/>
      <c r="ABK34" s="191"/>
      <c r="ABL34" s="191"/>
      <c r="ABM34" s="191"/>
      <c r="ABN34" s="191"/>
      <c r="ABO34" s="191"/>
      <c r="ABP34" s="191"/>
      <c r="ABQ34" s="191"/>
      <c r="ABR34" s="191"/>
      <c r="ABS34" s="191"/>
      <c r="ABT34" s="191"/>
      <c r="ABU34" s="191"/>
      <c r="ABV34" s="191"/>
      <c r="ABW34" s="191"/>
      <c r="ABX34" s="191"/>
      <c r="ABY34" s="191"/>
      <c r="ABZ34" s="191"/>
      <c r="ACA34" s="191"/>
      <c r="ACB34" s="191"/>
      <c r="ACC34" s="191"/>
      <c r="ACD34" s="191"/>
      <c r="ACE34" s="191"/>
      <c r="ACF34" s="191"/>
      <c r="ACG34" s="191"/>
      <c r="ACH34" s="191"/>
      <c r="ACI34" s="191"/>
      <c r="ACJ34" s="191"/>
      <c r="ACK34" s="191"/>
      <c r="ACL34" s="191"/>
      <c r="ACM34" s="191"/>
      <c r="ACN34" s="191"/>
      <c r="ACO34" s="191"/>
      <c r="ACP34" s="191"/>
      <c r="ACQ34" s="191"/>
      <c r="ACR34" s="191"/>
      <c r="ACS34" s="191"/>
      <c r="ACT34" s="191"/>
      <c r="ACU34" s="191"/>
      <c r="ACV34" s="191"/>
      <c r="ACW34" s="191"/>
      <c r="ACX34" s="191"/>
      <c r="ACY34" s="191"/>
      <c r="ACZ34" s="191"/>
      <c r="ADA34" s="191"/>
      <c r="ADB34" s="191"/>
      <c r="ADC34" s="191"/>
      <c r="ADD34" s="191"/>
      <c r="ADE34" s="191"/>
      <c r="ADF34" s="191"/>
      <c r="ADG34" s="191"/>
      <c r="ADH34" s="191"/>
      <c r="ADI34" s="191"/>
      <c r="ADJ34" s="191"/>
      <c r="ADK34" s="191"/>
      <c r="ADL34" s="191"/>
      <c r="ADM34" s="191"/>
      <c r="ADN34" s="191"/>
      <c r="ADO34" s="191"/>
      <c r="ADP34" s="191"/>
      <c r="ADQ34" s="191"/>
      <c r="ADR34" s="191"/>
      <c r="ADS34" s="191"/>
      <c r="ADT34" s="191"/>
      <c r="ADU34" s="191"/>
      <c r="ADV34" s="191"/>
      <c r="ADW34" s="191"/>
      <c r="ADX34" s="191"/>
      <c r="ADY34" s="191"/>
      <c r="ADZ34" s="191"/>
      <c r="AEA34" s="191"/>
      <c r="AEB34" s="191"/>
      <c r="AEC34" s="191"/>
      <c r="AED34" s="191"/>
      <c r="AEE34" s="191"/>
      <c r="AEF34" s="191"/>
      <c r="AEG34" s="191"/>
      <c r="AEH34" s="191"/>
      <c r="AEI34" s="191"/>
      <c r="AEJ34" s="191"/>
      <c r="AEK34" s="191"/>
      <c r="AEL34" s="191"/>
      <c r="AEM34" s="191"/>
      <c r="AEN34" s="191"/>
      <c r="AEO34" s="191"/>
      <c r="AEP34" s="191"/>
      <c r="AEQ34" s="191"/>
      <c r="AER34" s="191"/>
      <c r="AES34" s="191"/>
      <c r="AET34" s="191"/>
      <c r="AEU34" s="191"/>
      <c r="AEV34" s="191"/>
      <c r="AEW34" s="191"/>
      <c r="AEX34" s="191"/>
      <c r="AEY34" s="191"/>
      <c r="AEZ34" s="191"/>
      <c r="AFA34" s="191"/>
      <c r="AFB34" s="191"/>
      <c r="AFC34" s="191"/>
      <c r="AFD34" s="191"/>
      <c r="AFE34" s="191"/>
      <c r="AFF34" s="191"/>
      <c r="AFG34" s="191"/>
      <c r="AFH34" s="191"/>
      <c r="AFI34" s="191"/>
      <c r="AFJ34" s="191"/>
      <c r="AFK34" s="191"/>
      <c r="AFL34" s="191"/>
      <c r="AFM34" s="191"/>
      <c r="AFN34" s="191"/>
      <c r="AFO34" s="191"/>
      <c r="AFP34" s="191"/>
      <c r="AFQ34" s="191"/>
      <c r="AFR34" s="191"/>
      <c r="AFS34" s="191"/>
      <c r="AFT34" s="191"/>
      <c r="AFU34" s="191"/>
      <c r="AFV34" s="191"/>
      <c r="AFW34" s="191"/>
      <c r="AFX34" s="191"/>
      <c r="AFY34" s="191"/>
      <c r="AFZ34" s="191"/>
      <c r="AGA34" s="191"/>
      <c r="AGB34" s="191"/>
      <c r="AGC34" s="191"/>
      <c r="AGD34" s="191"/>
      <c r="AGE34" s="191"/>
      <c r="AGF34" s="191"/>
      <c r="AGG34" s="191"/>
      <c r="AGH34" s="191"/>
      <c r="AGI34" s="191"/>
      <c r="AGJ34" s="191"/>
      <c r="AGK34" s="191"/>
      <c r="AGL34" s="191"/>
      <c r="AGM34" s="191"/>
      <c r="AGN34" s="191"/>
      <c r="AGO34" s="191"/>
      <c r="AGP34" s="191"/>
      <c r="AGQ34" s="191"/>
      <c r="AGR34" s="191"/>
      <c r="AGS34" s="191"/>
      <c r="AGT34" s="191"/>
      <c r="AGU34" s="191"/>
      <c r="AGV34" s="191"/>
      <c r="AGW34" s="191"/>
      <c r="AGX34" s="191"/>
      <c r="AGY34" s="191"/>
      <c r="AGZ34" s="191"/>
      <c r="AHA34" s="191"/>
      <c r="AHB34" s="191"/>
      <c r="AHC34" s="191"/>
      <c r="AHD34" s="191"/>
      <c r="AHE34" s="191"/>
      <c r="AHF34" s="191"/>
      <c r="AHG34" s="191"/>
      <c r="AHH34" s="191"/>
      <c r="AHI34" s="191"/>
      <c r="AHJ34" s="191"/>
      <c r="AHK34" s="191"/>
      <c r="AHL34" s="191"/>
      <c r="AHM34" s="191"/>
      <c r="AHN34" s="191"/>
      <c r="AHO34" s="191"/>
      <c r="AHP34" s="191"/>
      <c r="AHQ34" s="191"/>
      <c r="AHR34" s="191"/>
      <c r="AHS34" s="191"/>
      <c r="AHT34" s="191"/>
      <c r="AHU34" s="191"/>
      <c r="AHV34" s="191"/>
      <c r="AHW34" s="191"/>
      <c r="AHX34" s="191"/>
      <c r="AHY34" s="191"/>
      <c r="AHZ34" s="191"/>
      <c r="AIA34" s="191"/>
      <c r="AIB34" s="191"/>
      <c r="AIC34" s="191"/>
      <c r="AID34" s="191"/>
      <c r="AIE34" s="191"/>
      <c r="AIF34" s="191"/>
      <c r="AIG34" s="191"/>
      <c r="AIH34" s="191"/>
      <c r="AII34" s="191"/>
      <c r="AIJ34" s="191"/>
      <c r="AIK34" s="191"/>
      <c r="AIL34" s="191"/>
      <c r="AIM34" s="191"/>
      <c r="AIN34" s="191"/>
      <c r="AIO34" s="191"/>
      <c r="AIP34" s="191"/>
      <c r="AIQ34" s="191"/>
      <c r="AIR34" s="191"/>
      <c r="AIS34" s="191"/>
      <c r="AIT34" s="191"/>
      <c r="AIU34" s="191"/>
      <c r="AIV34" s="191"/>
      <c r="AIW34" s="191"/>
      <c r="AIX34" s="191"/>
      <c r="AIY34" s="191"/>
      <c r="AIZ34" s="191"/>
      <c r="AJA34" s="191"/>
      <c r="AJB34" s="191"/>
      <c r="AJC34" s="191"/>
      <c r="AJD34" s="191"/>
      <c r="AJE34" s="191"/>
      <c r="AJF34" s="191"/>
      <c r="AJG34" s="191"/>
      <c r="AJH34" s="191"/>
      <c r="AJI34" s="191"/>
      <c r="AJJ34" s="191"/>
      <c r="AJK34" s="191"/>
      <c r="AJL34" s="191"/>
      <c r="AJM34" s="191"/>
      <c r="AJN34" s="191"/>
      <c r="AJO34" s="191"/>
      <c r="AJP34" s="191"/>
      <c r="AJQ34" s="191"/>
      <c r="AJR34" s="191"/>
      <c r="AJS34" s="191"/>
      <c r="AJT34" s="191"/>
      <c r="AJU34" s="191"/>
      <c r="AJV34" s="191"/>
      <c r="AJW34" s="191"/>
      <c r="AJX34" s="191"/>
      <c r="AJY34" s="191"/>
      <c r="AJZ34" s="191"/>
      <c r="AKA34" s="191"/>
      <c r="AKB34" s="191"/>
      <c r="AKC34" s="191"/>
      <c r="AKD34" s="191"/>
      <c r="AKE34" s="191"/>
      <c r="AKF34" s="191"/>
      <c r="AKG34" s="191"/>
      <c r="AKH34" s="191"/>
      <c r="AKI34" s="191"/>
      <c r="AKJ34" s="191"/>
      <c r="AKK34" s="191"/>
      <c r="AKL34" s="191"/>
      <c r="AKM34" s="191"/>
      <c r="AKN34" s="191"/>
      <c r="AKO34" s="191"/>
      <c r="AKP34" s="191"/>
      <c r="AKQ34" s="191"/>
      <c r="AKR34" s="191"/>
      <c r="AKS34" s="191"/>
      <c r="AKT34" s="191"/>
      <c r="AKU34" s="191"/>
      <c r="AKV34" s="191"/>
      <c r="AKW34" s="191"/>
      <c r="AKX34" s="191"/>
      <c r="AKY34" s="191"/>
      <c r="AKZ34" s="191"/>
      <c r="ALA34" s="191"/>
      <c r="ALB34" s="191"/>
      <c r="ALC34" s="191"/>
      <c r="ALD34" s="191"/>
      <c r="ALE34" s="191"/>
      <c r="ALF34" s="191"/>
      <c r="ALG34" s="191"/>
      <c r="ALH34" s="191"/>
      <c r="ALI34" s="191"/>
      <c r="ALJ34" s="191"/>
      <c r="ALK34" s="191"/>
      <c r="ALL34" s="191"/>
      <c r="ALM34" s="191"/>
      <c r="ALN34" s="191"/>
      <c r="ALO34" s="191"/>
      <c r="ALP34" s="191"/>
      <c r="ALQ34" s="191"/>
      <c r="ALR34" s="191"/>
      <c r="ALS34" s="191"/>
      <c r="ALT34" s="191"/>
      <c r="ALU34" s="191"/>
      <c r="ALV34" s="191"/>
      <c r="ALW34" s="191"/>
      <c r="ALX34" s="191"/>
      <c r="ALY34" s="191"/>
      <c r="ALZ34" s="191"/>
      <c r="AMA34" s="191"/>
      <c r="AMB34" s="191"/>
      <c r="AMC34" s="191"/>
      <c r="AMD34" s="191"/>
      <c r="AME34" s="191"/>
      <c r="AMF34" s="191"/>
      <c r="AMG34" s="191"/>
      <c r="AMH34" s="191"/>
      <c r="AMI34" s="191"/>
      <c r="AMJ34" s="191"/>
      <c r="AMK34" s="191"/>
      <c r="AML34" s="191"/>
      <c r="AMM34" s="191"/>
      <c r="AMN34" s="191"/>
      <c r="AMO34" s="191"/>
      <c r="AMP34" s="191"/>
      <c r="AMQ34" s="191"/>
      <c r="AMR34" s="191"/>
      <c r="AMS34" s="191"/>
      <c r="AMT34" s="191"/>
      <c r="AMU34" s="191"/>
      <c r="AMV34" s="191"/>
      <c r="AMW34" s="191"/>
      <c r="AMX34" s="191"/>
      <c r="AMY34" s="191"/>
      <c r="AMZ34" s="191"/>
      <c r="ANA34" s="191"/>
      <c r="ANB34" s="191"/>
      <c r="ANC34" s="191"/>
      <c r="AND34" s="191"/>
      <c r="ANE34" s="191"/>
      <c r="ANF34" s="191"/>
      <c r="ANG34" s="191"/>
      <c r="ANH34" s="191"/>
      <c r="ANI34" s="191"/>
      <c r="ANJ34" s="191"/>
      <c r="ANK34" s="191"/>
      <c r="ANL34" s="191"/>
      <c r="ANM34" s="191"/>
      <c r="ANN34" s="191"/>
      <c r="ANO34" s="191"/>
      <c r="ANP34" s="191"/>
      <c r="ANQ34" s="191"/>
      <c r="ANR34" s="191"/>
      <c r="ANS34" s="191"/>
      <c r="ANT34" s="191"/>
      <c r="ANU34" s="191"/>
      <c r="ANV34" s="191"/>
      <c r="ANW34" s="191"/>
      <c r="ANX34" s="191"/>
      <c r="ANY34" s="191"/>
      <c r="ANZ34" s="191"/>
      <c r="AOA34" s="191"/>
      <c r="AOB34" s="191"/>
      <c r="AOC34" s="191"/>
      <c r="AOD34" s="191"/>
      <c r="AOE34" s="191"/>
      <c r="AOF34" s="191"/>
      <c r="AOG34" s="191"/>
      <c r="AOH34" s="191"/>
      <c r="AOI34" s="191"/>
      <c r="AOJ34" s="191"/>
      <c r="AOK34" s="191"/>
      <c r="AOL34" s="191"/>
      <c r="AOM34" s="191"/>
      <c r="AON34" s="191"/>
      <c r="AOO34" s="191"/>
      <c r="AOP34" s="191"/>
      <c r="AOQ34" s="191"/>
      <c r="AOR34" s="191"/>
      <c r="AOS34" s="191"/>
      <c r="AOT34" s="191"/>
      <c r="AOU34" s="191"/>
      <c r="AOV34" s="191"/>
      <c r="AOW34" s="191"/>
      <c r="AOX34" s="191"/>
      <c r="AOY34" s="191"/>
      <c r="AOZ34" s="191"/>
      <c r="APA34" s="191"/>
      <c r="APB34" s="191"/>
      <c r="APC34" s="191"/>
      <c r="APD34" s="191"/>
      <c r="APE34" s="191"/>
      <c r="APF34" s="191"/>
      <c r="APG34" s="191"/>
      <c r="APH34" s="191"/>
      <c r="API34" s="191"/>
      <c r="APJ34" s="191"/>
      <c r="APK34" s="191"/>
      <c r="APL34" s="191"/>
      <c r="APM34" s="191"/>
      <c r="APN34" s="191"/>
      <c r="APO34" s="191"/>
      <c r="APP34" s="191"/>
      <c r="APQ34" s="191"/>
      <c r="APR34" s="191"/>
      <c r="APS34" s="191"/>
      <c r="APT34" s="191"/>
      <c r="APU34" s="191"/>
      <c r="APV34" s="191"/>
      <c r="APW34" s="191"/>
      <c r="APX34" s="191"/>
      <c r="APY34" s="191"/>
      <c r="APZ34" s="191"/>
      <c r="AQA34" s="191"/>
      <c r="AQB34" s="191"/>
      <c r="AQC34" s="191"/>
      <c r="AQD34" s="191"/>
      <c r="AQE34" s="191"/>
      <c r="AQF34" s="191"/>
      <c r="AQG34" s="191"/>
      <c r="AQH34" s="191"/>
      <c r="AQI34" s="191"/>
      <c r="AQJ34" s="191"/>
      <c r="AQK34" s="191"/>
      <c r="AQL34" s="191"/>
      <c r="AQM34" s="191"/>
      <c r="AQN34" s="191"/>
      <c r="AQO34" s="191"/>
      <c r="AQP34" s="191"/>
      <c r="AQQ34" s="191"/>
      <c r="AQR34" s="191"/>
      <c r="AQS34" s="191"/>
      <c r="AQT34" s="191"/>
      <c r="AQU34" s="191"/>
      <c r="AQV34" s="191"/>
      <c r="AQW34" s="191"/>
      <c r="AQX34" s="191"/>
      <c r="AQY34" s="191"/>
      <c r="AQZ34" s="191"/>
      <c r="ARA34" s="191"/>
      <c r="ARB34" s="191"/>
      <c r="ARC34" s="191"/>
      <c r="ARD34" s="191"/>
      <c r="ARE34" s="191"/>
      <c r="ARF34" s="191"/>
      <c r="ARG34" s="191"/>
      <c r="ARH34" s="191"/>
      <c r="ARI34" s="191"/>
      <c r="ARJ34" s="191"/>
      <c r="ARK34" s="191"/>
      <c r="ARL34" s="191"/>
      <c r="ARM34" s="191"/>
      <c r="ARN34" s="191"/>
      <c r="ARO34" s="191"/>
      <c r="ARP34" s="191"/>
      <c r="ARQ34" s="191"/>
      <c r="ARR34" s="191"/>
      <c r="ARS34" s="191"/>
      <c r="ART34" s="191"/>
      <c r="ARU34" s="191"/>
      <c r="ARV34" s="191"/>
      <c r="ARW34" s="191"/>
      <c r="ARX34" s="191"/>
      <c r="ARY34" s="191"/>
      <c r="ARZ34" s="191"/>
      <c r="ASA34" s="191"/>
      <c r="ASB34" s="191"/>
      <c r="ASC34" s="191"/>
      <c r="ASD34" s="191"/>
      <c r="ASE34" s="191"/>
      <c r="ASF34" s="191"/>
      <c r="ASG34" s="191"/>
      <c r="ASH34" s="191"/>
      <c r="ASI34" s="191"/>
      <c r="ASJ34" s="191"/>
      <c r="ASK34" s="191"/>
      <c r="ASL34" s="191"/>
      <c r="ASM34" s="191"/>
      <c r="ASN34" s="191"/>
      <c r="ASO34" s="191"/>
      <c r="ASP34" s="191"/>
      <c r="ASQ34" s="191"/>
      <c r="ASR34" s="191"/>
      <c r="ASS34" s="191"/>
      <c r="AST34" s="191"/>
      <c r="ASU34" s="191"/>
      <c r="ASV34" s="191"/>
      <c r="ASW34" s="191"/>
      <c r="ASX34" s="191"/>
      <c r="ASY34" s="191"/>
      <c r="ASZ34" s="191"/>
      <c r="ATA34" s="191"/>
      <c r="ATB34" s="191"/>
      <c r="ATC34" s="191"/>
      <c r="ATD34" s="191"/>
      <c r="ATE34" s="191"/>
      <c r="ATF34" s="191"/>
      <c r="ATG34" s="191"/>
      <c r="ATH34" s="191"/>
      <c r="ATI34" s="191"/>
      <c r="ATJ34" s="191"/>
      <c r="ATK34" s="191"/>
      <c r="ATL34" s="191"/>
      <c r="ATM34" s="191"/>
      <c r="ATN34" s="191"/>
      <c r="ATO34" s="191"/>
      <c r="ATP34" s="191"/>
      <c r="ATQ34" s="191"/>
      <c r="ATR34" s="191"/>
      <c r="ATS34" s="191"/>
      <c r="ATT34" s="191"/>
      <c r="ATU34" s="191"/>
      <c r="ATV34" s="191"/>
      <c r="ATW34" s="191"/>
      <c r="ATX34" s="191"/>
      <c r="ATY34" s="191"/>
      <c r="ATZ34" s="191"/>
      <c r="AUA34" s="191"/>
      <c r="AUB34" s="191"/>
      <c r="AUC34" s="191"/>
      <c r="AUD34" s="191"/>
      <c r="AUE34" s="191"/>
      <c r="AUF34" s="191"/>
      <c r="AUG34" s="191"/>
      <c r="AUH34" s="191"/>
      <c r="AUI34" s="191"/>
      <c r="AUJ34" s="191"/>
      <c r="AUK34" s="191"/>
      <c r="AUL34" s="191"/>
      <c r="AUM34" s="191"/>
      <c r="AUN34" s="191"/>
      <c r="AUO34" s="191"/>
      <c r="AUP34" s="191"/>
      <c r="AUQ34" s="191"/>
      <c r="AUR34" s="191"/>
      <c r="AUS34" s="191"/>
      <c r="AUT34" s="191"/>
      <c r="AUU34" s="191"/>
      <c r="AUV34" s="191"/>
      <c r="AUW34" s="191"/>
      <c r="AUX34" s="191"/>
      <c r="AUY34" s="191"/>
      <c r="AUZ34" s="191"/>
      <c r="AVA34" s="191"/>
      <c r="AVB34" s="191"/>
      <c r="AVC34" s="191"/>
      <c r="AVD34" s="191"/>
      <c r="AVE34" s="191"/>
      <c r="AVF34" s="191"/>
      <c r="AVG34" s="191"/>
      <c r="AVH34" s="191"/>
      <c r="AVI34" s="191"/>
      <c r="AVJ34" s="191"/>
      <c r="AVK34" s="191"/>
      <c r="AVL34" s="191"/>
      <c r="AVM34" s="191"/>
      <c r="AVN34" s="191"/>
      <c r="AVO34" s="191"/>
      <c r="AVP34" s="191"/>
      <c r="AVQ34" s="191"/>
      <c r="AVR34" s="191"/>
      <c r="AVS34" s="191"/>
      <c r="AVT34" s="191"/>
      <c r="AVU34" s="191"/>
      <c r="AVV34" s="191"/>
      <c r="AVW34" s="191"/>
      <c r="AVX34" s="191"/>
      <c r="AVY34" s="191"/>
      <c r="AVZ34" s="191"/>
      <c r="AWA34" s="191"/>
      <c r="AWB34" s="191"/>
      <c r="AWC34" s="191"/>
      <c r="AWD34" s="191"/>
      <c r="AWE34" s="191"/>
      <c r="AWF34" s="191"/>
      <c r="AWG34" s="191"/>
      <c r="AWH34" s="191"/>
      <c r="AWI34" s="191"/>
      <c r="AWJ34" s="191"/>
      <c r="AWK34" s="191"/>
      <c r="AWL34" s="191"/>
      <c r="AWM34" s="191"/>
      <c r="AWN34" s="191"/>
      <c r="AWO34" s="191"/>
      <c r="AWP34" s="191"/>
      <c r="AWQ34" s="191"/>
      <c r="AWR34" s="191"/>
      <c r="AWS34" s="191"/>
      <c r="AWT34" s="191"/>
      <c r="AWU34" s="191"/>
      <c r="AWV34" s="191"/>
      <c r="AWW34" s="191"/>
      <c r="AWX34" s="191"/>
      <c r="AWY34" s="191"/>
      <c r="AWZ34" s="191"/>
      <c r="AXA34" s="191"/>
      <c r="AXB34" s="191"/>
      <c r="AXC34" s="191"/>
      <c r="AXD34" s="191"/>
      <c r="AXE34" s="191"/>
      <c r="AXF34" s="191"/>
      <c r="AXG34" s="191"/>
      <c r="AXH34" s="191"/>
      <c r="AXI34" s="191"/>
      <c r="AXJ34" s="191"/>
      <c r="AXK34" s="191"/>
      <c r="AXL34" s="191"/>
      <c r="AXM34" s="191"/>
      <c r="AXN34" s="191"/>
      <c r="AXO34" s="191"/>
      <c r="AXP34" s="191"/>
      <c r="AXQ34" s="191"/>
      <c r="AXR34" s="191"/>
      <c r="AXS34" s="191"/>
      <c r="AXT34" s="191"/>
      <c r="AXU34" s="191"/>
      <c r="AXV34" s="191"/>
      <c r="AXW34" s="191"/>
      <c r="AXX34" s="191"/>
      <c r="AXY34" s="191"/>
      <c r="AXZ34" s="191"/>
      <c r="AYA34" s="191"/>
      <c r="AYB34" s="191"/>
      <c r="AYC34" s="191"/>
      <c r="AYD34" s="191"/>
      <c r="AYE34" s="191"/>
      <c r="AYF34" s="191"/>
      <c r="AYG34" s="191"/>
      <c r="AYH34" s="191"/>
      <c r="AYI34" s="191"/>
      <c r="AYJ34" s="191"/>
      <c r="AYK34" s="191"/>
      <c r="AYL34" s="191"/>
      <c r="AYM34" s="191"/>
      <c r="AYN34" s="191"/>
      <c r="AYO34" s="191"/>
      <c r="AYP34" s="191"/>
      <c r="AYQ34" s="191"/>
      <c r="AYR34" s="191"/>
      <c r="AYS34" s="191"/>
      <c r="AYT34" s="191"/>
      <c r="AYU34" s="191"/>
      <c r="AYV34" s="191"/>
      <c r="AYW34" s="191"/>
      <c r="AYX34" s="191"/>
      <c r="AYY34" s="191"/>
      <c r="AYZ34" s="191"/>
      <c r="AZA34" s="191"/>
      <c r="AZB34" s="191"/>
      <c r="AZC34" s="191"/>
      <c r="AZD34" s="191"/>
      <c r="AZE34" s="191"/>
      <c r="AZF34" s="191"/>
      <c r="AZG34" s="191"/>
      <c r="AZH34" s="191"/>
      <c r="AZI34" s="191"/>
      <c r="AZJ34" s="191"/>
      <c r="AZK34" s="191"/>
      <c r="AZL34" s="191"/>
      <c r="AZM34" s="191"/>
      <c r="AZN34" s="191"/>
      <c r="AZO34" s="191"/>
      <c r="AZP34" s="191"/>
      <c r="AZQ34" s="191"/>
      <c r="AZR34" s="191"/>
      <c r="AZS34" s="191"/>
      <c r="AZT34" s="191"/>
      <c r="AZU34" s="191"/>
      <c r="AZV34" s="191"/>
      <c r="AZW34" s="191"/>
      <c r="AZX34" s="191"/>
      <c r="AZY34" s="191"/>
      <c r="AZZ34" s="191"/>
      <c r="BAA34" s="191"/>
      <c r="BAB34" s="191"/>
      <c r="BAC34" s="191"/>
      <c r="BAD34" s="191"/>
      <c r="BAE34" s="191"/>
      <c r="BAF34" s="191"/>
      <c r="BAG34" s="191"/>
      <c r="BAH34" s="191"/>
      <c r="BAI34" s="191"/>
      <c r="BAJ34" s="191"/>
      <c r="BAK34" s="191"/>
      <c r="BAL34" s="191"/>
      <c r="BAM34" s="191"/>
      <c r="BAN34" s="191"/>
      <c r="BAO34" s="191"/>
      <c r="BAP34" s="191"/>
      <c r="BAQ34" s="191"/>
      <c r="BAR34" s="191"/>
      <c r="BAS34" s="191"/>
      <c r="BAT34" s="191"/>
      <c r="BAU34" s="191"/>
      <c r="BAV34" s="191"/>
      <c r="BAW34" s="191"/>
      <c r="BAX34" s="191"/>
      <c r="BAY34" s="191"/>
      <c r="BAZ34" s="191"/>
      <c r="BBA34" s="191"/>
      <c r="BBB34" s="191"/>
      <c r="BBC34" s="191"/>
      <c r="BBD34" s="191"/>
      <c r="BBE34" s="191"/>
      <c r="BBF34" s="191"/>
      <c r="BBG34" s="191"/>
      <c r="BBH34" s="191"/>
      <c r="BBI34" s="191"/>
      <c r="BBJ34" s="191"/>
      <c r="BBK34" s="191"/>
      <c r="BBL34" s="191"/>
      <c r="BBM34" s="191"/>
      <c r="BBN34" s="191"/>
      <c r="BBO34" s="191"/>
      <c r="BBP34" s="191"/>
      <c r="BBQ34" s="191"/>
      <c r="BBR34" s="191"/>
      <c r="BBS34" s="191"/>
      <c r="BBT34" s="191"/>
      <c r="BBU34" s="191"/>
      <c r="BBV34" s="191"/>
      <c r="BBW34" s="191"/>
      <c r="BBX34" s="191"/>
      <c r="BBY34" s="191"/>
      <c r="BBZ34" s="191"/>
      <c r="BCA34" s="191"/>
      <c r="BCB34" s="191"/>
      <c r="BCC34" s="191"/>
      <c r="BCD34" s="191"/>
      <c r="BCE34" s="191"/>
      <c r="BCF34" s="191"/>
      <c r="BCG34" s="191"/>
      <c r="BCH34" s="191"/>
      <c r="BCI34" s="191"/>
      <c r="BCJ34" s="191"/>
      <c r="BCK34" s="191"/>
      <c r="BCL34" s="191"/>
      <c r="BCM34" s="191"/>
      <c r="BCN34" s="191"/>
      <c r="BCO34" s="191"/>
      <c r="BCP34" s="191"/>
      <c r="BCQ34" s="191"/>
      <c r="BCR34" s="191"/>
      <c r="BCS34" s="191"/>
      <c r="BCT34" s="191"/>
      <c r="BCU34" s="191"/>
      <c r="BCV34" s="191"/>
      <c r="BCW34" s="191"/>
      <c r="BCX34" s="191"/>
      <c r="BCY34" s="191"/>
      <c r="BCZ34" s="191"/>
      <c r="BDA34" s="191"/>
      <c r="BDB34" s="191"/>
      <c r="BDC34" s="191"/>
      <c r="BDD34" s="191"/>
      <c r="BDE34" s="191"/>
      <c r="BDF34" s="191"/>
      <c r="BDG34" s="191"/>
      <c r="BDH34" s="191"/>
      <c r="BDI34" s="191"/>
      <c r="BDJ34" s="191"/>
      <c r="BDK34" s="191"/>
      <c r="BDL34" s="191"/>
      <c r="BDM34" s="191"/>
      <c r="BDN34" s="191"/>
      <c r="BDO34" s="191"/>
      <c r="BDP34" s="191"/>
      <c r="BDQ34" s="191"/>
      <c r="BDR34" s="191"/>
      <c r="BDS34" s="191"/>
      <c r="BDT34" s="191"/>
      <c r="BDU34" s="191"/>
      <c r="BDV34" s="191"/>
      <c r="BDW34" s="191"/>
      <c r="BDX34" s="191"/>
      <c r="BDY34" s="191"/>
      <c r="BDZ34" s="191"/>
      <c r="BEA34" s="191"/>
      <c r="BEB34" s="191"/>
      <c r="BEC34" s="191"/>
      <c r="BED34" s="191"/>
      <c r="BEE34" s="191"/>
      <c r="BEF34" s="191"/>
      <c r="BEG34" s="191"/>
      <c r="BEH34" s="191"/>
      <c r="BEI34" s="191"/>
      <c r="BEJ34" s="191"/>
      <c r="BEK34" s="191"/>
      <c r="BEL34" s="191"/>
      <c r="BEM34" s="191"/>
      <c r="BEN34" s="191"/>
      <c r="BEO34" s="191"/>
      <c r="BEP34" s="191"/>
      <c r="BEQ34" s="191"/>
      <c r="BER34" s="191"/>
      <c r="BES34" s="191"/>
      <c r="BET34" s="191"/>
      <c r="BEU34" s="191"/>
      <c r="BEV34" s="191"/>
      <c r="BEW34" s="191"/>
      <c r="BEX34" s="191"/>
      <c r="BEY34" s="191"/>
      <c r="BEZ34" s="191"/>
      <c r="BFA34" s="191"/>
      <c r="BFB34" s="191"/>
      <c r="BFC34" s="191"/>
      <c r="BFD34" s="191"/>
      <c r="BFE34" s="191"/>
      <c r="BFF34" s="191"/>
      <c r="BFG34" s="191"/>
      <c r="BFH34" s="191"/>
      <c r="BFI34" s="191"/>
      <c r="BFJ34" s="191"/>
      <c r="BFK34" s="191"/>
      <c r="BFL34" s="191"/>
      <c r="BFM34" s="191"/>
      <c r="BFN34" s="191"/>
      <c r="BFO34" s="191"/>
      <c r="BFP34" s="191"/>
      <c r="BFQ34" s="191"/>
      <c r="BFR34" s="191"/>
      <c r="BFS34" s="191"/>
      <c r="BFT34" s="191"/>
      <c r="BFU34" s="191"/>
      <c r="BFV34" s="191"/>
      <c r="BFW34" s="191"/>
      <c r="BFX34" s="191"/>
      <c r="BFY34" s="191"/>
      <c r="BFZ34" s="191"/>
      <c r="BGA34" s="191"/>
      <c r="BGB34" s="191"/>
      <c r="BGC34" s="191"/>
      <c r="BGD34" s="191"/>
      <c r="BGE34" s="191"/>
      <c r="BGF34" s="191"/>
      <c r="BGG34" s="191"/>
      <c r="BGH34" s="191"/>
      <c r="BGI34" s="191"/>
      <c r="BGJ34" s="191"/>
      <c r="BGK34" s="191"/>
      <c r="BGL34" s="191"/>
      <c r="BGM34" s="191"/>
      <c r="BGN34" s="191"/>
      <c r="BGO34" s="191"/>
      <c r="BGP34" s="191"/>
      <c r="BGQ34" s="191"/>
      <c r="BGR34" s="191"/>
      <c r="BGS34" s="191"/>
      <c r="BGT34" s="191"/>
      <c r="BGU34" s="191"/>
      <c r="BGV34" s="191"/>
      <c r="BGW34" s="191"/>
      <c r="BGX34" s="191"/>
      <c r="BGY34" s="191"/>
      <c r="BGZ34" s="191"/>
      <c r="BHA34" s="191"/>
      <c r="BHB34" s="191"/>
      <c r="BHC34" s="191"/>
      <c r="BHD34" s="191"/>
      <c r="BHE34" s="191"/>
      <c r="BHF34" s="191"/>
      <c r="BHG34" s="191"/>
      <c r="BHH34" s="191"/>
      <c r="BHI34" s="191"/>
      <c r="BHJ34" s="191"/>
      <c r="BHK34" s="191"/>
      <c r="BHL34" s="191"/>
      <c r="BHM34" s="191"/>
      <c r="BHN34" s="191"/>
      <c r="BHO34" s="191"/>
      <c r="BHP34" s="191"/>
      <c r="BHQ34" s="191"/>
      <c r="BHR34" s="191"/>
      <c r="BHS34" s="191"/>
      <c r="BHT34" s="191"/>
      <c r="BHU34" s="191"/>
      <c r="BHV34" s="191"/>
      <c r="BHW34" s="191"/>
      <c r="BHX34" s="191"/>
      <c r="BHY34" s="191"/>
      <c r="BHZ34" s="191"/>
      <c r="BIA34" s="191"/>
      <c r="BIB34" s="191"/>
      <c r="BIC34" s="191"/>
      <c r="BID34" s="191"/>
      <c r="BIE34" s="191"/>
      <c r="BIF34" s="191"/>
      <c r="BIG34" s="191"/>
      <c r="BIH34" s="191"/>
      <c r="BII34" s="191"/>
      <c r="BIJ34" s="191"/>
      <c r="BIK34" s="191"/>
      <c r="BIL34" s="191"/>
      <c r="BIM34" s="191"/>
      <c r="BIN34" s="191"/>
      <c r="BIO34" s="191"/>
      <c r="BIP34" s="191"/>
      <c r="BIQ34" s="191"/>
      <c r="BIR34" s="191"/>
      <c r="BIS34" s="191"/>
      <c r="BIT34" s="191"/>
      <c r="BIU34" s="191"/>
      <c r="BIV34" s="191"/>
      <c r="BIW34" s="191"/>
      <c r="BIX34" s="191"/>
      <c r="BIY34" s="191"/>
      <c r="BIZ34" s="191"/>
      <c r="BJA34" s="191"/>
      <c r="BJB34" s="191"/>
      <c r="BJC34" s="191"/>
      <c r="BJD34" s="191"/>
      <c r="BJE34" s="191"/>
      <c r="BJF34" s="191"/>
      <c r="BJG34" s="191"/>
      <c r="BJH34" s="191"/>
      <c r="BJI34" s="191"/>
      <c r="BJJ34" s="191"/>
      <c r="BJK34" s="191"/>
      <c r="BJL34" s="191"/>
      <c r="BJM34" s="191"/>
      <c r="BJN34" s="191"/>
      <c r="BJO34" s="191"/>
      <c r="BJP34" s="191"/>
      <c r="BJQ34" s="191"/>
      <c r="BJR34" s="191"/>
      <c r="BJS34" s="191"/>
      <c r="BJT34" s="191"/>
      <c r="BJU34" s="191"/>
      <c r="BJV34" s="191"/>
      <c r="BJW34" s="191"/>
      <c r="BJX34" s="191"/>
      <c r="BJY34" s="191"/>
      <c r="BJZ34" s="191"/>
      <c r="BKA34" s="191"/>
      <c r="BKB34" s="191"/>
      <c r="BKC34" s="191"/>
      <c r="BKD34" s="191"/>
      <c r="BKE34" s="191"/>
      <c r="BKF34" s="191"/>
      <c r="BKG34" s="191"/>
      <c r="BKH34" s="191"/>
      <c r="BKI34" s="191"/>
      <c r="BKJ34" s="191"/>
      <c r="BKK34" s="191"/>
      <c r="BKL34" s="191"/>
      <c r="BKM34" s="191"/>
      <c r="BKN34" s="191"/>
      <c r="BKO34" s="191"/>
      <c r="BKP34" s="191"/>
      <c r="BKQ34" s="191"/>
      <c r="BKR34" s="191"/>
      <c r="BKS34" s="191"/>
      <c r="BKT34" s="191"/>
      <c r="BKU34" s="191"/>
      <c r="BKV34" s="191"/>
      <c r="BKW34" s="191"/>
      <c r="BKX34" s="191"/>
      <c r="BKY34" s="191"/>
      <c r="BKZ34" s="191"/>
      <c r="BLA34" s="191"/>
      <c r="BLB34" s="191"/>
      <c r="BLC34" s="191"/>
      <c r="BLD34" s="191"/>
      <c r="BLE34" s="191"/>
      <c r="BLF34" s="191"/>
      <c r="BLG34" s="191"/>
      <c r="BLH34" s="191"/>
      <c r="BLI34" s="191"/>
      <c r="BLJ34" s="191"/>
      <c r="BLK34" s="191"/>
      <c r="BLL34" s="191"/>
      <c r="BLM34" s="191"/>
      <c r="BLN34" s="191"/>
      <c r="BLO34" s="191"/>
      <c r="BLP34" s="191"/>
      <c r="BLQ34" s="191"/>
      <c r="BLR34" s="191"/>
      <c r="BLS34" s="191"/>
      <c r="BLT34" s="191"/>
      <c r="BLU34" s="191"/>
      <c r="BLV34" s="191"/>
      <c r="BLW34" s="191"/>
      <c r="BLX34" s="191"/>
      <c r="BLY34" s="191"/>
      <c r="BLZ34" s="191"/>
      <c r="BMA34" s="191"/>
      <c r="BMB34" s="191"/>
      <c r="BMC34" s="191"/>
      <c r="BMD34" s="191"/>
      <c r="BME34" s="191"/>
      <c r="BMF34" s="191"/>
      <c r="BMG34" s="191"/>
      <c r="BMH34" s="191"/>
      <c r="BMI34" s="191"/>
      <c r="BMJ34" s="191"/>
      <c r="BMK34" s="191"/>
      <c r="BML34" s="191"/>
      <c r="BMM34" s="191"/>
      <c r="BMN34" s="191"/>
      <c r="BMO34" s="191"/>
      <c r="BMP34" s="191"/>
      <c r="BMQ34" s="191"/>
      <c r="BMR34" s="191"/>
      <c r="BMS34" s="191"/>
      <c r="BMT34" s="191"/>
      <c r="BMU34" s="191"/>
      <c r="BMV34" s="191"/>
      <c r="BMW34" s="191"/>
      <c r="BMX34" s="191"/>
      <c r="BMY34" s="191"/>
      <c r="BMZ34" s="191"/>
      <c r="BNA34" s="191"/>
      <c r="BNB34" s="191"/>
      <c r="BNC34" s="191"/>
      <c r="BND34" s="191"/>
      <c r="BNE34" s="191"/>
      <c r="BNF34" s="191"/>
      <c r="BNG34" s="191"/>
      <c r="BNH34" s="191"/>
      <c r="BNI34" s="191"/>
      <c r="BNJ34" s="191"/>
      <c r="BNK34" s="191"/>
      <c r="BNL34" s="191"/>
      <c r="BNM34" s="191"/>
      <c r="BNN34" s="191"/>
      <c r="BNO34" s="191"/>
      <c r="BNP34" s="191"/>
      <c r="BNQ34" s="191"/>
      <c r="BNR34" s="191"/>
      <c r="BNS34" s="191"/>
      <c r="BNT34" s="191"/>
      <c r="BNU34" s="191"/>
      <c r="BNV34" s="191"/>
      <c r="BNW34" s="191"/>
      <c r="BNX34" s="191"/>
      <c r="BNY34" s="191"/>
      <c r="BNZ34" s="191"/>
      <c r="BOA34" s="191"/>
      <c r="BOB34" s="191"/>
      <c r="BOC34" s="191"/>
      <c r="BOD34" s="191"/>
      <c r="BOE34" s="191"/>
      <c r="BOF34" s="191"/>
      <c r="BOG34" s="191"/>
      <c r="BOH34" s="191"/>
      <c r="BOI34" s="191"/>
      <c r="BOJ34" s="191"/>
      <c r="BOK34" s="191"/>
      <c r="BOL34" s="191"/>
      <c r="BOM34" s="191"/>
      <c r="BON34" s="191"/>
      <c r="BOO34" s="191"/>
      <c r="BOP34" s="191"/>
      <c r="BOQ34" s="191"/>
      <c r="BOR34" s="191"/>
      <c r="BOS34" s="191"/>
      <c r="BOT34" s="191"/>
      <c r="BOU34" s="191"/>
      <c r="BOV34" s="191"/>
      <c r="BOW34" s="191"/>
      <c r="BOX34" s="191"/>
      <c r="BOY34" s="191"/>
      <c r="BOZ34" s="191"/>
      <c r="BPA34" s="191"/>
      <c r="BPB34" s="191"/>
      <c r="BPC34" s="191"/>
      <c r="BPD34" s="191"/>
      <c r="BPE34" s="191"/>
      <c r="BPF34" s="191"/>
      <c r="BPG34" s="191"/>
      <c r="BPH34" s="191"/>
      <c r="BPI34" s="191"/>
      <c r="BPJ34" s="191"/>
      <c r="BPK34" s="191"/>
      <c r="BPL34" s="191"/>
      <c r="BPM34" s="191"/>
      <c r="BPN34" s="191"/>
      <c r="BPO34" s="191"/>
      <c r="BPP34" s="191"/>
      <c r="BPQ34" s="191"/>
      <c r="BPR34" s="191"/>
      <c r="BPS34" s="191"/>
      <c r="BPT34" s="191"/>
      <c r="BPU34" s="191"/>
      <c r="BPV34" s="191"/>
      <c r="BPW34" s="191"/>
      <c r="BPX34" s="191"/>
      <c r="BPY34" s="191"/>
      <c r="BPZ34" s="191"/>
      <c r="BQA34" s="191"/>
      <c r="BQB34" s="191"/>
      <c r="BQC34" s="191"/>
      <c r="BQD34" s="191"/>
      <c r="BQE34" s="191"/>
      <c r="BQF34" s="191"/>
      <c r="BQG34" s="191"/>
      <c r="BQH34" s="191"/>
      <c r="BQI34" s="191"/>
      <c r="BQJ34" s="191"/>
      <c r="BQK34" s="191"/>
      <c r="BQL34" s="191"/>
      <c r="BQM34" s="191"/>
      <c r="BQN34" s="191"/>
      <c r="BQO34" s="191"/>
      <c r="BQP34" s="191"/>
      <c r="BQQ34" s="191"/>
      <c r="BQR34" s="191"/>
      <c r="BQS34" s="191"/>
      <c r="BQT34" s="191"/>
      <c r="BQU34" s="191"/>
      <c r="BQV34" s="191"/>
      <c r="BQW34" s="191"/>
      <c r="BQX34" s="191"/>
      <c r="BQY34" s="191"/>
      <c r="BQZ34" s="191"/>
      <c r="BRA34" s="191"/>
      <c r="BRB34" s="191"/>
      <c r="BRC34" s="191"/>
      <c r="BRD34" s="191"/>
      <c r="BRE34" s="191"/>
      <c r="BRF34" s="191"/>
      <c r="BRG34" s="191"/>
      <c r="BRH34" s="191"/>
      <c r="BRI34" s="191"/>
      <c r="BRJ34" s="191"/>
      <c r="BRK34" s="191"/>
      <c r="BRL34" s="191"/>
      <c r="BRM34" s="191"/>
      <c r="BRN34" s="191"/>
      <c r="BRO34" s="191"/>
      <c r="BRP34" s="191"/>
      <c r="BRQ34" s="191"/>
      <c r="BRR34" s="191"/>
      <c r="BRS34" s="191"/>
      <c r="BRT34" s="191"/>
      <c r="BRU34" s="191"/>
      <c r="BRV34" s="191"/>
      <c r="BRW34" s="191"/>
      <c r="BRX34" s="191"/>
      <c r="BRY34" s="191"/>
      <c r="BRZ34" s="191"/>
      <c r="BSA34" s="191"/>
      <c r="BSB34" s="191"/>
      <c r="BSC34" s="191"/>
      <c r="BSD34" s="191"/>
      <c r="BSE34" s="191"/>
      <c r="BSF34" s="191"/>
      <c r="BSG34" s="191"/>
      <c r="BSH34" s="191"/>
      <c r="BSI34" s="191"/>
      <c r="BSJ34" s="191"/>
      <c r="BSK34" s="191"/>
      <c r="BSL34" s="191"/>
      <c r="BSM34" s="191"/>
      <c r="BSN34" s="191"/>
      <c r="BSO34" s="191"/>
      <c r="BSP34" s="191"/>
      <c r="BSQ34" s="191"/>
      <c r="BSR34" s="191"/>
      <c r="BSS34" s="191"/>
      <c r="BST34" s="191"/>
      <c r="BSU34" s="191"/>
      <c r="BSV34" s="191"/>
      <c r="BSW34" s="191"/>
      <c r="BSX34" s="191"/>
      <c r="BSY34" s="191"/>
      <c r="BSZ34" s="191"/>
      <c r="BTA34" s="191"/>
      <c r="BTB34" s="191"/>
      <c r="BTC34" s="191"/>
      <c r="BTD34" s="191"/>
      <c r="BTE34" s="191"/>
      <c r="BTF34" s="191"/>
      <c r="BTG34" s="191"/>
      <c r="BTH34" s="191"/>
      <c r="BTI34" s="191"/>
      <c r="BTJ34" s="191"/>
      <c r="BTK34" s="191"/>
      <c r="BTL34" s="191"/>
      <c r="BTM34" s="191"/>
      <c r="BTN34" s="191"/>
      <c r="BTO34" s="191"/>
      <c r="BTP34" s="191"/>
      <c r="BTQ34" s="191"/>
      <c r="BTR34" s="191"/>
      <c r="BTS34" s="191"/>
      <c r="BTT34" s="191"/>
      <c r="BTU34" s="191"/>
      <c r="BTV34" s="191"/>
      <c r="BTW34" s="191"/>
      <c r="BTX34" s="191"/>
      <c r="BTY34" s="191"/>
      <c r="BTZ34" s="191"/>
      <c r="BUA34" s="191"/>
      <c r="BUB34" s="191"/>
      <c r="BUC34" s="191"/>
      <c r="BUD34" s="191"/>
      <c r="BUE34" s="191"/>
      <c r="BUF34" s="191"/>
      <c r="BUG34" s="191"/>
      <c r="BUH34" s="191"/>
      <c r="BUI34" s="191"/>
      <c r="BUJ34" s="191"/>
      <c r="BUK34" s="191"/>
      <c r="BUL34" s="191"/>
      <c r="BUM34" s="191"/>
      <c r="BUN34" s="191"/>
      <c r="BUO34" s="191"/>
      <c r="BUP34" s="191"/>
      <c r="BUQ34" s="191"/>
      <c r="BUR34" s="191"/>
      <c r="BUS34" s="191"/>
      <c r="BUT34" s="191"/>
      <c r="BUU34" s="191"/>
      <c r="BUV34" s="191"/>
      <c r="BUW34" s="191"/>
      <c r="BUX34" s="191"/>
      <c r="BUY34" s="191"/>
      <c r="BUZ34" s="191"/>
      <c r="BVA34" s="191"/>
      <c r="BVB34" s="191"/>
      <c r="BVC34" s="191"/>
      <c r="BVD34" s="191"/>
      <c r="BVE34" s="191"/>
      <c r="BVF34" s="191"/>
      <c r="BVG34" s="191"/>
      <c r="BVH34" s="191"/>
      <c r="BVI34" s="191"/>
      <c r="BVJ34" s="191"/>
      <c r="BVK34" s="191"/>
      <c r="BVL34" s="191"/>
      <c r="BVM34" s="191"/>
      <c r="BVN34" s="191"/>
      <c r="BVO34" s="191"/>
      <c r="BVP34" s="191"/>
      <c r="BVQ34" s="191"/>
      <c r="BVR34" s="191"/>
      <c r="BVS34" s="191"/>
      <c r="BVT34" s="191"/>
      <c r="BVU34" s="191"/>
      <c r="BVV34" s="191"/>
      <c r="BVW34" s="191"/>
      <c r="BVX34" s="191"/>
      <c r="BVY34" s="191"/>
      <c r="BVZ34" s="191"/>
      <c r="BWA34" s="191"/>
      <c r="BWB34" s="191"/>
      <c r="BWC34" s="191"/>
      <c r="BWD34" s="191"/>
      <c r="BWE34" s="191"/>
      <c r="BWF34" s="191"/>
      <c r="BWG34" s="191"/>
      <c r="BWH34" s="191"/>
      <c r="BWI34" s="191"/>
      <c r="BWJ34" s="191"/>
      <c r="BWK34" s="191"/>
      <c r="BWL34" s="191"/>
      <c r="BWM34" s="191"/>
      <c r="BWN34" s="191"/>
      <c r="BWO34" s="191"/>
      <c r="BWP34" s="191"/>
      <c r="BWQ34" s="191"/>
      <c r="BWR34" s="191"/>
      <c r="BWS34" s="191"/>
      <c r="BWT34" s="191"/>
      <c r="BWU34" s="191"/>
      <c r="BWV34" s="191"/>
      <c r="BWW34" s="191"/>
      <c r="BWX34" s="191"/>
      <c r="BWY34" s="191"/>
      <c r="BWZ34" s="191"/>
      <c r="BXA34" s="191"/>
      <c r="BXB34" s="191"/>
      <c r="BXC34" s="191"/>
      <c r="BXD34" s="191"/>
      <c r="BXE34" s="191"/>
      <c r="BXF34" s="191"/>
      <c r="BXG34" s="191"/>
      <c r="BXH34" s="191"/>
      <c r="BXI34" s="191"/>
      <c r="BXJ34" s="191"/>
      <c r="BXK34" s="191"/>
      <c r="BXL34" s="191"/>
      <c r="BXM34" s="191"/>
      <c r="BXN34" s="191"/>
      <c r="BXO34" s="191"/>
      <c r="BXP34" s="191"/>
      <c r="BXQ34" s="191"/>
      <c r="BXR34" s="191"/>
      <c r="BXS34" s="191"/>
      <c r="BXT34" s="191"/>
      <c r="BXU34" s="191"/>
      <c r="BXV34" s="191"/>
      <c r="BXW34" s="191"/>
      <c r="BXX34" s="191"/>
      <c r="BXY34" s="191"/>
      <c r="BXZ34" s="191"/>
      <c r="BYA34" s="191"/>
      <c r="BYB34" s="191"/>
      <c r="BYC34" s="191"/>
      <c r="BYD34" s="191"/>
      <c r="BYE34" s="191"/>
      <c r="BYF34" s="191"/>
      <c r="BYG34" s="191"/>
      <c r="BYH34" s="191"/>
      <c r="BYI34" s="191"/>
      <c r="BYJ34" s="191"/>
      <c r="BYK34" s="191"/>
      <c r="BYL34" s="191"/>
      <c r="BYM34" s="191"/>
      <c r="BYN34" s="191"/>
      <c r="BYO34" s="191"/>
      <c r="BYP34" s="191"/>
      <c r="BYQ34" s="191"/>
      <c r="BYR34" s="191"/>
      <c r="BYS34" s="191"/>
      <c r="BYT34" s="191"/>
      <c r="BYU34" s="191"/>
      <c r="BYV34" s="191"/>
      <c r="BYW34" s="191"/>
      <c r="BYX34" s="191"/>
      <c r="BYY34" s="191"/>
      <c r="BYZ34" s="191"/>
      <c r="BZA34" s="191"/>
      <c r="BZB34" s="191"/>
      <c r="BZC34" s="191"/>
      <c r="BZD34" s="191"/>
      <c r="BZE34" s="191"/>
      <c r="BZF34" s="191"/>
      <c r="BZG34" s="191"/>
      <c r="BZH34" s="191"/>
      <c r="BZI34" s="191"/>
      <c r="BZJ34" s="191"/>
      <c r="BZK34" s="191"/>
      <c r="BZL34" s="191"/>
      <c r="BZM34" s="191"/>
      <c r="BZN34" s="191"/>
      <c r="BZO34" s="191"/>
      <c r="BZP34" s="191"/>
      <c r="BZQ34" s="191"/>
      <c r="BZR34" s="191"/>
      <c r="BZS34" s="191"/>
      <c r="BZT34" s="191"/>
      <c r="BZU34" s="191"/>
      <c r="BZV34" s="191"/>
      <c r="BZW34" s="191"/>
      <c r="BZX34" s="191"/>
      <c r="BZY34" s="191"/>
      <c r="BZZ34" s="191"/>
      <c r="CAA34" s="191"/>
      <c r="CAB34" s="191"/>
      <c r="CAC34" s="191"/>
      <c r="CAD34" s="191"/>
      <c r="CAE34" s="191"/>
      <c r="CAF34" s="191"/>
      <c r="CAG34" s="191"/>
      <c r="CAH34" s="191"/>
      <c r="CAI34" s="191"/>
      <c r="CAJ34" s="191"/>
      <c r="CAK34" s="191"/>
      <c r="CAL34" s="191"/>
      <c r="CAM34" s="191"/>
      <c r="CAN34" s="191"/>
      <c r="CAO34" s="191"/>
      <c r="CAP34" s="191"/>
      <c r="CAQ34" s="191"/>
      <c r="CAR34" s="191"/>
      <c r="CAS34" s="191"/>
      <c r="CAT34" s="191"/>
      <c r="CAU34" s="191"/>
      <c r="CAV34" s="191"/>
      <c r="CAW34" s="191"/>
      <c r="CAX34" s="191"/>
      <c r="CAY34" s="191"/>
      <c r="CAZ34" s="191"/>
      <c r="CBA34" s="191"/>
      <c r="CBB34" s="191"/>
      <c r="CBC34" s="191"/>
      <c r="CBD34" s="191"/>
      <c r="CBE34" s="191"/>
      <c r="CBF34" s="191"/>
      <c r="CBG34" s="191"/>
      <c r="CBH34" s="191"/>
      <c r="CBI34" s="191"/>
      <c r="CBJ34" s="191"/>
      <c r="CBK34" s="191"/>
      <c r="CBL34" s="191"/>
      <c r="CBM34" s="191"/>
      <c r="CBN34" s="191"/>
      <c r="CBO34" s="191"/>
      <c r="CBP34" s="191"/>
      <c r="CBQ34" s="191"/>
      <c r="CBR34" s="191"/>
      <c r="CBS34" s="191"/>
      <c r="CBT34" s="191"/>
      <c r="CBU34" s="191"/>
      <c r="CBV34" s="191"/>
      <c r="CBW34" s="191"/>
      <c r="CBX34" s="191"/>
      <c r="CBY34" s="191"/>
      <c r="CBZ34" s="191"/>
      <c r="CCA34" s="191"/>
      <c r="CCB34" s="191"/>
      <c r="CCC34" s="191"/>
      <c r="CCD34" s="191"/>
      <c r="CCE34" s="191"/>
      <c r="CCF34" s="191"/>
      <c r="CCG34" s="191"/>
      <c r="CCH34" s="191"/>
      <c r="CCI34" s="191"/>
      <c r="CCJ34" s="191"/>
      <c r="CCK34" s="191"/>
      <c r="CCL34" s="191"/>
      <c r="CCM34" s="191"/>
      <c r="CCN34" s="191"/>
      <c r="CCO34" s="191"/>
      <c r="CCP34" s="191"/>
      <c r="CCQ34" s="191"/>
      <c r="CCR34" s="191"/>
      <c r="CCS34" s="191"/>
      <c r="CCT34" s="191"/>
      <c r="CCU34" s="191"/>
      <c r="CCV34" s="191"/>
      <c r="CCW34" s="191"/>
      <c r="CCX34" s="191"/>
      <c r="CCY34" s="191"/>
      <c r="CCZ34" s="191"/>
      <c r="CDA34" s="191"/>
      <c r="CDB34" s="191"/>
      <c r="CDC34" s="191"/>
      <c r="CDD34" s="191"/>
      <c r="CDE34" s="191"/>
      <c r="CDF34" s="191"/>
      <c r="CDG34" s="191"/>
      <c r="CDH34" s="191"/>
      <c r="CDI34" s="191"/>
      <c r="CDJ34" s="191"/>
      <c r="CDK34" s="191"/>
      <c r="CDL34" s="191"/>
      <c r="CDM34" s="191"/>
      <c r="CDN34" s="191"/>
      <c r="CDO34" s="191"/>
      <c r="CDP34" s="191"/>
      <c r="CDQ34" s="191"/>
      <c r="CDR34" s="191"/>
      <c r="CDS34" s="191"/>
      <c r="CDT34" s="191"/>
      <c r="CDU34" s="191"/>
      <c r="CDV34" s="191"/>
      <c r="CDW34" s="191"/>
      <c r="CDX34" s="191"/>
      <c r="CDY34" s="191"/>
      <c r="CDZ34" s="191"/>
      <c r="CEA34" s="191"/>
      <c r="CEB34" s="191"/>
      <c r="CEC34" s="191"/>
      <c r="CED34" s="191"/>
      <c r="CEE34" s="191"/>
      <c r="CEF34" s="191"/>
      <c r="CEG34" s="191"/>
      <c r="CEH34" s="191"/>
      <c r="CEI34" s="191"/>
      <c r="CEJ34" s="191"/>
      <c r="CEK34" s="191"/>
      <c r="CEL34" s="191"/>
      <c r="CEM34" s="191"/>
      <c r="CEN34" s="191"/>
      <c r="CEO34" s="191"/>
      <c r="CEP34" s="191"/>
      <c r="CEQ34" s="191"/>
      <c r="CER34" s="191"/>
      <c r="CES34" s="191"/>
      <c r="CET34" s="191"/>
      <c r="CEU34" s="191"/>
      <c r="CEV34" s="191"/>
      <c r="CEW34" s="191"/>
      <c r="CEX34" s="191"/>
      <c r="CEY34" s="191"/>
      <c r="CEZ34" s="191"/>
      <c r="CFA34" s="191"/>
      <c r="CFB34" s="191"/>
      <c r="CFC34" s="191"/>
      <c r="CFD34" s="191"/>
      <c r="CFE34" s="191"/>
      <c r="CFF34" s="191"/>
      <c r="CFG34" s="191"/>
      <c r="CFH34" s="191"/>
      <c r="CFI34" s="191"/>
      <c r="CFJ34" s="191"/>
      <c r="CFK34" s="191"/>
      <c r="CFL34" s="191"/>
      <c r="CFM34" s="191"/>
      <c r="CFN34" s="191"/>
      <c r="CFO34" s="191"/>
      <c r="CFP34" s="191"/>
      <c r="CFQ34" s="191"/>
      <c r="CFR34" s="191"/>
      <c r="CFS34" s="191"/>
      <c r="CFT34" s="191"/>
      <c r="CFU34" s="191"/>
      <c r="CFV34" s="191"/>
      <c r="CFW34" s="191"/>
      <c r="CFX34" s="191"/>
      <c r="CFY34" s="191"/>
      <c r="CFZ34" s="191"/>
      <c r="CGA34" s="191"/>
      <c r="CGB34" s="191"/>
      <c r="CGC34" s="191"/>
      <c r="CGD34" s="191"/>
      <c r="CGE34" s="191"/>
      <c r="CGF34" s="191"/>
      <c r="CGG34" s="191"/>
      <c r="CGH34" s="191"/>
      <c r="CGI34" s="191"/>
      <c r="CGJ34" s="191"/>
      <c r="CGK34" s="191"/>
      <c r="CGL34" s="191"/>
      <c r="CGM34" s="191"/>
      <c r="CGN34" s="191"/>
      <c r="CGO34" s="191"/>
      <c r="CGP34" s="191"/>
      <c r="CGQ34" s="191"/>
      <c r="CGR34" s="191"/>
      <c r="CGS34" s="191"/>
      <c r="CGT34" s="191"/>
      <c r="CGU34" s="191"/>
      <c r="CGV34" s="191"/>
      <c r="CGW34" s="191"/>
      <c r="CGX34" s="191"/>
      <c r="CGY34" s="191"/>
      <c r="CGZ34" s="191"/>
      <c r="CHA34" s="191"/>
      <c r="CHB34" s="191"/>
      <c r="CHC34" s="191"/>
      <c r="CHD34" s="191"/>
      <c r="CHE34" s="191"/>
      <c r="CHF34" s="191"/>
      <c r="CHG34" s="191"/>
      <c r="CHH34" s="191"/>
      <c r="CHI34" s="191"/>
      <c r="CHJ34" s="191"/>
      <c r="CHK34" s="191"/>
      <c r="CHL34" s="191"/>
      <c r="CHM34" s="191"/>
      <c r="CHN34" s="191"/>
      <c r="CHO34" s="191"/>
      <c r="CHP34" s="191"/>
      <c r="CHQ34" s="191"/>
      <c r="CHR34" s="191"/>
      <c r="CHS34" s="191"/>
      <c r="CHT34" s="191"/>
      <c r="CHU34" s="191"/>
      <c r="CHV34" s="191"/>
      <c r="CHW34" s="191"/>
      <c r="CHX34" s="191"/>
      <c r="CHY34" s="191"/>
      <c r="CHZ34" s="191"/>
      <c r="CIA34" s="191"/>
      <c r="CIB34" s="191"/>
      <c r="CIC34" s="191"/>
      <c r="CID34" s="191"/>
      <c r="CIE34" s="191"/>
      <c r="CIF34" s="191"/>
      <c r="CIG34" s="191"/>
      <c r="CIH34" s="191"/>
      <c r="CII34" s="191"/>
      <c r="CIJ34" s="191"/>
      <c r="CIK34" s="191"/>
      <c r="CIL34" s="191"/>
      <c r="CIM34" s="191"/>
      <c r="CIN34" s="191"/>
      <c r="CIO34" s="191"/>
      <c r="CIP34" s="191"/>
      <c r="CIQ34" s="191"/>
      <c r="CIR34" s="191"/>
      <c r="CIS34" s="191"/>
      <c r="CIT34" s="191"/>
      <c r="CIU34" s="191"/>
      <c r="CIV34" s="191"/>
      <c r="CIW34" s="191"/>
      <c r="CIX34" s="191"/>
      <c r="CIY34" s="191"/>
      <c r="CIZ34" s="191"/>
      <c r="CJA34" s="191"/>
      <c r="CJB34" s="191"/>
      <c r="CJC34" s="191"/>
      <c r="CJD34" s="191"/>
      <c r="CJE34" s="191"/>
      <c r="CJF34" s="191"/>
      <c r="CJG34" s="191"/>
      <c r="CJH34" s="191"/>
      <c r="CJI34" s="191"/>
      <c r="CJJ34" s="191"/>
      <c r="CJK34" s="191"/>
      <c r="CJL34" s="191"/>
      <c r="CJM34" s="191"/>
      <c r="CJN34" s="191"/>
      <c r="CJO34" s="191"/>
      <c r="CJP34" s="191"/>
      <c r="CJQ34" s="191"/>
      <c r="CJR34" s="191"/>
      <c r="CJS34" s="191"/>
      <c r="CJT34" s="191"/>
      <c r="CJU34" s="191"/>
      <c r="CJV34" s="191"/>
      <c r="CJW34" s="191"/>
      <c r="CJX34" s="191"/>
      <c r="CJY34" s="191"/>
      <c r="CJZ34" s="191"/>
      <c r="CKA34" s="191"/>
      <c r="CKB34" s="191"/>
      <c r="CKC34" s="191"/>
      <c r="CKD34" s="191"/>
      <c r="CKE34" s="191"/>
      <c r="CKF34" s="191"/>
      <c r="CKG34" s="191"/>
      <c r="CKH34" s="191"/>
      <c r="CKI34" s="191"/>
      <c r="CKJ34" s="191"/>
      <c r="CKK34" s="191"/>
      <c r="CKL34" s="191"/>
      <c r="CKM34" s="191"/>
      <c r="CKN34" s="191"/>
      <c r="CKO34" s="191"/>
      <c r="CKP34" s="191"/>
      <c r="CKQ34" s="191"/>
      <c r="CKR34" s="191"/>
      <c r="CKS34" s="191"/>
      <c r="CKT34" s="191"/>
      <c r="CKU34" s="191"/>
      <c r="CKV34" s="191"/>
      <c r="CKW34" s="191"/>
      <c r="CKX34" s="191"/>
      <c r="CKY34" s="191"/>
      <c r="CKZ34" s="191"/>
      <c r="CLA34" s="191"/>
      <c r="CLB34" s="191"/>
      <c r="CLC34" s="191"/>
      <c r="CLD34" s="191"/>
      <c r="CLE34" s="191"/>
      <c r="CLF34" s="191"/>
      <c r="CLG34" s="191"/>
      <c r="CLH34" s="191"/>
      <c r="CLI34" s="191"/>
      <c r="CLJ34" s="191"/>
      <c r="CLK34" s="191"/>
      <c r="CLL34" s="191"/>
      <c r="CLM34" s="191"/>
      <c r="CLN34" s="191"/>
      <c r="CLO34" s="191"/>
      <c r="CLP34" s="191"/>
      <c r="CLQ34" s="191"/>
      <c r="CLR34" s="191"/>
      <c r="CLS34" s="191"/>
      <c r="CLT34" s="191"/>
      <c r="CLU34" s="191"/>
      <c r="CLV34" s="191"/>
      <c r="CLW34" s="191"/>
      <c r="CLX34" s="191"/>
      <c r="CLY34" s="191"/>
      <c r="CLZ34" s="191"/>
      <c r="CMA34" s="191"/>
      <c r="CMB34" s="191"/>
      <c r="CMC34" s="191"/>
      <c r="CMD34" s="191"/>
      <c r="CME34" s="191"/>
      <c r="CMF34" s="191"/>
      <c r="CMG34" s="191"/>
      <c r="CMH34" s="191"/>
      <c r="CMI34" s="191"/>
      <c r="CMJ34" s="191"/>
      <c r="CMK34" s="191"/>
      <c r="CML34" s="191"/>
      <c r="CMM34" s="191"/>
      <c r="CMN34" s="191"/>
      <c r="CMO34" s="191"/>
      <c r="CMP34" s="191"/>
      <c r="CMQ34" s="191"/>
      <c r="CMR34" s="191"/>
      <c r="CMS34" s="191"/>
      <c r="CMT34" s="191"/>
      <c r="CMU34" s="191"/>
      <c r="CMV34" s="191"/>
      <c r="CMW34" s="191"/>
      <c r="CMX34" s="191"/>
      <c r="CMY34" s="191"/>
      <c r="CMZ34" s="191"/>
      <c r="CNA34" s="191"/>
      <c r="CNB34" s="191"/>
      <c r="CNC34" s="191"/>
      <c r="CND34" s="191"/>
      <c r="CNE34" s="191"/>
      <c r="CNF34" s="191"/>
      <c r="CNG34" s="191"/>
      <c r="CNH34" s="191"/>
      <c r="CNI34" s="191"/>
      <c r="CNJ34" s="191"/>
      <c r="CNK34" s="191"/>
      <c r="CNL34" s="191"/>
      <c r="CNM34" s="191"/>
      <c r="CNN34" s="191"/>
      <c r="CNO34" s="191"/>
      <c r="CNP34" s="191"/>
      <c r="CNQ34" s="191"/>
      <c r="CNR34" s="191"/>
      <c r="CNS34" s="191"/>
      <c r="CNT34" s="191"/>
      <c r="CNU34" s="191"/>
      <c r="CNV34" s="191"/>
      <c r="CNW34" s="191"/>
      <c r="CNX34" s="191"/>
      <c r="CNY34" s="191"/>
      <c r="CNZ34" s="191"/>
      <c r="COA34" s="191"/>
      <c r="COB34" s="191"/>
      <c r="COC34" s="191"/>
      <c r="COD34" s="191"/>
      <c r="COE34" s="191"/>
      <c r="COF34" s="191"/>
      <c r="COG34" s="191"/>
      <c r="COH34" s="191"/>
      <c r="COI34" s="191"/>
      <c r="COJ34" s="191"/>
      <c r="COK34" s="191"/>
      <c r="COL34" s="191"/>
      <c r="COM34" s="191"/>
      <c r="CON34" s="191"/>
      <c r="COO34" s="191"/>
      <c r="COP34" s="191"/>
      <c r="COQ34" s="191"/>
      <c r="COR34" s="191"/>
      <c r="COS34" s="191"/>
      <c r="COT34" s="191"/>
      <c r="COU34" s="191"/>
      <c r="COV34" s="191"/>
      <c r="COW34" s="191"/>
      <c r="COX34" s="191"/>
      <c r="COY34" s="191"/>
      <c r="COZ34" s="191"/>
      <c r="CPA34" s="191"/>
      <c r="CPB34" s="191"/>
      <c r="CPC34" s="191"/>
      <c r="CPD34" s="191"/>
      <c r="CPE34" s="191"/>
      <c r="CPF34" s="191"/>
      <c r="CPG34" s="191"/>
      <c r="CPH34" s="191"/>
      <c r="CPI34" s="191"/>
      <c r="CPJ34" s="191"/>
      <c r="CPK34" s="191"/>
      <c r="CPL34" s="191"/>
      <c r="CPM34" s="191"/>
      <c r="CPN34" s="191"/>
      <c r="CPO34" s="191"/>
      <c r="CPP34" s="191"/>
      <c r="CPQ34" s="191"/>
      <c r="CPR34" s="191"/>
      <c r="CPS34" s="191"/>
      <c r="CPT34" s="191"/>
      <c r="CPU34" s="191"/>
      <c r="CPV34" s="191"/>
      <c r="CPW34" s="191"/>
      <c r="CPX34" s="191"/>
      <c r="CPY34" s="191"/>
      <c r="CPZ34" s="191"/>
      <c r="CQA34" s="191"/>
      <c r="CQB34" s="191"/>
      <c r="CQC34" s="191"/>
      <c r="CQD34" s="191"/>
      <c r="CQE34" s="191"/>
      <c r="CQF34" s="191"/>
      <c r="CQG34" s="191"/>
      <c r="CQH34" s="191"/>
      <c r="CQI34" s="191"/>
      <c r="CQJ34" s="191"/>
      <c r="CQK34" s="191"/>
      <c r="CQL34" s="191"/>
      <c r="CQM34" s="191"/>
      <c r="CQN34" s="191"/>
      <c r="CQO34" s="191"/>
      <c r="CQP34" s="191"/>
      <c r="CQQ34" s="191"/>
      <c r="CQR34" s="191"/>
      <c r="CQS34" s="191"/>
      <c r="CQT34" s="191"/>
      <c r="CQU34" s="191"/>
      <c r="CQV34" s="191"/>
      <c r="CQW34" s="191"/>
      <c r="CQX34" s="191"/>
      <c r="CQY34" s="191"/>
      <c r="CQZ34" s="191"/>
      <c r="CRA34" s="191"/>
      <c r="CRB34" s="191"/>
      <c r="CRC34" s="191"/>
      <c r="CRD34" s="191"/>
      <c r="CRE34" s="191"/>
      <c r="CRF34" s="191"/>
      <c r="CRG34" s="191"/>
      <c r="CRH34" s="191"/>
      <c r="CRI34" s="191"/>
      <c r="CRJ34" s="191"/>
      <c r="CRK34" s="191"/>
      <c r="CRL34" s="191"/>
      <c r="CRM34" s="191"/>
      <c r="CRN34" s="191"/>
      <c r="CRO34" s="191"/>
      <c r="CRP34" s="191"/>
      <c r="CRQ34" s="191"/>
      <c r="CRR34" s="191"/>
      <c r="CRS34" s="191"/>
      <c r="CRT34" s="191"/>
      <c r="CRU34" s="191"/>
      <c r="CRV34" s="191"/>
      <c r="CRW34" s="191"/>
      <c r="CRX34" s="191"/>
      <c r="CRY34" s="191"/>
      <c r="CRZ34" s="191"/>
      <c r="CSA34" s="191"/>
      <c r="CSB34" s="191"/>
      <c r="CSC34" s="191"/>
      <c r="CSD34" s="191"/>
      <c r="CSE34" s="191"/>
      <c r="CSF34" s="191"/>
      <c r="CSG34" s="191"/>
      <c r="CSH34" s="191"/>
      <c r="CSI34" s="191"/>
      <c r="CSJ34" s="191"/>
      <c r="CSK34" s="191"/>
      <c r="CSL34" s="191"/>
      <c r="CSM34" s="191"/>
      <c r="CSN34" s="191"/>
      <c r="CSO34" s="191"/>
      <c r="CSP34" s="191"/>
      <c r="CSQ34" s="191"/>
      <c r="CSR34" s="191"/>
      <c r="CSS34" s="191"/>
      <c r="CST34" s="191"/>
      <c r="CSU34" s="191"/>
      <c r="CSV34" s="191"/>
      <c r="CSW34" s="191"/>
      <c r="CSX34" s="191"/>
      <c r="CSY34" s="191"/>
      <c r="CSZ34" s="191"/>
      <c r="CTA34" s="191"/>
      <c r="CTB34" s="191"/>
      <c r="CTC34" s="191"/>
      <c r="CTD34" s="191"/>
      <c r="CTE34" s="191"/>
      <c r="CTF34" s="191"/>
      <c r="CTG34" s="191"/>
      <c r="CTH34" s="191"/>
      <c r="CTI34" s="191"/>
      <c r="CTJ34" s="191"/>
      <c r="CTK34" s="191"/>
      <c r="CTL34" s="191"/>
      <c r="CTM34" s="191"/>
      <c r="CTN34" s="191"/>
      <c r="CTO34" s="191"/>
      <c r="CTP34" s="191"/>
      <c r="CTQ34" s="191"/>
      <c r="CTR34" s="191"/>
      <c r="CTS34" s="191"/>
      <c r="CTT34" s="191"/>
      <c r="CTU34" s="191"/>
      <c r="CTV34" s="191"/>
      <c r="CTW34" s="191"/>
      <c r="CTX34" s="191"/>
      <c r="CTY34" s="191"/>
      <c r="CTZ34" s="191"/>
      <c r="CUA34" s="191"/>
      <c r="CUB34" s="191"/>
      <c r="CUC34" s="191"/>
      <c r="CUD34" s="191"/>
      <c r="CUE34" s="191"/>
      <c r="CUF34" s="191"/>
      <c r="CUG34" s="191"/>
      <c r="CUH34" s="191"/>
      <c r="CUI34" s="191"/>
      <c r="CUJ34" s="191"/>
      <c r="CUK34" s="191"/>
      <c r="CUL34" s="191"/>
      <c r="CUM34" s="191"/>
      <c r="CUN34" s="191"/>
      <c r="CUO34" s="191"/>
      <c r="CUP34" s="191"/>
      <c r="CUQ34" s="191"/>
      <c r="CUR34" s="191"/>
      <c r="CUS34" s="191"/>
      <c r="CUT34" s="191"/>
      <c r="CUU34" s="191"/>
      <c r="CUV34" s="191"/>
      <c r="CUW34" s="191"/>
      <c r="CUX34" s="191"/>
      <c r="CUY34" s="191"/>
      <c r="CUZ34" s="191"/>
      <c r="CVA34" s="191"/>
      <c r="CVB34" s="191"/>
      <c r="CVC34" s="191"/>
      <c r="CVD34" s="191"/>
      <c r="CVE34" s="191"/>
      <c r="CVF34" s="191"/>
      <c r="CVG34" s="191"/>
      <c r="CVH34" s="191"/>
      <c r="CVI34" s="191"/>
      <c r="CVJ34" s="191"/>
      <c r="CVK34" s="191"/>
      <c r="CVL34" s="191"/>
      <c r="CVM34" s="191"/>
      <c r="CVN34" s="191"/>
      <c r="CVO34" s="191"/>
      <c r="CVP34" s="191"/>
      <c r="CVQ34" s="191"/>
      <c r="CVR34" s="191"/>
      <c r="CVS34" s="191"/>
      <c r="CVT34" s="191"/>
      <c r="CVU34" s="191"/>
      <c r="CVV34" s="191"/>
      <c r="CVW34" s="191"/>
      <c r="CVX34" s="191"/>
      <c r="CVY34" s="191"/>
      <c r="CVZ34" s="191"/>
      <c r="CWA34" s="191"/>
      <c r="CWB34" s="191"/>
      <c r="CWC34" s="191"/>
      <c r="CWD34" s="191"/>
      <c r="CWE34" s="191"/>
      <c r="CWF34" s="191"/>
      <c r="CWG34" s="191"/>
      <c r="CWH34" s="191"/>
      <c r="CWI34" s="191"/>
      <c r="CWJ34" s="191"/>
      <c r="CWK34" s="191"/>
      <c r="CWL34" s="191"/>
      <c r="CWM34" s="191"/>
      <c r="CWN34" s="191"/>
      <c r="CWO34" s="191"/>
      <c r="CWP34" s="191"/>
      <c r="CWQ34" s="191"/>
      <c r="CWR34" s="191"/>
      <c r="CWS34" s="191"/>
      <c r="CWT34" s="191"/>
      <c r="CWU34" s="191"/>
      <c r="CWV34" s="191"/>
      <c r="CWW34" s="191"/>
      <c r="CWX34" s="191"/>
      <c r="CWY34" s="191"/>
      <c r="CWZ34" s="191"/>
      <c r="CXA34" s="191"/>
      <c r="CXB34" s="191"/>
      <c r="CXC34" s="191"/>
      <c r="CXD34" s="191"/>
      <c r="CXE34" s="191"/>
      <c r="CXF34" s="191"/>
      <c r="CXG34" s="191"/>
      <c r="CXH34" s="191"/>
      <c r="CXI34" s="191"/>
      <c r="CXJ34" s="191"/>
      <c r="CXK34" s="191"/>
      <c r="CXL34" s="191"/>
      <c r="CXM34" s="191"/>
      <c r="CXN34" s="191"/>
      <c r="CXO34" s="191"/>
      <c r="CXP34" s="191"/>
      <c r="CXQ34" s="191"/>
      <c r="CXR34" s="191"/>
      <c r="CXS34" s="191"/>
      <c r="CXT34" s="191"/>
      <c r="CXU34" s="191"/>
      <c r="CXV34" s="191"/>
      <c r="CXW34" s="191"/>
      <c r="CXX34" s="191"/>
      <c r="CXY34" s="191"/>
      <c r="CXZ34" s="191"/>
      <c r="CYA34" s="191"/>
      <c r="CYB34" s="191"/>
      <c r="CYC34" s="191"/>
      <c r="CYD34" s="191"/>
      <c r="CYE34" s="191"/>
      <c r="CYF34" s="191"/>
      <c r="CYG34" s="191"/>
      <c r="CYH34" s="191"/>
      <c r="CYI34" s="191"/>
      <c r="CYJ34" s="191"/>
      <c r="CYK34" s="191"/>
      <c r="CYL34" s="191"/>
      <c r="CYM34" s="191"/>
      <c r="CYN34" s="191"/>
      <c r="CYO34" s="191"/>
      <c r="CYP34" s="191"/>
      <c r="CYQ34" s="191"/>
      <c r="CYR34" s="191"/>
      <c r="CYS34" s="191"/>
      <c r="CYT34" s="191"/>
      <c r="CYU34" s="191"/>
      <c r="CYV34" s="191"/>
      <c r="CYW34" s="191"/>
      <c r="CYX34" s="191"/>
      <c r="CYY34" s="191"/>
      <c r="CYZ34" s="191"/>
      <c r="CZA34" s="191"/>
      <c r="CZB34" s="191"/>
      <c r="CZC34" s="191"/>
      <c r="CZD34" s="191"/>
      <c r="CZE34" s="191"/>
      <c r="CZF34" s="191"/>
      <c r="CZG34" s="191"/>
      <c r="CZH34" s="191"/>
      <c r="CZI34" s="191"/>
      <c r="CZJ34" s="191"/>
      <c r="CZK34" s="191"/>
      <c r="CZL34" s="191"/>
      <c r="CZM34" s="191"/>
      <c r="CZN34" s="191"/>
      <c r="CZO34" s="191"/>
      <c r="CZP34" s="191"/>
      <c r="CZQ34" s="191"/>
      <c r="CZR34" s="191"/>
      <c r="CZS34" s="191"/>
      <c r="CZT34" s="191"/>
      <c r="CZU34" s="191"/>
      <c r="CZV34" s="191"/>
      <c r="CZW34" s="191"/>
      <c r="CZX34" s="191"/>
      <c r="CZY34" s="191"/>
      <c r="CZZ34" s="191"/>
      <c r="DAA34" s="191"/>
      <c r="DAB34" s="191"/>
      <c r="DAC34" s="191"/>
      <c r="DAD34" s="191"/>
      <c r="DAE34" s="191"/>
      <c r="DAF34" s="191"/>
      <c r="DAG34" s="191"/>
      <c r="DAH34" s="191"/>
      <c r="DAI34" s="191"/>
      <c r="DAJ34" s="191"/>
      <c r="DAK34" s="191"/>
      <c r="DAL34" s="191"/>
      <c r="DAM34" s="191"/>
      <c r="DAN34" s="191"/>
      <c r="DAO34" s="191"/>
      <c r="DAP34" s="191"/>
      <c r="DAQ34" s="191"/>
      <c r="DAR34" s="191"/>
      <c r="DAS34" s="191"/>
      <c r="DAT34" s="191"/>
      <c r="DAU34" s="191"/>
      <c r="DAV34" s="191"/>
      <c r="DAW34" s="191"/>
      <c r="DAX34" s="191"/>
      <c r="DAY34" s="191"/>
      <c r="DAZ34" s="191"/>
      <c r="DBA34" s="191"/>
      <c r="DBB34" s="191"/>
      <c r="DBC34" s="191"/>
      <c r="DBD34" s="191"/>
      <c r="DBE34" s="191"/>
      <c r="DBF34" s="191"/>
      <c r="DBG34" s="191"/>
      <c r="DBH34" s="191"/>
      <c r="DBI34" s="191"/>
      <c r="DBJ34" s="191"/>
      <c r="DBK34" s="191"/>
      <c r="DBL34" s="191"/>
      <c r="DBM34" s="191"/>
      <c r="DBN34" s="191"/>
      <c r="DBO34" s="191"/>
      <c r="DBP34" s="191"/>
      <c r="DBQ34" s="191"/>
      <c r="DBR34" s="191"/>
      <c r="DBS34" s="191"/>
      <c r="DBT34" s="191"/>
      <c r="DBU34" s="191"/>
      <c r="DBV34" s="191"/>
      <c r="DBW34" s="191"/>
      <c r="DBX34" s="191"/>
      <c r="DBY34" s="191"/>
      <c r="DBZ34" s="191"/>
      <c r="DCA34" s="191"/>
      <c r="DCB34" s="191"/>
      <c r="DCC34" s="191"/>
      <c r="DCD34" s="191"/>
      <c r="DCE34" s="191"/>
      <c r="DCF34" s="191"/>
      <c r="DCG34" s="191"/>
      <c r="DCH34" s="191"/>
      <c r="DCI34" s="191"/>
      <c r="DCJ34" s="191"/>
      <c r="DCK34" s="191"/>
      <c r="DCL34" s="191"/>
      <c r="DCM34" s="191"/>
      <c r="DCN34" s="191"/>
      <c r="DCO34" s="191"/>
      <c r="DCP34" s="191"/>
      <c r="DCQ34" s="191"/>
      <c r="DCR34" s="191"/>
      <c r="DCS34" s="191"/>
      <c r="DCT34" s="191"/>
      <c r="DCU34" s="191"/>
      <c r="DCV34" s="191"/>
      <c r="DCW34" s="191"/>
      <c r="DCX34" s="191"/>
      <c r="DCY34" s="191"/>
      <c r="DCZ34" s="191"/>
      <c r="DDA34" s="191"/>
      <c r="DDB34" s="191"/>
      <c r="DDC34" s="191"/>
      <c r="DDD34" s="191"/>
      <c r="DDE34" s="191"/>
      <c r="DDF34" s="191"/>
      <c r="DDG34" s="191"/>
      <c r="DDH34" s="191"/>
      <c r="DDI34" s="191"/>
      <c r="DDJ34" s="191"/>
      <c r="DDK34" s="191"/>
      <c r="DDL34" s="191"/>
      <c r="DDM34" s="191"/>
      <c r="DDN34" s="191"/>
      <c r="DDO34" s="191"/>
      <c r="DDP34" s="191"/>
      <c r="DDQ34" s="191"/>
      <c r="DDR34" s="191"/>
      <c r="DDS34" s="191"/>
      <c r="DDT34" s="191"/>
      <c r="DDU34" s="191"/>
      <c r="DDV34" s="191"/>
      <c r="DDW34" s="191"/>
      <c r="DDX34" s="191"/>
      <c r="DDY34" s="191"/>
      <c r="DDZ34" s="191"/>
      <c r="DEA34" s="191"/>
      <c r="DEB34" s="191"/>
      <c r="DEC34" s="191"/>
      <c r="DED34" s="191"/>
      <c r="DEE34" s="191"/>
      <c r="DEF34" s="191"/>
      <c r="DEG34" s="191"/>
      <c r="DEH34" s="191"/>
      <c r="DEI34" s="191"/>
      <c r="DEJ34" s="191"/>
      <c r="DEK34" s="191"/>
      <c r="DEL34" s="191"/>
      <c r="DEM34" s="191"/>
      <c r="DEN34" s="191"/>
      <c r="DEO34" s="191"/>
      <c r="DEP34" s="191"/>
      <c r="DEQ34" s="191"/>
      <c r="DER34" s="191"/>
      <c r="DES34" s="191"/>
      <c r="DET34" s="191"/>
      <c r="DEU34" s="191"/>
      <c r="DEV34" s="191"/>
      <c r="DEW34" s="191"/>
      <c r="DEX34" s="191"/>
      <c r="DEY34" s="191"/>
      <c r="DEZ34" s="191"/>
      <c r="DFA34" s="191"/>
      <c r="DFB34" s="191"/>
      <c r="DFC34" s="191"/>
      <c r="DFD34" s="191"/>
      <c r="DFE34" s="191"/>
      <c r="DFF34" s="191"/>
      <c r="DFG34" s="191"/>
      <c r="DFH34" s="191"/>
      <c r="DFI34" s="191"/>
      <c r="DFJ34" s="191"/>
      <c r="DFK34" s="191"/>
      <c r="DFL34" s="191"/>
      <c r="DFM34" s="191"/>
      <c r="DFN34" s="191"/>
      <c r="DFO34" s="191"/>
      <c r="DFP34" s="191"/>
      <c r="DFQ34" s="191"/>
      <c r="DFR34" s="191"/>
      <c r="DFS34" s="191"/>
      <c r="DFT34" s="191"/>
      <c r="DFU34" s="191"/>
      <c r="DFV34" s="191"/>
      <c r="DFW34" s="191"/>
      <c r="DFX34" s="191"/>
      <c r="DFY34" s="191"/>
      <c r="DFZ34" s="191"/>
      <c r="DGA34" s="191"/>
      <c r="DGB34" s="191"/>
      <c r="DGC34" s="191"/>
      <c r="DGD34" s="191"/>
      <c r="DGE34" s="191"/>
      <c r="DGF34" s="191"/>
      <c r="DGG34" s="191"/>
      <c r="DGH34" s="191"/>
      <c r="DGI34" s="191"/>
      <c r="DGJ34" s="191"/>
      <c r="DGK34" s="191"/>
      <c r="DGL34" s="191"/>
      <c r="DGM34" s="191"/>
      <c r="DGN34" s="191"/>
      <c r="DGO34" s="191"/>
      <c r="DGP34" s="191"/>
      <c r="DGQ34" s="191"/>
      <c r="DGR34" s="191"/>
      <c r="DGS34" s="191"/>
      <c r="DGT34" s="191"/>
      <c r="DGU34" s="191"/>
      <c r="DGV34" s="191"/>
      <c r="DGW34" s="191"/>
      <c r="DGX34" s="191"/>
      <c r="DGY34" s="191"/>
      <c r="DGZ34" s="191"/>
      <c r="DHA34" s="191"/>
      <c r="DHB34" s="191"/>
      <c r="DHC34" s="191"/>
      <c r="DHD34" s="191"/>
      <c r="DHE34" s="191"/>
      <c r="DHF34" s="191"/>
      <c r="DHG34" s="191"/>
      <c r="DHH34" s="191"/>
      <c r="DHI34" s="191"/>
      <c r="DHJ34" s="191"/>
      <c r="DHK34" s="191"/>
      <c r="DHL34" s="191"/>
      <c r="DHM34" s="191"/>
      <c r="DHN34" s="191"/>
      <c r="DHO34" s="191"/>
      <c r="DHP34" s="191"/>
      <c r="DHQ34" s="191"/>
      <c r="DHR34" s="191"/>
      <c r="DHS34" s="191"/>
      <c r="DHT34" s="191"/>
      <c r="DHU34" s="191"/>
      <c r="DHV34" s="191"/>
      <c r="DHW34" s="191"/>
      <c r="DHX34" s="191"/>
      <c r="DHY34" s="191"/>
      <c r="DHZ34" s="191"/>
      <c r="DIA34" s="191"/>
      <c r="DIB34" s="191"/>
      <c r="DIC34" s="191"/>
      <c r="DID34" s="191"/>
      <c r="DIE34" s="191"/>
      <c r="DIF34" s="191"/>
      <c r="DIG34" s="191"/>
      <c r="DIH34" s="191"/>
      <c r="DII34" s="191"/>
      <c r="DIJ34" s="191"/>
      <c r="DIK34" s="191"/>
      <c r="DIL34" s="191"/>
      <c r="DIM34" s="191"/>
      <c r="DIN34" s="191"/>
      <c r="DIO34" s="191"/>
      <c r="DIP34" s="191"/>
      <c r="DIQ34" s="191"/>
      <c r="DIR34" s="191"/>
      <c r="DIS34" s="191"/>
      <c r="DIT34" s="191"/>
      <c r="DIU34" s="191"/>
      <c r="DIV34" s="191"/>
      <c r="DIW34" s="191"/>
      <c r="DIX34" s="191"/>
      <c r="DIY34" s="191"/>
      <c r="DIZ34" s="191"/>
      <c r="DJA34" s="191"/>
      <c r="DJB34" s="191"/>
      <c r="DJC34" s="191"/>
      <c r="DJD34" s="191"/>
      <c r="DJE34" s="191"/>
      <c r="DJF34" s="191"/>
      <c r="DJG34" s="191"/>
      <c r="DJH34" s="191"/>
      <c r="DJI34" s="191"/>
      <c r="DJJ34" s="191"/>
      <c r="DJK34" s="191"/>
      <c r="DJL34" s="191"/>
      <c r="DJM34" s="191"/>
      <c r="DJN34" s="191"/>
      <c r="DJO34" s="191"/>
      <c r="DJP34" s="191"/>
      <c r="DJQ34" s="191"/>
      <c r="DJR34" s="191"/>
      <c r="DJS34" s="191"/>
      <c r="DJT34" s="191"/>
      <c r="DJU34" s="191"/>
      <c r="DJV34" s="191"/>
      <c r="DJW34" s="191"/>
      <c r="DJX34" s="191"/>
      <c r="DJY34" s="191"/>
      <c r="DJZ34" s="191"/>
      <c r="DKA34" s="191"/>
      <c r="DKB34" s="191"/>
      <c r="DKC34" s="191"/>
      <c r="DKD34" s="191"/>
      <c r="DKE34" s="191"/>
      <c r="DKF34" s="191"/>
      <c r="DKG34" s="191"/>
      <c r="DKH34" s="191"/>
      <c r="DKI34" s="191"/>
      <c r="DKJ34" s="191"/>
      <c r="DKK34" s="191"/>
      <c r="DKL34" s="191"/>
      <c r="DKM34" s="191"/>
      <c r="DKN34" s="191"/>
      <c r="DKO34" s="191"/>
      <c r="DKP34" s="191"/>
      <c r="DKQ34" s="191"/>
      <c r="DKR34" s="191"/>
      <c r="DKS34" s="191"/>
      <c r="DKT34" s="191"/>
      <c r="DKU34" s="191"/>
      <c r="DKV34" s="191"/>
      <c r="DKW34" s="191"/>
      <c r="DKX34" s="191"/>
      <c r="DKY34" s="191"/>
      <c r="DKZ34" s="191"/>
      <c r="DLA34" s="191"/>
      <c r="DLB34" s="191"/>
      <c r="DLC34" s="191"/>
      <c r="DLD34" s="191"/>
      <c r="DLE34" s="191"/>
      <c r="DLF34" s="191"/>
      <c r="DLG34" s="191"/>
      <c r="DLH34" s="191"/>
      <c r="DLI34" s="191"/>
      <c r="DLJ34" s="191"/>
      <c r="DLK34" s="191"/>
      <c r="DLL34" s="191"/>
      <c r="DLM34" s="191"/>
      <c r="DLN34" s="191"/>
      <c r="DLO34" s="191"/>
      <c r="DLP34" s="191"/>
      <c r="DLQ34" s="191"/>
      <c r="DLR34" s="191"/>
      <c r="DLS34" s="191"/>
      <c r="DLT34" s="191"/>
      <c r="DLU34" s="191"/>
      <c r="DLV34" s="191"/>
      <c r="DLW34" s="191"/>
      <c r="DLX34" s="191"/>
      <c r="DLY34" s="191"/>
      <c r="DLZ34" s="191"/>
      <c r="DMA34" s="191"/>
      <c r="DMB34" s="191"/>
      <c r="DMC34" s="191"/>
      <c r="DMD34" s="191"/>
      <c r="DME34" s="191"/>
      <c r="DMF34" s="191"/>
      <c r="DMG34" s="191"/>
      <c r="DMH34" s="191"/>
      <c r="DMI34" s="191"/>
      <c r="DMJ34" s="191"/>
      <c r="DMK34" s="191"/>
      <c r="DML34" s="191"/>
      <c r="DMM34" s="191"/>
      <c r="DMN34" s="191"/>
      <c r="DMO34" s="191"/>
      <c r="DMP34" s="191"/>
      <c r="DMQ34" s="191"/>
      <c r="DMR34" s="191"/>
      <c r="DMS34" s="191"/>
      <c r="DMT34" s="191"/>
      <c r="DMU34" s="191"/>
      <c r="DMV34" s="191"/>
      <c r="DMW34" s="191"/>
      <c r="DMX34" s="191"/>
      <c r="DMY34" s="191"/>
      <c r="DMZ34" s="191"/>
      <c r="DNA34" s="191"/>
      <c r="DNB34" s="191"/>
      <c r="DNC34" s="191"/>
      <c r="DND34" s="191"/>
      <c r="DNE34" s="191"/>
      <c r="DNF34" s="191"/>
      <c r="DNG34" s="191"/>
      <c r="DNH34" s="191"/>
      <c r="DNI34" s="191"/>
      <c r="DNJ34" s="191"/>
      <c r="DNK34" s="191"/>
      <c r="DNL34" s="191"/>
      <c r="DNM34" s="191"/>
      <c r="DNN34" s="191"/>
      <c r="DNO34" s="191"/>
      <c r="DNP34" s="191"/>
      <c r="DNQ34" s="191"/>
      <c r="DNR34" s="191"/>
      <c r="DNS34" s="191"/>
      <c r="DNT34" s="191"/>
      <c r="DNU34" s="191"/>
      <c r="DNV34" s="191"/>
      <c r="DNW34" s="191"/>
      <c r="DNX34" s="191"/>
      <c r="DNY34" s="191"/>
      <c r="DNZ34" s="191"/>
      <c r="DOA34" s="191"/>
      <c r="DOB34" s="191"/>
      <c r="DOC34" s="191"/>
      <c r="DOD34" s="191"/>
      <c r="DOE34" s="191"/>
      <c r="DOF34" s="191"/>
      <c r="DOG34" s="191"/>
      <c r="DOH34" s="191"/>
      <c r="DOI34" s="191"/>
      <c r="DOJ34" s="191"/>
      <c r="DOK34" s="191"/>
      <c r="DOL34" s="191"/>
      <c r="DOM34" s="191"/>
      <c r="DON34" s="191"/>
      <c r="DOO34" s="191"/>
      <c r="DOP34" s="191"/>
      <c r="DOQ34" s="191"/>
      <c r="DOR34" s="191"/>
      <c r="DOS34" s="191"/>
      <c r="DOT34" s="191"/>
      <c r="DOU34" s="191"/>
      <c r="DOV34" s="191"/>
      <c r="DOW34" s="191"/>
      <c r="DOX34" s="191"/>
      <c r="DOY34" s="191"/>
      <c r="DOZ34" s="191"/>
      <c r="DPA34" s="191"/>
      <c r="DPB34" s="191"/>
      <c r="DPC34" s="191"/>
      <c r="DPD34" s="191"/>
      <c r="DPE34" s="191"/>
      <c r="DPF34" s="191"/>
      <c r="DPG34" s="191"/>
      <c r="DPH34" s="191"/>
      <c r="DPI34" s="191"/>
      <c r="DPJ34" s="191"/>
      <c r="DPK34" s="191"/>
      <c r="DPL34" s="191"/>
      <c r="DPM34" s="191"/>
      <c r="DPN34" s="191"/>
      <c r="DPO34" s="191"/>
      <c r="DPP34" s="191"/>
      <c r="DPQ34" s="191"/>
      <c r="DPR34" s="191"/>
      <c r="DPS34" s="191"/>
      <c r="DPT34" s="191"/>
      <c r="DPU34" s="191"/>
      <c r="DPV34" s="191"/>
      <c r="DPW34" s="191"/>
      <c r="DPX34" s="191"/>
      <c r="DPY34" s="191"/>
      <c r="DPZ34" s="191"/>
      <c r="DQA34" s="191"/>
      <c r="DQB34" s="191"/>
      <c r="DQC34" s="191"/>
      <c r="DQD34" s="191"/>
      <c r="DQE34" s="191"/>
      <c r="DQF34" s="191"/>
      <c r="DQG34" s="191"/>
      <c r="DQH34" s="191"/>
      <c r="DQI34" s="191"/>
      <c r="DQJ34" s="191"/>
      <c r="DQK34" s="191"/>
      <c r="DQL34" s="191"/>
      <c r="DQM34" s="191"/>
      <c r="DQN34" s="191"/>
      <c r="DQO34" s="191"/>
      <c r="DQP34" s="191"/>
      <c r="DQQ34" s="191"/>
      <c r="DQR34" s="191"/>
      <c r="DQS34" s="191"/>
      <c r="DQT34" s="191"/>
      <c r="DQU34" s="191"/>
      <c r="DQV34" s="191"/>
      <c r="DQW34" s="191"/>
      <c r="DQX34" s="191"/>
      <c r="DQY34" s="191"/>
      <c r="DQZ34" s="191"/>
      <c r="DRA34" s="191"/>
      <c r="DRB34" s="191"/>
      <c r="DRC34" s="191"/>
      <c r="DRD34" s="191"/>
      <c r="DRE34" s="191"/>
      <c r="DRF34" s="191"/>
      <c r="DRG34" s="191"/>
      <c r="DRH34" s="191"/>
      <c r="DRI34" s="191"/>
      <c r="DRJ34" s="191"/>
      <c r="DRK34" s="191"/>
      <c r="DRL34" s="191"/>
      <c r="DRM34" s="191"/>
      <c r="DRN34" s="191"/>
      <c r="DRO34" s="191"/>
      <c r="DRP34" s="191"/>
      <c r="DRQ34" s="191"/>
      <c r="DRR34" s="191"/>
      <c r="DRS34" s="191"/>
      <c r="DRT34" s="191"/>
      <c r="DRU34" s="191"/>
      <c r="DRV34" s="191"/>
      <c r="DRW34" s="191"/>
      <c r="DRX34" s="191"/>
      <c r="DRY34" s="191"/>
      <c r="DRZ34" s="191"/>
      <c r="DSA34" s="191"/>
      <c r="DSB34" s="191"/>
      <c r="DSC34" s="191"/>
      <c r="DSD34" s="191"/>
      <c r="DSE34" s="191"/>
      <c r="DSF34" s="191"/>
      <c r="DSG34" s="191"/>
      <c r="DSH34" s="191"/>
      <c r="DSI34" s="191"/>
      <c r="DSJ34" s="191"/>
      <c r="DSK34" s="191"/>
      <c r="DSL34" s="191"/>
      <c r="DSM34" s="191"/>
      <c r="DSN34" s="191"/>
      <c r="DSO34" s="191"/>
      <c r="DSP34" s="191"/>
      <c r="DSQ34" s="191"/>
      <c r="DSR34" s="191"/>
      <c r="DSS34" s="191"/>
      <c r="DST34" s="191"/>
      <c r="DSU34" s="191"/>
      <c r="DSV34" s="191"/>
      <c r="DSW34" s="191"/>
      <c r="DSX34" s="191"/>
      <c r="DSY34" s="191"/>
      <c r="DSZ34" s="191"/>
      <c r="DTA34" s="191"/>
      <c r="DTB34" s="191"/>
      <c r="DTC34" s="191"/>
      <c r="DTD34" s="191"/>
      <c r="DTE34" s="191"/>
      <c r="DTF34" s="191"/>
      <c r="DTG34" s="191"/>
      <c r="DTH34" s="191"/>
      <c r="DTI34" s="191"/>
      <c r="DTJ34" s="191"/>
      <c r="DTK34" s="191"/>
      <c r="DTL34" s="191"/>
      <c r="DTM34" s="191"/>
      <c r="DTN34" s="191"/>
      <c r="DTO34" s="191"/>
      <c r="DTP34" s="191"/>
      <c r="DTQ34" s="191"/>
      <c r="DTR34" s="191"/>
      <c r="DTS34" s="191"/>
      <c r="DTT34" s="191"/>
      <c r="DTU34" s="191"/>
      <c r="DTV34" s="191"/>
      <c r="DTW34" s="191"/>
      <c r="DTX34" s="191"/>
      <c r="DTY34" s="191"/>
      <c r="DTZ34" s="191"/>
      <c r="DUA34" s="191"/>
      <c r="DUB34" s="191"/>
      <c r="DUC34" s="191"/>
      <c r="DUD34" s="191"/>
      <c r="DUE34" s="191"/>
      <c r="DUF34" s="191"/>
      <c r="DUG34" s="191"/>
      <c r="DUH34" s="191"/>
      <c r="DUI34" s="191"/>
      <c r="DUJ34" s="191"/>
      <c r="DUK34" s="191"/>
      <c r="DUL34" s="191"/>
      <c r="DUM34" s="191"/>
      <c r="DUN34" s="191"/>
      <c r="DUO34" s="191"/>
      <c r="DUP34" s="191"/>
      <c r="DUQ34" s="191"/>
      <c r="DUR34" s="191"/>
      <c r="DUS34" s="191"/>
      <c r="DUT34" s="191"/>
      <c r="DUU34" s="191"/>
      <c r="DUV34" s="191"/>
      <c r="DUW34" s="191"/>
      <c r="DUX34" s="191"/>
      <c r="DUY34" s="191"/>
      <c r="DUZ34" s="191"/>
      <c r="DVA34" s="191"/>
      <c r="DVB34" s="191"/>
      <c r="DVC34" s="191"/>
      <c r="DVD34" s="191"/>
      <c r="DVE34" s="191"/>
      <c r="DVF34" s="191"/>
      <c r="DVG34" s="191"/>
      <c r="DVH34" s="191"/>
      <c r="DVI34" s="191"/>
      <c r="DVJ34" s="191"/>
      <c r="DVK34" s="191"/>
      <c r="DVL34" s="191"/>
      <c r="DVM34" s="191"/>
      <c r="DVN34" s="191"/>
      <c r="DVO34" s="191"/>
      <c r="DVP34" s="191"/>
      <c r="DVQ34" s="191"/>
      <c r="DVR34" s="191"/>
      <c r="DVS34" s="191"/>
      <c r="DVT34" s="191"/>
      <c r="DVU34" s="191"/>
      <c r="DVV34" s="191"/>
      <c r="DVW34" s="191"/>
      <c r="DVX34" s="191"/>
      <c r="DVY34" s="191"/>
      <c r="DVZ34" s="191"/>
      <c r="DWA34" s="191"/>
      <c r="DWB34" s="191"/>
      <c r="DWC34" s="191"/>
      <c r="DWD34" s="191"/>
      <c r="DWE34" s="191"/>
      <c r="DWF34" s="191"/>
      <c r="DWG34" s="191"/>
      <c r="DWH34" s="191"/>
      <c r="DWI34" s="191"/>
      <c r="DWJ34" s="191"/>
      <c r="DWK34" s="191"/>
      <c r="DWL34" s="191"/>
      <c r="DWM34" s="191"/>
      <c r="DWN34" s="191"/>
      <c r="DWO34" s="191"/>
      <c r="DWP34" s="191"/>
      <c r="DWQ34" s="191"/>
      <c r="DWR34" s="191"/>
      <c r="DWS34" s="191"/>
      <c r="DWT34" s="191"/>
      <c r="DWU34" s="191"/>
      <c r="DWV34" s="191"/>
      <c r="DWW34" s="191"/>
      <c r="DWX34" s="191"/>
      <c r="DWY34" s="191"/>
      <c r="DWZ34" s="191"/>
      <c r="DXA34" s="191"/>
      <c r="DXB34" s="191"/>
      <c r="DXC34" s="191"/>
      <c r="DXD34" s="191"/>
      <c r="DXE34" s="191"/>
      <c r="DXF34" s="191"/>
      <c r="DXG34" s="191"/>
      <c r="DXH34" s="191"/>
      <c r="DXI34" s="191"/>
      <c r="DXJ34" s="191"/>
      <c r="DXK34" s="191"/>
      <c r="DXL34" s="191"/>
      <c r="DXM34" s="191"/>
      <c r="DXN34" s="191"/>
      <c r="DXO34" s="191"/>
      <c r="DXP34" s="191"/>
      <c r="DXQ34" s="191"/>
      <c r="DXR34" s="191"/>
      <c r="DXS34" s="191"/>
      <c r="DXT34" s="191"/>
      <c r="DXU34" s="191"/>
      <c r="DXV34" s="191"/>
      <c r="DXW34" s="191"/>
      <c r="DXX34" s="191"/>
      <c r="DXY34" s="191"/>
      <c r="DXZ34" s="191"/>
      <c r="DYA34" s="191"/>
      <c r="DYB34" s="191"/>
      <c r="DYC34" s="191"/>
      <c r="DYD34" s="191"/>
      <c r="DYE34" s="191"/>
      <c r="DYF34" s="191"/>
      <c r="DYG34" s="191"/>
      <c r="DYH34" s="191"/>
      <c r="DYI34" s="191"/>
      <c r="DYJ34" s="191"/>
      <c r="DYK34" s="191"/>
      <c r="DYL34" s="191"/>
      <c r="DYM34" s="191"/>
      <c r="DYN34" s="191"/>
      <c r="DYO34" s="191"/>
      <c r="DYP34" s="191"/>
      <c r="DYQ34" s="191"/>
      <c r="DYR34" s="191"/>
      <c r="DYS34" s="191"/>
      <c r="DYT34" s="191"/>
      <c r="DYU34" s="191"/>
      <c r="DYV34" s="191"/>
      <c r="DYW34" s="191"/>
      <c r="DYX34" s="191"/>
      <c r="DYY34" s="191"/>
      <c r="DYZ34" s="191"/>
      <c r="DZA34" s="191"/>
      <c r="DZB34" s="191"/>
      <c r="DZC34" s="191"/>
      <c r="DZD34" s="191"/>
      <c r="DZE34" s="191"/>
      <c r="DZF34" s="191"/>
      <c r="DZG34" s="191"/>
      <c r="DZH34" s="191"/>
      <c r="DZI34" s="191"/>
      <c r="DZJ34" s="191"/>
      <c r="DZK34" s="191"/>
      <c r="DZL34" s="191"/>
      <c r="DZM34" s="191"/>
      <c r="DZN34" s="191"/>
      <c r="DZO34" s="191"/>
      <c r="DZP34" s="191"/>
      <c r="DZQ34" s="191"/>
      <c r="DZR34" s="191"/>
      <c r="DZS34" s="191"/>
      <c r="DZT34" s="191"/>
      <c r="DZU34" s="191"/>
      <c r="DZV34" s="191"/>
      <c r="DZW34" s="191"/>
      <c r="DZX34" s="191"/>
      <c r="DZY34" s="191"/>
      <c r="DZZ34" s="191"/>
      <c r="EAA34" s="191"/>
      <c r="EAB34" s="191"/>
      <c r="EAC34" s="191"/>
      <c r="EAD34" s="191"/>
      <c r="EAE34" s="191"/>
      <c r="EAF34" s="191"/>
      <c r="EAG34" s="191"/>
      <c r="EAH34" s="191"/>
      <c r="EAI34" s="191"/>
      <c r="EAJ34" s="191"/>
      <c r="EAK34" s="191"/>
      <c r="EAL34" s="191"/>
      <c r="EAM34" s="191"/>
      <c r="EAN34" s="191"/>
      <c r="EAO34" s="191"/>
      <c r="EAP34" s="191"/>
      <c r="EAQ34" s="191"/>
      <c r="EAR34" s="191"/>
      <c r="EAS34" s="191"/>
      <c r="EAT34" s="191"/>
      <c r="EAU34" s="191"/>
      <c r="EAV34" s="191"/>
      <c r="EAW34" s="191"/>
      <c r="EAX34" s="191"/>
      <c r="EAY34" s="191"/>
      <c r="EAZ34" s="191"/>
      <c r="EBA34" s="191"/>
      <c r="EBB34" s="191"/>
      <c r="EBC34" s="191"/>
      <c r="EBD34" s="191"/>
      <c r="EBE34" s="191"/>
      <c r="EBF34" s="191"/>
      <c r="EBG34" s="191"/>
      <c r="EBH34" s="191"/>
      <c r="EBI34" s="191"/>
      <c r="EBJ34" s="191"/>
      <c r="EBK34" s="191"/>
      <c r="EBL34" s="191"/>
      <c r="EBM34" s="191"/>
      <c r="EBN34" s="191"/>
      <c r="EBO34" s="191"/>
      <c r="EBP34" s="191"/>
      <c r="EBQ34" s="191"/>
      <c r="EBR34" s="191"/>
      <c r="EBS34" s="191"/>
      <c r="EBT34" s="191"/>
      <c r="EBU34" s="191"/>
      <c r="EBV34" s="191"/>
      <c r="EBW34" s="191"/>
      <c r="EBX34" s="191"/>
      <c r="EBY34" s="191"/>
      <c r="EBZ34" s="191"/>
      <c r="ECA34" s="191"/>
      <c r="ECB34" s="191"/>
      <c r="ECC34" s="191"/>
      <c r="ECD34" s="191"/>
      <c r="ECE34" s="191"/>
      <c r="ECF34" s="191"/>
      <c r="ECG34" s="191"/>
      <c r="ECH34" s="191"/>
      <c r="ECI34" s="191"/>
      <c r="ECJ34" s="191"/>
      <c r="ECK34" s="191"/>
      <c r="ECL34" s="191"/>
      <c r="ECM34" s="191"/>
      <c r="ECN34" s="191"/>
      <c r="ECO34" s="191"/>
      <c r="ECP34" s="191"/>
      <c r="ECQ34" s="191"/>
      <c r="ECR34" s="191"/>
      <c r="ECS34" s="191"/>
      <c r="ECT34" s="191"/>
      <c r="ECU34" s="191"/>
      <c r="ECV34" s="191"/>
      <c r="ECW34" s="191"/>
      <c r="ECX34" s="191"/>
      <c r="ECY34" s="191"/>
      <c r="ECZ34" s="191"/>
      <c r="EDA34" s="191"/>
      <c r="EDB34" s="191"/>
      <c r="EDC34" s="191"/>
      <c r="EDD34" s="191"/>
      <c r="EDE34" s="191"/>
      <c r="EDF34" s="191"/>
      <c r="EDG34" s="191"/>
      <c r="EDH34" s="191"/>
      <c r="EDI34" s="191"/>
      <c r="EDJ34" s="191"/>
      <c r="EDK34" s="191"/>
      <c r="EDL34" s="191"/>
      <c r="EDM34" s="191"/>
      <c r="EDN34" s="191"/>
      <c r="EDO34" s="191"/>
      <c r="EDP34" s="191"/>
      <c r="EDQ34" s="191"/>
      <c r="EDR34" s="191"/>
      <c r="EDS34" s="191"/>
      <c r="EDT34" s="191"/>
      <c r="EDU34" s="191"/>
      <c r="EDV34" s="191"/>
      <c r="EDW34" s="191"/>
      <c r="EDX34" s="191"/>
      <c r="EDY34" s="191"/>
      <c r="EDZ34" s="191"/>
      <c r="EEA34" s="191"/>
      <c r="EEB34" s="191"/>
      <c r="EEC34" s="191"/>
      <c r="EED34" s="191"/>
      <c r="EEE34" s="191"/>
      <c r="EEF34" s="191"/>
      <c r="EEG34" s="191"/>
      <c r="EEH34" s="191"/>
      <c r="EEI34" s="191"/>
      <c r="EEJ34" s="191"/>
      <c r="EEK34" s="191"/>
      <c r="EEL34" s="191"/>
      <c r="EEM34" s="191"/>
      <c r="EEN34" s="191"/>
      <c r="EEO34" s="191"/>
      <c r="EEP34" s="191"/>
      <c r="EEQ34" s="191"/>
      <c r="EER34" s="191"/>
      <c r="EES34" s="191"/>
      <c r="EET34" s="191"/>
      <c r="EEU34" s="191"/>
      <c r="EEV34" s="191"/>
      <c r="EEW34" s="191"/>
      <c r="EEX34" s="191"/>
      <c r="EEY34" s="191"/>
      <c r="EEZ34" s="191"/>
      <c r="EFA34" s="191"/>
      <c r="EFB34" s="191"/>
      <c r="EFC34" s="191"/>
      <c r="EFD34" s="191"/>
      <c r="EFE34" s="191"/>
      <c r="EFF34" s="191"/>
      <c r="EFG34" s="191"/>
      <c r="EFH34" s="191"/>
      <c r="EFI34" s="191"/>
      <c r="EFJ34" s="191"/>
      <c r="EFK34" s="191"/>
      <c r="EFL34" s="191"/>
      <c r="EFM34" s="191"/>
      <c r="EFN34" s="191"/>
      <c r="EFO34" s="191"/>
      <c r="EFP34" s="191"/>
      <c r="EFQ34" s="191"/>
      <c r="EFR34" s="191"/>
      <c r="EFS34" s="191"/>
      <c r="EFT34" s="191"/>
      <c r="EFU34" s="191"/>
      <c r="EFV34" s="191"/>
      <c r="EFW34" s="191"/>
      <c r="EFX34" s="191"/>
      <c r="EFY34" s="191"/>
      <c r="EFZ34" s="191"/>
      <c r="EGA34" s="191"/>
      <c r="EGB34" s="191"/>
      <c r="EGC34" s="191"/>
      <c r="EGD34" s="191"/>
      <c r="EGE34" s="191"/>
      <c r="EGF34" s="191"/>
      <c r="EGG34" s="191"/>
      <c r="EGH34" s="191"/>
      <c r="EGI34" s="191"/>
      <c r="EGJ34" s="191"/>
      <c r="EGK34" s="191"/>
      <c r="EGL34" s="191"/>
      <c r="EGM34" s="191"/>
      <c r="EGN34" s="191"/>
      <c r="EGO34" s="191"/>
      <c r="EGP34" s="191"/>
      <c r="EGQ34" s="191"/>
      <c r="EGR34" s="191"/>
      <c r="EGS34" s="191"/>
      <c r="EGT34" s="191"/>
      <c r="EGU34" s="191"/>
      <c r="EGV34" s="191"/>
      <c r="EGW34" s="191"/>
      <c r="EGX34" s="191"/>
      <c r="EGY34" s="191"/>
      <c r="EGZ34" s="191"/>
      <c r="EHA34" s="191"/>
      <c r="EHB34" s="191"/>
      <c r="EHC34" s="191"/>
      <c r="EHD34" s="191"/>
      <c r="EHE34" s="191"/>
      <c r="EHF34" s="191"/>
      <c r="EHG34" s="191"/>
      <c r="EHH34" s="191"/>
      <c r="EHI34" s="191"/>
      <c r="EHJ34" s="191"/>
      <c r="EHK34" s="191"/>
      <c r="EHL34" s="191"/>
      <c r="EHM34" s="191"/>
      <c r="EHN34" s="191"/>
      <c r="EHO34" s="191"/>
      <c r="EHP34" s="191"/>
      <c r="EHQ34" s="191"/>
      <c r="EHR34" s="191"/>
      <c r="EHS34" s="191"/>
      <c r="EHT34" s="191"/>
      <c r="EHU34" s="191"/>
      <c r="EHV34" s="191"/>
      <c r="EHW34" s="191"/>
      <c r="EHX34" s="191"/>
      <c r="EHY34" s="191"/>
      <c r="EHZ34" s="191"/>
      <c r="EIA34" s="191"/>
      <c r="EIB34" s="191"/>
      <c r="EIC34" s="191"/>
      <c r="EID34" s="191"/>
      <c r="EIE34" s="191"/>
      <c r="EIF34" s="191"/>
      <c r="EIG34" s="191"/>
      <c r="EIH34" s="191"/>
      <c r="EII34" s="191"/>
      <c r="EIJ34" s="191"/>
      <c r="EIK34" s="191"/>
      <c r="EIL34" s="191"/>
      <c r="EIM34" s="191"/>
      <c r="EIN34" s="191"/>
      <c r="EIO34" s="191"/>
      <c r="EIP34" s="191"/>
      <c r="EIQ34" s="191"/>
      <c r="EIR34" s="191"/>
      <c r="EIS34" s="191"/>
      <c r="EIT34" s="191"/>
      <c r="EIU34" s="191"/>
      <c r="EIV34" s="191"/>
      <c r="EIW34" s="191"/>
      <c r="EIX34" s="191"/>
      <c r="EIY34" s="191"/>
      <c r="EIZ34" s="191"/>
      <c r="EJA34" s="191"/>
      <c r="EJB34" s="191"/>
      <c r="EJC34" s="191"/>
      <c r="EJD34" s="191"/>
      <c r="EJE34" s="191"/>
      <c r="EJF34" s="191"/>
      <c r="EJG34" s="191"/>
      <c r="EJH34" s="191"/>
      <c r="EJI34" s="191"/>
      <c r="EJJ34" s="191"/>
      <c r="EJK34" s="191"/>
      <c r="EJL34" s="191"/>
      <c r="EJM34" s="191"/>
      <c r="EJN34" s="191"/>
      <c r="EJO34" s="191"/>
      <c r="EJP34" s="191"/>
      <c r="EJQ34" s="191"/>
      <c r="EJR34" s="191"/>
      <c r="EJS34" s="191"/>
      <c r="EJT34" s="191"/>
      <c r="EJU34" s="191"/>
      <c r="EJV34" s="191"/>
      <c r="EJW34" s="191"/>
      <c r="EJX34" s="191"/>
      <c r="EJY34" s="191"/>
      <c r="EJZ34" s="191"/>
      <c r="EKA34" s="191"/>
      <c r="EKB34" s="191"/>
      <c r="EKC34" s="191"/>
      <c r="EKD34" s="191"/>
      <c r="EKE34" s="191"/>
      <c r="EKF34" s="191"/>
      <c r="EKG34" s="191"/>
      <c r="EKH34" s="191"/>
      <c r="EKI34" s="191"/>
      <c r="EKJ34" s="191"/>
      <c r="EKK34" s="191"/>
      <c r="EKL34" s="191"/>
      <c r="EKM34" s="191"/>
      <c r="EKN34" s="191"/>
      <c r="EKO34" s="191"/>
      <c r="EKP34" s="191"/>
      <c r="EKQ34" s="191"/>
      <c r="EKR34" s="191"/>
      <c r="EKS34" s="191"/>
      <c r="EKT34" s="191"/>
      <c r="EKU34" s="191"/>
      <c r="EKV34" s="191"/>
      <c r="EKW34" s="191"/>
      <c r="EKX34" s="191"/>
      <c r="EKY34" s="191"/>
      <c r="EKZ34" s="191"/>
      <c r="ELA34" s="191"/>
      <c r="ELB34" s="191"/>
      <c r="ELC34" s="191"/>
      <c r="ELD34" s="191"/>
      <c r="ELE34" s="191"/>
      <c r="ELF34" s="191"/>
      <c r="ELG34" s="191"/>
      <c r="ELH34" s="191"/>
      <c r="ELI34" s="191"/>
      <c r="ELJ34" s="191"/>
      <c r="ELK34" s="191"/>
      <c r="ELL34" s="191"/>
      <c r="ELM34" s="191"/>
      <c r="ELN34" s="191"/>
      <c r="ELO34" s="191"/>
      <c r="ELP34" s="191"/>
      <c r="ELQ34" s="191"/>
      <c r="ELR34" s="191"/>
      <c r="ELS34" s="191"/>
      <c r="ELT34" s="191"/>
      <c r="ELU34" s="191"/>
      <c r="ELV34" s="191"/>
      <c r="ELW34" s="191"/>
      <c r="ELX34" s="191"/>
      <c r="ELY34" s="191"/>
      <c r="ELZ34" s="191"/>
      <c r="EMA34" s="191"/>
      <c r="EMB34" s="191"/>
      <c r="EMC34" s="191"/>
      <c r="EMD34" s="191"/>
      <c r="EME34" s="191"/>
      <c r="EMF34" s="191"/>
      <c r="EMG34" s="191"/>
      <c r="EMH34" s="191"/>
      <c r="EMI34" s="191"/>
      <c r="EMJ34" s="191"/>
      <c r="EMK34" s="191"/>
      <c r="EML34" s="191"/>
      <c r="EMM34" s="191"/>
      <c r="EMN34" s="191"/>
      <c r="EMO34" s="191"/>
      <c r="EMP34" s="191"/>
      <c r="EMQ34" s="191"/>
      <c r="EMR34" s="191"/>
      <c r="EMS34" s="191"/>
      <c r="EMT34" s="191"/>
      <c r="EMU34" s="191"/>
      <c r="EMV34" s="191"/>
      <c r="EMW34" s="191"/>
      <c r="EMX34" s="191"/>
      <c r="EMY34" s="191"/>
      <c r="EMZ34" s="191"/>
      <c r="ENA34" s="191"/>
      <c r="ENB34" s="191"/>
      <c r="ENC34" s="191"/>
      <c r="END34" s="191"/>
      <c r="ENE34" s="191"/>
      <c r="ENF34" s="191"/>
      <c r="ENG34" s="191"/>
      <c r="ENH34" s="191"/>
      <c r="ENI34" s="191"/>
      <c r="ENJ34" s="191"/>
      <c r="ENK34" s="191"/>
      <c r="ENL34" s="191"/>
      <c r="ENM34" s="191"/>
      <c r="ENN34" s="191"/>
      <c r="ENO34" s="191"/>
      <c r="ENP34" s="191"/>
      <c r="ENQ34" s="191"/>
      <c r="ENR34" s="191"/>
      <c r="ENS34" s="191"/>
      <c r="ENT34" s="191"/>
      <c r="ENU34" s="191"/>
      <c r="ENV34" s="191"/>
      <c r="ENW34" s="191"/>
      <c r="ENX34" s="191"/>
      <c r="ENY34" s="191"/>
      <c r="ENZ34" s="191"/>
      <c r="EOA34" s="191"/>
      <c r="EOB34" s="191"/>
      <c r="EOC34" s="191"/>
      <c r="EOD34" s="191"/>
      <c r="EOE34" s="191"/>
      <c r="EOF34" s="191"/>
      <c r="EOG34" s="191"/>
      <c r="EOH34" s="191"/>
      <c r="EOI34" s="191"/>
      <c r="EOJ34" s="191"/>
      <c r="EOK34" s="191"/>
      <c r="EOL34" s="191"/>
      <c r="EOM34" s="191"/>
      <c r="EON34" s="191"/>
      <c r="EOO34" s="191"/>
      <c r="EOP34" s="191"/>
      <c r="EOQ34" s="191"/>
      <c r="EOR34" s="191"/>
      <c r="EOS34" s="191"/>
      <c r="EOT34" s="191"/>
      <c r="EOU34" s="191"/>
      <c r="EOV34" s="191"/>
      <c r="EOW34" s="191"/>
      <c r="EOX34" s="191"/>
      <c r="EOY34" s="191"/>
      <c r="EOZ34" s="191"/>
      <c r="EPA34" s="191"/>
      <c r="EPB34" s="191"/>
      <c r="EPC34" s="191"/>
      <c r="EPD34" s="191"/>
      <c r="EPE34" s="191"/>
      <c r="EPF34" s="191"/>
      <c r="EPG34" s="191"/>
      <c r="EPH34" s="191"/>
      <c r="EPI34" s="191"/>
      <c r="EPJ34" s="191"/>
      <c r="EPK34" s="191"/>
      <c r="EPL34" s="191"/>
      <c r="EPM34" s="191"/>
      <c r="EPN34" s="191"/>
      <c r="EPO34" s="191"/>
      <c r="EPP34" s="191"/>
      <c r="EPQ34" s="191"/>
      <c r="EPR34" s="191"/>
      <c r="EPS34" s="191"/>
      <c r="EPT34" s="191"/>
      <c r="EPU34" s="191"/>
      <c r="EPV34" s="191"/>
      <c r="EPW34" s="191"/>
      <c r="EPX34" s="191"/>
      <c r="EPY34" s="191"/>
      <c r="EPZ34" s="191"/>
      <c r="EQA34" s="191"/>
      <c r="EQB34" s="191"/>
      <c r="EQC34" s="191"/>
      <c r="EQD34" s="191"/>
      <c r="EQE34" s="191"/>
      <c r="EQF34" s="191"/>
      <c r="EQG34" s="191"/>
      <c r="EQH34" s="191"/>
      <c r="EQI34" s="191"/>
      <c r="EQJ34" s="191"/>
      <c r="EQK34" s="191"/>
      <c r="EQL34" s="191"/>
      <c r="EQM34" s="191"/>
      <c r="EQN34" s="191"/>
      <c r="EQO34" s="191"/>
      <c r="EQP34" s="191"/>
      <c r="EQQ34" s="191"/>
      <c r="EQR34" s="191"/>
      <c r="EQS34" s="191"/>
      <c r="EQT34" s="191"/>
      <c r="EQU34" s="191"/>
      <c r="EQV34" s="191"/>
      <c r="EQW34" s="191"/>
      <c r="EQX34" s="191"/>
      <c r="EQY34" s="191"/>
      <c r="EQZ34" s="191"/>
      <c r="ERA34" s="191"/>
      <c r="ERB34" s="191"/>
      <c r="ERC34" s="191"/>
      <c r="ERD34" s="191"/>
      <c r="ERE34" s="191"/>
      <c r="ERF34" s="191"/>
      <c r="ERG34" s="191"/>
      <c r="ERH34" s="191"/>
      <c r="ERI34" s="191"/>
      <c r="ERJ34" s="191"/>
      <c r="ERK34" s="191"/>
      <c r="ERL34" s="191"/>
      <c r="ERM34" s="191"/>
      <c r="ERN34" s="191"/>
      <c r="ERO34" s="191"/>
      <c r="ERP34" s="191"/>
      <c r="ERQ34" s="191"/>
      <c r="ERR34" s="191"/>
      <c r="ERS34" s="191"/>
      <c r="ERT34" s="191"/>
      <c r="ERU34" s="191"/>
      <c r="ERV34" s="191"/>
      <c r="ERW34" s="191"/>
      <c r="ERX34" s="191"/>
      <c r="ERY34" s="191"/>
      <c r="ERZ34" s="191"/>
      <c r="ESA34" s="191"/>
      <c r="ESB34" s="191"/>
      <c r="ESC34" s="191"/>
      <c r="ESD34" s="191"/>
      <c r="ESE34" s="191"/>
      <c r="ESF34" s="191"/>
      <c r="ESG34" s="191"/>
      <c r="ESH34" s="191"/>
      <c r="ESI34" s="191"/>
      <c r="ESJ34" s="191"/>
      <c r="ESK34" s="191"/>
      <c r="ESL34" s="191"/>
      <c r="ESM34" s="191"/>
      <c r="ESN34" s="191"/>
      <c r="ESO34" s="191"/>
      <c r="ESP34" s="191"/>
      <c r="ESQ34" s="191"/>
      <c r="ESR34" s="191"/>
      <c r="ESS34" s="191"/>
      <c r="EST34" s="191"/>
      <c r="ESU34" s="191"/>
      <c r="ESV34" s="191"/>
      <c r="ESW34" s="191"/>
      <c r="ESX34" s="191"/>
      <c r="ESY34" s="191"/>
      <c r="ESZ34" s="191"/>
      <c r="ETA34" s="191"/>
      <c r="ETB34" s="191"/>
      <c r="ETC34" s="191"/>
      <c r="ETD34" s="191"/>
      <c r="ETE34" s="191"/>
      <c r="ETF34" s="191"/>
      <c r="ETG34" s="191"/>
      <c r="ETH34" s="191"/>
      <c r="ETI34" s="191"/>
      <c r="ETJ34" s="191"/>
      <c r="ETK34" s="191"/>
      <c r="ETL34" s="191"/>
      <c r="ETM34" s="191"/>
      <c r="ETN34" s="191"/>
      <c r="ETO34" s="191"/>
      <c r="ETP34" s="191"/>
      <c r="ETQ34" s="191"/>
      <c r="ETR34" s="191"/>
      <c r="ETS34" s="191"/>
      <c r="ETT34" s="191"/>
      <c r="ETU34" s="191"/>
      <c r="ETV34" s="191"/>
      <c r="ETW34" s="191"/>
      <c r="ETX34" s="191"/>
      <c r="ETY34" s="191"/>
      <c r="ETZ34" s="191"/>
      <c r="EUA34" s="191"/>
      <c r="EUB34" s="191"/>
      <c r="EUC34" s="191"/>
      <c r="EUD34" s="191"/>
      <c r="EUE34" s="191"/>
      <c r="EUF34" s="191"/>
      <c r="EUG34" s="191"/>
      <c r="EUH34" s="191"/>
      <c r="EUI34" s="191"/>
      <c r="EUJ34" s="191"/>
      <c r="EUK34" s="191"/>
      <c r="EUL34" s="191"/>
      <c r="EUM34" s="191"/>
      <c r="EUN34" s="191"/>
      <c r="EUO34" s="191"/>
      <c r="EUP34" s="191"/>
      <c r="EUQ34" s="191"/>
      <c r="EUR34" s="191"/>
      <c r="EUS34" s="191"/>
      <c r="EUT34" s="191"/>
      <c r="EUU34" s="191"/>
      <c r="EUV34" s="191"/>
      <c r="EUW34" s="191"/>
      <c r="EUX34" s="191"/>
      <c r="EUY34" s="191"/>
      <c r="EUZ34" s="191"/>
      <c r="EVA34" s="191"/>
      <c r="EVB34" s="191"/>
      <c r="EVC34" s="191"/>
      <c r="EVD34" s="191"/>
      <c r="EVE34" s="191"/>
      <c r="EVF34" s="191"/>
      <c r="EVG34" s="191"/>
      <c r="EVH34" s="191"/>
      <c r="EVI34" s="191"/>
      <c r="EVJ34" s="191"/>
      <c r="EVK34" s="191"/>
      <c r="EVL34" s="191"/>
      <c r="EVM34" s="191"/>
      <c r="EVN34" s="191"/>
      <c r="EVO34" s="191"/>
      <c r="EVP34" s="191"/>
      <c r="EVQ34" s="191"/>
      <c r="EVR34" s="191"/>
      <c r="EVS34" s="191"/>
      <c r="EVT34" s="191"/>
      <c r="EVU34" s="191"/>
      <c r="EVV34" s="191"/>
      <c r="EVW34" s="191"/>
      <c r="EVX34" s="191"/>
      <c r="EVY34" s="191"/>
      <c r="EVZ34" s="191"/>
      <c r="EWA34" s="191"/>
      <c r="EWB34" s="191"/>
      <c r="EWC34" s="191"/>
      <c r="EWD34" s="191"/>
      <c r="EWE34" s="191"/>
      <c r="EWF34" s="191"/>
      <c r="EWG34" s="191"/>
      <c r="EWH34" s="191"/>
      <c r="EWI34" s="191"/>
      <c r="EWJ34" s="191"/>
      <c r="EWK34" s="191"/>
      <c r="EWL34" s="191"/>
      <c r="EWM34" s="191"/>
      <c r="EWN34" s="191"/>
      <c r="EWO34" s="191"/>
      <c r="EWP34" s="191"/>
      <c r="EWQ34" s="191"/>
      <c r="EWR34" s="191"/>
      <c r="EWS34" s="191"/>
      <c r="EWT34" s="191"/>
      <c r="EWU34" s="191"/>
      <c r="EWV34" s="191"/>
      <c r="EWW34" s="191"/>
      <c r="EWX34" s="191"/>
      <c r="EWY34" s="191"/>
      <c r="EWZ34" s="191"/>
      <c r="EXA34" s="191"/>
      <c r="EXB34" s="191"/>
      <c r="EXC34" s="191"/>
      <c r="EXD34" s="191"/>
      <c r="EXE34" s="191"/>
      <c r="EXF34" s="191"/>
      <c r="EXG34" s="191"/>
      <c r="EXH34" s="191"/>
      <c r="EXI34" s="191"/>
      <c r="EXJ34" s="191"/>
      <c r="EXK34" s="191"/>
      <c r="EXL34" s="191"/>
      <c r="EXM34" s="191"/>
      <c r="EXN34" s="191"/>
      <c r="EXO34" s="191"/>
      <c r="EXP34" s="191"/>
      <c r="EXQ34" s="191"/>
      <c r="EXR34" s="191"/>
      <c r="EXS34" s="191"/>
      <c r="EXT34" s="191"/>
      <c r="EXU34" s="191"/>
      <c r="EXV34" s="191"/>
      <c r="EXW34" s="191"/>
      <c r="EXX34" s="191"/>
      <c r="EXY34" s="191"/>
      <c r="EXZ34" s="191"/>
      <c r="EYA34" s="191"/>
      <c r="EYB34" s="191"/>
      <c r="EYC34" s="191"/>
      <c r="EYD34" s="191"/>
      <c r="EYE34" s="191"/>
      <c r="EYF34" s="191"/>
      <c r="EYG34" s="191"/>
      <c r="EYH34" s="191"/>
      <c r="EYI34" s="191"/>
      <c r="EYJ34" s="191"/>
      <c r="EYK34" s="191"/>
      <c r="EYL34" s="191"/>
      <c r="EYM34" s="191"/>
      <c r="EYN34" s="191"/>
      <c r="EYO34" s="191"/>
      <c r="EYP34" s="191"/>
      <c r="EYQ34" s="191"/>
      <c r="EYR34" s="191"/>
      <c r="EYS34" s="191"/>
      <c r="EYT34" s="191"/>
      <c r="EYU34" s="191"/>
      <c r="EYV34" s="191"/>
      <c r="EYW34" s="191"/>
      <c r="EYX34" s="191"/>
      <c r="EYY34" s="191"/>
      <c r="EYZ34" s="191"/>
      <c r="EZA34" s="191"/>
      <c r="EZB34" s="191"/>
      <c r="EZC34" s="191"/>
      <c r="EZD34" s="191"/>
      <c r="EZE34" s="191"/>
      <c r="EZF34" s="191"/>
      <c r="EZG34" s="191"/>
      <c r="EZH34" s="191"/>
      <c r="EZI34" s="191"/>
      <c r="EZJ34" s="191"/>
      <c r="EZK34" s="191"/>
      <c r="EZL34" s="191"/>
      <c r="EZM34" s="191"/>
      <c r="EZN34" s="191"/>
      <c r="EZO34" s="191"/>
      <c r="EZP34" s="191"/>
      <c r="EZQ34" s="191"/>
      <c r="EZR34" s="191"/>
      <c r="EZS34" s="191"/>
      <c r="EZT34" s="191"/>
      <c r="EZU34" s="191"/>
      <c r="EZV34" s="191"/>
      <c r="EZW34" s="191"/>
      <c r="EZX34" s="191"/>
      <c r="EZY34" s="191"/>
      <c r="EZZ34" s="191"/>
      <c r="FAA34" s="191"/>
      <c r="FAB34" s="191"/>
      <c r="FAC34" s="191"/>
      <c r="FAD34" s="191"/>
      <c r="FAE34" s="191"/>
      <c r="FAF34" s="191"/>
      <c r="FAG34" s="191"/>
      <c r="FAH34" s="191"/>
      <c r="FAI34" s="191"/>
      <c r="FAJ34" s="191"/>
      <c r="FAK34" s="191"/>
      <c r="FAL34" s="191"/>
      <c r="FAM34" s="191"/>
      <c r="FAN34" s="191"/>
      <c r="FAO34" s="191"/>
      <c r="FAP34" s="191"/>
      <c r="FAQ34" s="191"/>
      <c r="FAR34" s="191"/>
      <c r="FAS34" s="191"/>
      <c r="FAT34" s="191"/>
      <c r="FAU34" s="191"/>
      <c r="FAV34" s="191"/>
      <c r="FAW34" s="191"/>
      <c r="FAX34" s="191"/>
      <c r="FAY34" s="191"/>
      <c r="FAZ34" s="191"/>
      <c r="FBA34" s="191"/>
      <c r="FBB34" s="191"/>
      <c r="FBC34" s="191"/>
      <c r="FBD34" s="191"/>
      <c r="FBE34" s="191"/>
      <c r="FBF34" s="191"/>
      <c r="FBG34" s="191"/>
      <c r="FBH34" s="191"/>
      <c r="FBI34" s="191"/>
      <c r="FBJ34" s="191"/>
      <c r="FBK34" s="191"/>
      <c r="FBL34" s="191"/>
      <c r="FBM34" s="191"/>
      <c r="FBN34" s="191"/>
      <c r="FBO34" s="191"/>
      <c r="FBP34" s="191"/>
      <c r="FBQ34" s="191"/>
      <c r="FBR34" s="191"/>
      <c r="FBS34" s="191"/>
      <c r="FBT34" s="191"/>
      <c r="FBU34" s="191"/>
      <c r="FBV34" s="191"/>
      <c r="FBW34" s="191"/>
      <c r="FBX34" s="191"/>
      <c r="FBY34" s="191"/>
      <c r="FBZ34" s="191"/>
      <c r="FCA34" s="191"/>
      <c r="FCB34" s="191"/>
      <c r="FCC34" s="191"/>
      <c r="FCD34" s="191"/>
      <c r="FCE34" s="191"/>
      <c r="FCF34" s="191"/>
      <c r="FCG34" s="191"/>
      <c r="FCH34" s="191"/>
      <c r="FCI34" s="191"/>
      <c r="FCJ34" s="191"/>
      <c r="FCK34" s="191"/>
      <c r="FCL34" s="191"/>
      <c r="FCM34" s="191"/>
      <c r="FCN34" s="191"/>
      <c r="FCO34" s="191"/>
      <c r="FCP34" s="191"/>
      <c r="FCQ34" s="191"/>
      <c r="FCR34" s="191"/>
      <c r="FCS34" s="191"/>
      <c r="FCT34" s="191"/>
      <c r="FCU34" s="191"/>
      <c r="FCV34" s="191"/>
      <c r="FCW34" s="191"/>
      <c r="FCX34" s="191"/>
      <c r="FCY34" s="191"/>
      <c r="FCZ34" s="191"/>
      <c r="FDA34" s="191"/>
      <c r="FDB34" s="191"/>
      <c r="FDC34" s="191"/>
      <c r="FDD34" s="191"/>
      <c r="FDE34" s="191"/>
      <c r="FDF34" s="191"/>
      <c r="FDG34" s="191"/>
      <c r="FDH34" s="191"/>
      <c r="FDI34" s="191"/>
      <c r="FDJ34" s="191"/>
      <c r="FDK34" s="191"/>
      <c r="FDL34" s="191"/>
      <c r="FDM34" s="191"/>
      <c r="FDN34" s="191"/>
      <c r="FDO34" s="191"/>
      <c r="FDP34" s="191"/>
      <c r="FDQ34" s="191"/>
      <c r="FDR34" s="191"/>
      <c r="FDS34" s="191"/>
      <c r="FDT34" s="191"/>
      <c r="FDU34" s="191"/>
      <c r="FDV34" s="191"/>
      <c r="FDW34" s="191"/>
      <c r="FDX34" s="191"/>
      <c r="FDY34" s="191"/>
      <c r="FDZ34" s="191"/>
      <c r="FEA34" s="191"/>
      <c r="FEB34" s="191"/>
      <c r="FEC34" s="191"/>
      <c r="FED34" s="191"/>
      <c r="FEE34" s="191"/>
      <c r="FEF34" s="191"/>
      <c r="FEG34" s="191"/>
      <c r="FEH34" s="191"/>
      <c r="FEI34" s="191"/>
      <c r="FEJ34" s="191"/>
      <c r="FEK34" s="191"/>
      <c r="FEL34" s="191"/>
      <c r="FEM34" s="191"/>
      <c r="FEN34" s="191"/>
      <c r="FEO34" s="191"/>
      <c r="FEP34" s="191"/>
      <c r="FEQ34" s="191"/>
      <c r="FER34" s="191"/>
      <c r="FES34" s="191"/>
      <c r="FET34" s="191"/>
      <c r="FEU34" s="191"/>
      <c r="FEV34" s="191"/>
      <c r="FEW34" s="191"/>
      <c r="FEX34" s="191"/>
      <c r="FEY34" s="191"/>
      <c r="FEZ34" s="191"/>
      <c r="FFA34" s="191"/>
      <c r="FFB34" s="191"/>
      <c r="FFC34" s="191"/>
      <c r="FFD34" s="191"/>
      <c r="FFE34" s="191"/>
      <c r="FFF34" s="191"/>
      <c r="FFG34" s="191"/>
      <c r="FFH34" s="191"/>
      <c r="FFI34" s="191"/>
      <c r="FFJ34" s="191"/>
      <c r="FFK34" s="191"/>
      <c r="FFL34" s="191"/>
      <c r="FFM34" s="191"/>
      <c r="FFN34" s="191"/>
      <c r="FFO34" s="191"/>
      <c r="FFP34" s="191"/>
      <c r="FFQ34" s="191"/>
      <c r="FFR34" s="191"/>
      <c r="FFS34" s="191"/>
      <c r="FFT34" s="191"/>
      <c r="FFU34" s="191"/>
      <c r="FFV34" s="191"/>
      <c r="FFW34" s="191"/>
      <c r="FFX34" s="191"/>
      <c r="FFY34" s="191"/>
      <c r="FFZ34" s="191"/>
      <c r="FGA34" s="191"/>
      <c r="FGB34" s="191"/>
      <c r="FGC34" s="191"/>
      <c r="FGD34" s="191"/>
      <c r="FGE34" s="191"/>
      <c r="FGF34" s="191"/>
      <c r="FGG34" s="191"/>
      <c r="FGH34" s="191"/>
      <c r="FGI34" s="191"/>
      <c r="FGJ34" s="191"/>
      <c r="FGK34" s="191"/>
      <c r="FGL34" s="191"/>
      <c r="FGM34" s="191"/>
      <c r="FGN34" s="191"/>
      <c r="FGO34" s="191"/>
      <c r="FGP34" s="191"/>
      <c r="FGQ34" s="191"/>
      <c r="FGR34" s="191"/>
      <c r="FGS34" s="191"/>
      <c r="FGT34" s="191"/>
      <c r="FGU34" s="191"/>
      <c r="FGV34" s="191"/>
      <c r="FGW34" s="191"/>
      <c r="FGX34" s="191"/>
      <c r="FGY34" s="191"/>
      <c r="FGZ34" s="191"/>
      <c r="FHA34" s="191"/>
      <c r="FHB34" s="191"/>
      <c r="FHC34" s="191"/>
      <c r="FHD34" s="191"/>
      <c r="FHE34" s="191"/>
      <c r="FHF34" s="191"/>
      <c r="FHG34" s="191"/>
      <c r="FHH34" s="191"/>
      <c r="FHI34" s="191"/>
      <c r="FHJ34" s="191"/>
      <c r="FHK34" s="191"/>
      <c r="FHL34" s="191"/>
      <c r="FHM34" s="191"/>
      <c r="FHN34" s="191"/>
      <c r="FHO34" s="191"/>
      <c r="FHP34" s="191"/>
      <c r="FHQ34" s="191"/>
      <c r="FHR34" s="191"/>
      <c r="FHS34" s="191"/>
      <c r="FHT34" s="191"/>
      <c r="FHU34" s="191"/>
      <c r="FHV34" s="191"/>
      <c r="FHW34" s="191"/>
      <c r="FHX34" s="191"/>
      <c r="FHY34" s="191"/>
      <c r="FHZ34" s="191"/>
      <c r="FIA34" s="191"/>
      <c r="FIB34" s="191"/>
      <c r="FIC34" s="191"/>
      <c r="FID34" s="191"/>
      <c r="FIE34" s="191"/>
      <c r="FIF34" s="191"/>
      <c r="FIG34" s="191"/>
      <c r="FIH34" s="191"/>
      <c r="FII34" s="191"/>
      <c r="FIJ34" s="191"/>
      <c r="FIK34" s="191"/>
      <c r="FIL34" s="191"/>
      <c r="FIM34" s="191"/>
      <c r="FIN34" s="191"/>
      <c r="FIO34" s="191"/>
      <c r="FIP34" s="191"/>
      <c r="FIQ34" s="191"/>
      <c r="FIR34" s="191"/>
      <c r="FIS34" s="191"/>
      <c r="FIT34" s="191"/>
      <c r="FIU34" s="191"/>
      <c r="FIV34" s="191"/>
      <c r="FIW34" s="191"/>
      <c r="FIX34" s="191"/>
      <c r="FIY34" s="191"/>
      <c r="FIZ34" s="191"/>
      <c r="FJA34" s="191"/>
      <c r="FJB34" s="191"/>
      <c r="FJC34" s="191"/>
      <c r="FJD34" s="191"/>
      <c r="FJE34" s="191"/>
      <c r="FJF34" s="191"/>
      <c r="FJG34" s="191"/>
      <c r="FJH34" s="191"/>
      <c r="FJI34" s="191"/>
      <c r="FJJ34" s="191"/>
      <c r="FJK34" s="191"/>
      <c r="FJL34" s="191"/>
      <c r="FJM34" s="191"/>
      <c r="FJN34" s="191"/>
      <c r="FJO34" s="191"/>
      <c r="FJP34" s="191"/>
      <c r="FJQ34" s="191"/>
      <c r="FJR34" s="191"/>
      <c r="FJS34" s="191"/>
      <c r="FJT34" s="191"/>
      <c r="FJU34" s="191"/>
      <c r="FJV34" s="191"/>
      <c r="FJW34" s="191"/>
      <c r="FJX34" s="191"/>
      <c r="FJY34" s="191"/>
      <c r="FJZ34" s="191"/>
      <c r="FKA34" s="191"/>
      <c r="FKB34" s="191"/>
      <c r="FKC34" s="191"/>
      <c r="FKD34" s="191"/>
      <c r="FKE34" s="191"/>
      <c r="FKF34" s="191"/>
      <c r="FKG34" s="191"/>
      <c r="FKH34" s="191"/>
      <c r="FKI34" s="191"/>
      <c r="FKJ34" s="191"/>
      <c r="FKK34" s="191"/>
      <c r="FKL34" s="191"/>
      <c r="FKM34" s="191"/>
      <c r="FKN34" s="191"/>
      <c r="FKO34" s="191"/>
      <c r="FKP34" s="191"/>
      <c r="FKQ34" s="191"/>
      <c r="FKR34" s="191"/>
      <c r="FKS34" s="191"/>
      <c r="FKT34" s="191"/>
      <c r="FKU34" s="191"/>
      <c r="FKV34" s="191"/>
      <c r="FKW34" s="191"/>
      <c r="FKX34" s="191"/>
      <c r="FKY34" s="191"/>
      <c r="FKZ34" s="191"/>
      <c r="FLA34" s="191"/>
      <c r="FLB34" s="191"/>
      <c r="FLC34" s="191"/>
      <c r="FLD34" s="191"/>
      <c r="FLE34" s="191"/>
      <c r="FLF34" s="191"/>
      <c r="FLG34" s="191"/>
      <c r="FLH34" s="191"/>
      <c r="FLI34" s="191"/>
      <c r="FLJ34" s="191"/>
      <c r="FLK34" s="191"/>
      <c r="FLL34" s="191"/>
      <c r="FLM34" s="191"/>
      <c r="FLN34" s="191"/>
      <c r="FLO34" s="191"/>
      <c r="FLP34" s="191"/>
      <c r="FLQ34" s="191"/>
      <c r="FLR34" s="191"/>
      <c r="FLS34" s="191"/>
      <c r="FLT34" s="191"/>
      <c r="FLU34" s="191"/>
      <c r="FLV34" s="191"/>
      <c r="FLW34" s="191"/>
      <c r="FLX34" s="191"/>
      <c r="FLY34" s="191"/>
      <c r="FLZ34" s="191"/>
      <c r="FMA34" s="191"/>
      <c r="FMB34" s="191"/>
      <c r="FMC34" s="191"/>
      <c r="FMD34" s="191"/>
      <c r="FME34" s="191"/>
      <c r="FMF34" s="191"/>
      <c r="FMG34" s="191"/>
      <c r="FMH34" s="191"/>
      <c r="FMI34" s="191"/>
      <c r="FMJ34" s="191"/>
      <c r="FMK34" s="191"/>
      <c r="FML34" s="191"/>
      <c r="FMM34" s="191"/>
      <c r="FMN34" s="191"/>
      <c r="FMO34" s="191"/>
      <c r="FMP34" s="191"/>
      <c r="FMQ34" s="191"/>
      <c r="FMR34" s="191"/>
      <c r="FMS34" s="191"/>
      <c r="FMT34" s="191"/>
      <c r="FMU34" s="191"/>
      <c r="FMV34" s="191"/>
      <c r="FMW34" s="191"/>
      <c r="FMX34" s="191"/>
      <c r="FMY34" s="191"/>
      <c r="FMZ34" s="191"/>
      <c r="FNA34" s="191"/>
      <c r="FNB34" s="191"/>
      <c r="FNC34" s="191"/>
      <c r="FND34" s="191"/>
      <c r="FNE34" s="191"/>
      <c r="FNF34" s="191"/>
      <c r="FNG34" s="191"/>
      <c r="FNH34" s="191"/>
      <c r="FNI34" s="191"/>
      <c r="FNJ34" s="191"/>
      <c r="FNK34" s="191"/>
      <c r="FNL34" s="191"/>
      <c r="FNM34" s="191"/>
      <c r="FNN34" s="191"/>
      <c r="FNO34" s="191"/>
      <c r="FNP34" s="191"/>
      <c r="FNQ34" s="191"/>
      <c r="FNR34" s="191"/>
      <c r="FNS34" s="191"/>
      <c r="FNT34" s="191"/>
      <c r="FNU34" s="191"/>
      <c r="FNV34" s="191"/>
      <c r="FNW34" s="191"/>
      <c r="FNX34" s="191"/>
      <c r="FNY34" s="191"/>
      <c r="FNZ34" s="191"/>
      <c r="FOA34" s="191"/>
      <c r="FOB34" s="191"/>
      <c r="FOC34" s="191"/>
      <c r="FOD34" s="191"/>
      <c r="FOE34" s="191"/>
      <c r="FOF34" s="191"/>
      <c r="FOG34" s="191"/>
      <c r="FOH34" s="191"/>
      <c r="FOI34" s="191"/>
      <c r="FOJ34" s="191"/>
      <c r="FOK34" s="191"/>
      <c r="FOL34" s="191"/>
      <c r="FOM34" s="191"/>
      <c r="FON34" s="191"/>
      <c r="FOO34" s="191"/>
      <c r="FOP34" s="191"/>
      <c r="FOQ34" s="191"/>
      <c r="FOR34" s="191"/>
      <c r="FOS34" s="191"/>
      <c r="FOT34" s="191"/>
      <c r="FOU34" s="191"/>
      <c r="FOV34" s="191"/>
      <c r="FOW34" s="191"/>
      <c r="FOX34" s="191"/>
      <c r="FOY34" s="191"/>
      <c r="FOZ34" s="191"/>
      <c r="FPA34" s="191"/>
      <c r="FPB34" s="191"/>
      <c r="FPC34" s="191"/>
      <c r="FPD34" s="191"/>
      <c r="FPE34" s="191"/>
      <c r="FPF34" s="191"/>
      <c r="FPG34" s="191"/>
      <c r="FPH34" s="191"/>
      <c r="FPI34" s="191"/>
      <c r="FPJ34" s="191"/>
      <c r="FPK34" s="191"/>
      <c r="FPL34" s="191"/>
      <c r="FPM34" s="191"/>
      <c r="FPN34" s="191"/>
      <c r="FPO34" s="191"/>
      <c r="FPP34" s="191"/>
      <c r="FPQ34" s="191"/>
      <c r="FPR34" s="191"/>
      <c r="FPS34" s="191"/>
      <c r="FPT34" s="191"/>
      <c r="FPU34" s="191"/>
      <c r="FPV34" s="191"/>
      <c r="FPW34" s="191"/>
      <c r="FPX34" s="191"/>
      <c r="FPY34" s="191"/>
      <c r="FPZ34" s="191"/>
      <c r="FQA34" s="191"/>
      <c r="FQB34" s="191"/>
      <c r="FQC34" s="191"/>
      <c r="FQD34" s="191"/>
      <c r="FQE34" s="191"/>
      <c r="FQF34" s="191"/>
      <c r="FQG34" s="191"/>
      <c r="FQH34" s="191"/>
      <c r="FQI34" s="191"/>
      <c r="FQJ34" s="191"/>
      <c r="FQK34" s="191"/>
      <c r="FQL34" s="191"/>
      <c r="FQM34" s="191"/>
      <c r="FQN34" s="191"/>
      <c r="FQO34" s="191"/>
      <c r="FQP34" s="191"/>
      <c r="FQQ34" s="191"/>
      <c r="FQR34" s="191"/>
      <c r="FQS34" s="191"/>
      <c r="FQT34" s="191"/>
      <c r="FQU34" s="191"/>
      <c r="FQV34" s="191"/>
      <c r="FQW34" s="191"/>
      <c r="FQX34" s="191"/>
      <c r="FQY34" s="191"/>
      <c r="FQZ34" s="191"/>
      <c r="FRA34" s="191"/>
      <c r="FRB34" s="191"/>
      <c r="FRC34" s="191"/>
      <c r="FRD34" s="191"/>
      <c r="FRE34" s="191"/>
      <c r="FRF34" s="191"/>
      <c r="FRG34" s="191"/>
      <c r="FRH34" s="191"/>
      <c r="FRI34" s="191"/>
      <c r="FRJ34" s="191"/>
      <c r="FRK34" s="191"/>
      <c r="FRL34" s="191"/>
      <c r="FRM34" s="191"/>
      <c r="FRN34" s="191"/>
      <c r="FRO34" s="191"/>
      <c r="FRP34" s="191"/>
      <c r="FRQ34" s="191"/>
      <c r="FRR34" s="191"/>
      <c r="FRS34" s="191"/>
      <c r="FRT34" s="191"/>
      <c r="FRU34" s="191"/>
      <c r="FRV34" s="191"/>
      <c r="FRW34" s="191"/>
      <c r="FRX34" s="191"/>
      <c r="FRY34" s="191"/>
      <c r="FRZ34" s="191"/>
      <c r="FSA34" s="191"/>
      <c r="FSB34" s="191"/>
      <c r="FSC34" s="191"/>
      <c r="FSD34" s="191"/>
      <c r="FSE34" s="191"/>
      <c r="FSF34" s="191"/>
      <c r="FSG34" s="191"/>
      <c r="FSH34" s="191"/>
      <c r="FSI34" s="191"/>
      <c r="FSJ34" s="191"/>
      <c r="FSK34" s="191"/>
      <c r="FSL34" s="191"/>
      <c r="FSM34" s="191"/>
      <c r="FSN34" s="191"/>
      <c r="FSO34" s="191"/>
      <c r="FSP34" s="191"/>
      <c r="FSQ34" s="191"/>
      <c r="FSR34" s="191"/>
      <c r="FSS34" s="191"/>
      <c r="FST34" s="191"/>
      <c r="FSU34" s="191"/>
      <c r="FSV34" s="191"/>
      <c r="FSW34" s="191"/>
      <c r="FSX34" s="191"/>
      <c r="FSY34" s="191"/>
      <c r="FSZ34" s="191"/>
      <c r="FTA34" s="191"/>
      <c r="FTB34" s="191"/>
      <c r="FTC34" s="191"/>
      <c r="FTD34" s="191"/>
      <c r="FTE34" s="191"/>
      <c r="FTF34" s="191"/>
      <c r="FTG34" s="191"/>
      <c r="FTH34" s="191"/>
      <c r="FTI34" s="191"/>
      <c r="FTJ34" s="191"/>
      <c r="FTK34" s="191"/>
      <c r="FTL34" s="191"/>
      <c r="FTM34" s="191"/>
      <c r="FTN34" s="191"/>
      <c r="FTO34" s="191"/>
      <c r="FTP34" s="191"/>
      <c r="FTQ34" s="191"/>
      <c r="FTR34" s="191"/>
      <c r="FTS34" s="191"/>
      <c r="FTT34" s="191"/>
      <c r="FTU34" s="191"/>
      <c r="FTV34" s="191"/>
      <c r="FTW34" s="191"/>
      <c r="FTX34" s="191"/>
      <c r="FTY34" s="191"/>
      <c r="FTZ34" s="191"/>
      <c r="FUA34" s="191"/>
      <c r="FUB34" s="191"/>
      <c r="FUC34" s="191"/>
      <c r="FUD34" s="191"/>
      <c r="FUE34" s="191"/>
      <c r="FUF34" s="191"/>
      <c r="FUG34" s="191"/>
      <c r="FUH34" s="191"/>
      <c r="FUI34" s="191"/>
      <c r="FUJ34" s="191"/>
      <c r="FUK34" s="191"/>
      <c r="FUL34" s="191"/>
      <c r="FUM34" s="191"/>
      <c r="FUN34" s="191"/>
      <c r="FUO34" s="191"/>
      <c r="FUP34" s="191"/>
      <c r="FUQ34" s="191"/>
      <c r="FUR34" s="191"/>
      <c r="FUS34" s="191"/>
      <c r="FUT34" s="191"/>
      <c r="FUU34" s="191"/>
      <c r="FUV34" s="191"/>
      <c r="FUW34" s="191"/>
      <c r="FUX34" s="191"/>
      <c r="FUY34" s="191"/>
      <c r="FUZ34" s="191"/>
      <c r="FVA34" s="191"/>
      <c r="FVB34" s="191"/>
      <c r="FVC34" s="191"/>
      <c r="FVD34" s="191"/>
      <c r="FVE34" s="191"/>
      <c r="FVF34" s="191"/>
      <c r="FVG34" s="191"/>
      <c r="FVH34" s="191"/>
      <c r="FVI34" s="191"/>
      <c r="FVJ34" s="191"/>
      <c r="FVK34" s="191"/>
      <c r="FVL34" s="191"/>
      <c r="FVM34" s="191"/>
      <c r="FVN34" s="191"/>
      <c r="FVO34" s="191"/>
      <c r="FVP34" s="191"/>
      <c r="FVQ34" s="191"/>
      <c r="FVR34" s="191"/>
      <c r="FVS34" s="191"/>
      <c r="FVT34" s="191"/>
      <c r="FVU34" s="191"/>
      <c r="FVV34" s="191"/>
      <c r="FVW34" s="191"/>
      <c r="FVX34" s="191"/>
      <c r="FVY34" s="191"/>
      <c r="FVZ34" s="191"/>
      <c r="FWA34" s="191"/>
      <c r="FWB34" s="191"/>
      <c r="FWC34" s="191"/>
      <c r="FWD34" s="191"/>
      <c r="FWE34" s="191"/>
      <c r="FWF34" s="191"/>
      <c r="FWG34" s="191"/>
      <c r="FWH34" s="191"/>
      <c r="FWI34" s="191"/>
      <c r="FWJ34" s="191"/>
      <c r="FWK34" s="191"/>
      <c r="FWL34" s="191"/>
      <c r="FWM34" s="191"/>
      <c r="FWN34" s="191"/>
      <c r="FWO34" s="191"/>
      <c r="FWP34" s="191"/>
      <c r="FWQ34" s="191"/>
      <c r="FWR34" s="191"/>
      <c r="FWS34" s="191"/>
      <c r="FWT34" s="191"/>
      <c r="FWU34" s="191"/>
      <c r="FWV34" s="191"/>
      <c r="FWW34" s="191"/>
      <c r="FWX34" s="191"/>
      <c r="FWY34" s="191"/>
      <c r="FWZ34" s="191"/>
      <c r="FXA34" s="191"/>
      <c r="FXB34" s="191"/>
      <c r="FXC34" s="191"/>
      <c r="FXD34" s="191"/>
      <c r="FXE34" s="191"/>
      <c r="FXF34" s="191"/>
      <c r="FXG34" s="191"/>
      <c r="FXH34" s="191"/>
      <c r="FXI34" s="191"/>
      <c r="FXJ34" s="191"/>
      <c r="FXK34" s="191"/>
      <c r="FXL34" s="191"/>
      <c r="FXM34" s="191"/>
      <c r="FXN34" s="191"/>
      <c r="FXO34" s="191"/>
      <c r="FXP34" s="191"/>
      <c r="FXQ34" s="191"/>
      <c r="FXR34" s="191"/>
      <c r="FXS34" s="191"/>
      <c r="FXT34" s="191"/>
      <c r="FXU34" s="191"/>
      <c r="FXV34" s="191"/>
      <c r="FXW34" s="191"/>
      <c r="FXX34" s="191"/>
      <c r="FXY34" s="191"/>
      <c r="FXZ34" s="191"/>
      <c r="FYA34" s="191"/>
      <c r="FYB34" s="191"/>
      <c r="FYC34" s="191"/>
      <c r="FYD34" s="191"/>
      <c r="FYE34" s="191"/>
      <c r="FYF34" s="191"/>
      <c r="FYG34" s="191"/>
      <c r="FYH34" s="191"/>
      <c r="FYI34" s="191"/>
      <c r="FYJ34" s="191"/>
      <c r="FYK34" s="191"/>
      <c r="FYL34" s="191"/>
      <c r="FYM34" s="191"/>
      <c r="FYN34" s="191"/>
      <c r="FYO34" s="191"/>
      <c r="FYP34" s="191"/>
      <c r="FYQ34" s="191"/>
      <c r="FYR34" s="191"/>
      <c r="FYS34" s="191"/>
      <c r="FYT34" s="191"/>
      <c r="FYU34" s="191"/>
      <c r="FYV34" s="191"/>
      <c r="FYW34" s="191"/>
      <c r="FYX34" s="191"/>
      <c r="FYY34" s="191"/>
      <c r="FYZ34" s="191"/>
      <c r="FZA34" s="191"/>
      <c r="FZB34" s="191"/>
      <c r="FZC34" s="191"/>
      <c r="FZD34" s="191"/>
      <c r="FZE34" s="191"/>
      <c r="FZF34" s="191"/>
      <c r="FZG34" s="191"/>
      <c r="FZH34" s="191"/>
      <c r="FZI34" s="191"/>
      <c r="FZJ34" s="191"/>
      <c r="FZK34" s="191"/>
      <c r="FZL34" s="191"/>
      <c r="FZM34" s="191"/>
      <c r="FZN34" s="191"/>
      <c r="FZO34" s="191"/>
      <c r="FZP34" s="191"/>
      <c r="FZQ34" s="191"/>
      <c r="FZR34" s="191"/>
      <c r="FZS34" s="191"/>
      <c r="FZT34" s="191"/>
      <c r="FZU34" s="191"/>
      <c r="FZV34" s="191"/>
      <c r="FZW34" s="191"/>
      <c r="FZX34" s="191"/>
      <c r="FZY34" s="191"/>
      <c r="FZZ34" s="191"/>
      <c r="GAA34" s="191"/>
      <c r="GAB34" s="191"/>
      <c r="GAC34" s="191"/>
      <c r="GAD34" s="191"/>
      <c r="GAE34" s="191"/>
      <c r="GAF34" s="191"/>
      <c r="GAG34" s="191"/>
      <c r="GAH34" s="191"/>
      <c r="GAI34" s="191"/>
      <c r="GAJ34" s="191"/>
      <c r="GAK34" s="191"/>
      <c r="GAL34" s="191"/>
      <c r="GAM34" s="191"/>
      <c r="GAN34" s="191"/>
      <c r="GAO34" s="191"/>
      <c r="GAP34" s="191"/>
      <c r="GAQ34" s="191"/>
      <c r="GAR34" s="191"/>
      <c r="GAS34" s="191"/>
      <c r="GAT34" s="191"/>
      <c r="GAU34" s="191"/>
      <c r="GAV34" s="191"/>
      <c r="GAW34" s="191"/>
      <c r="GAX34" s="191"/>
      <c r="GAY34" s="191"/>
      <c r="GAZ34" s="191"/>
      <c r="GBA34" s="191"/>
      <c r="GBB34" s="191"/>
      <c r="GBC34" s="191"/>
      <c r="GBD34" s="191"/>
      <c r="GBE34" s="191"/>
      <c r="GBF34" s="191"/>
      <c r="GBG34" s="191"/>
      <c r="GBH34" s="191"/>
      <c r="GBI34" s="191"/>
      <c r="GBJ34" s="191"/>
      <c r="GBK34" s="191"/>
      <c r="GBL34" s="191"/>
      <c r="GBM34" s="191"/>
      <c r="GBN34" s="191"/>
      <c r="GBO34" s="191"/>
      <c r="GBP34" s="191"/>
      <c r="GBQ34" s="191"/>
      <c r="GBR34" s="191"/>
      <c r="GBS34" s="191"/>
      <c r="GBT34" s="191"/>
      <c r="GBU34" s="191"/>
      <c r="GBV34" s="191"/>
      <c r="GBW34" s="191"/>
      <c r="GBX34" s="191"/>
      <c r="GBY34" s="191"/>
      <c r="GBZ34" s="191"/>
      <c r="GCA34" s="191"/>
      <c r="GCB34" s="191"/>
      <c r="GCC34" s="191"/>
      <c r="GCD34" s="191"/>
      <c r="GCE34" s="191"/>
      <c r="GCF34" s="191"/>
      <c r="GCG34" s="191"/>
      <c r="GCH34" s="191"/>
      <c r="GCI34" s="191"/>
      <c r="GCJ34" s="191"/>
      <c r="GCK34" s="191"/>
      <c r="GCL34" s="191"/>
      <c r="GCM34" s="191"/>
      <c r="GCN34" s="191"/>
      <c r="GCO34" s="191"/>
      <c r="GCP34" s="191"/>
      <c r="GCQ34" s="191"/>
      <c r="GCR34" s="191"/>
      <c r="GCS34" s="191"/>
      <c r="GCT34" s="191"/>
      <c r="GCU34" s="191"/>
      <c r="GCV34" s="191"/>
      <c r="GCW34" s="191"/>
      <c r="GCX34" s="191"/>
      <c r="GCY34" s="191"/>
      <c r="GCZ34" s="191"/>
      <c r="GDA34" s="191"/>
      <c r="GDB34" s="191"/>
      <c r="GDC34" s="191"/>
      <c r="GDD34" s="191"/>
      <c r="GDE34" s="191"/>
      <c r="GDF34" s="191"/>
      <c r="GDG34" s="191"/>
      <c r="GDH34" s="191"/>
      <c r="GDI34" s="191"/>
      <c r="GDJ34" s="191"/>
      <c r="GDK34" s="191"/>
      <c r="GDL34" s="191"/>
      <c r="GDM34" s="191"/>
      <c r="GDN34" s="191"/>
      <c r="GDO34" s="191"/>
      <c r="GDP34" s="191"/>
      <c r="GDQ34" s="191"/>
      <c r="GDR34" s="191"/>
      <c r="GDS34" s="191"/>
      <c r="GDT34" s="191"/>
      <c r="GDU34" s="191"/>
      <c r="GDV34" s="191"/>
      <c r="GDW34" s="191"/>
      <c r="GDX34" s="191"/>
      <c r="GDY34" s="191"/>
      <c r="GDZ34" s="191"/>
      <c r="GEA34" s="191"/>
      <c r="GEB34" s="191"/>
      <c r="GEC34" s="191"/>
      <c r="GED34" s="191"/>
      <c r="GEE34" s="191"/>
      <c r="GEF34" s="191"/>
      <c r="GEG34" s="191"/>
      <c r="GEH34" s="191"/>
      <c r="GEI34" s="191"/>
      <c r="GEJ34" s="191"/>
      <c r="GEK34" s="191"/>
      <c r="GEL34" s="191"/>
      <c r="GEM34" s="191"/>
      <c r="GEN34" s="191"/>
      <c r="GEO34" s="191"/>
      <c r="GEP34" s="191"/>
      <c r="GEQ34" s="191"/>
      <c r="GER34" s="191"/>
      <c r="GES34" s="191"/>
      <c r="GET34" s="191"/>
      <c r="GEU34" s="191"/>
      <c r="GEV34" s="191"/>
      <c r="GEW34" s="191"/>
      <c r="GEX34" s="191"/>
      <c r="GEY34" s="191"/>
      <c r="GEZ34" s="191"/>
      <c r="GFA34" s="191"/>
      <c r="GFB34" s="191"/>
      <c r="GFC34" s="191"/>
      <c r="GFD34" s="191"/>
      <c r="GFE34" s="191"/>
      <c r="GFF34" s="191"/>
      <c r="GFG34" s="191"/>
      <c r="GFH34" s="191"/>
      <c r="GFI34" s="191"/>
      <c r="GFJ34" s="191"/>
      <c r="GFK34" s="191"/>
      <c r="GFL34" s="191"/>
      <c r="GFM34" s="191"/>
      <c r="GFN34" s="191"/>
      <c r="GFO34" s="191"/>
      <c r="GFP34" s="191"/>
      <c r="GFQ34" s="191"/>
      <c r="GFR34" s="191"/>
      <c r="GFS34" s="191"/>
      <c r="GFT34" s="191"/>
      <c r="GFU34" s="191"/>
      <c r="GFV34" s="191"/>
      <c r="GFW34" s="191"/>
      <c r="GFX34" s="191"/>
      <c r="GFY34" s="191"/>
      <c r="GFZ34" s="191"/>
      <c r="GGA34" s="191"/>
      <c r="GGB34" s="191"/>
      <c r="GGC34" s="191"/>
      <c r="GGD34" s="191"/>
      <c r="GGE34" s="191"/>
      <c r="GGF34" s="191"/>
      <c r="GGG34" s="191"/>
      <c r="GGH34" s="191"/>
      <c r="GGI34" s="191"/>
      <c r="GGJ34" s="191"/>
      <c r="GGK34" s="191"/>
      <c r="GGL34" s="191"/>
      <c r="GGM34" s="191"/>
      <c r="GGN34" s="191"/>
      <c r="GGO34" s="191"/>
      <c r="GGP34" s="191"/>
      <c r="GGQ34" s="191"/>
      <c r="GGR34" s="191"/>
      <c r="GGS34" s="191"/>
      <c r="GGT34" s="191"/>
      <c r="GGU34" s="191"/>
      <c r="GGV34" s="191"/>
      <c r="GGW34" s="191"/>
      <c r="GGX34" s="191"/>
      <c r="GGY34" s="191"/>
      <c r="GGZ34" s="191"/>
      <c r="GHA34" s="191"/>
      <c r="GHB34" s="191"/>
      <c r="GHC34" s="191"/>
      <c r="GHD34" s="191"/>
      <c r="GHE34" s="191"/>
      <c r="GHF34" s="191"/>
      <c r="GHG34" s="191"/>
      <c r="GHH34" s="191"/>
      <c r="GHI34" s="191"/>
      <c r="GHJ34" s="191"/>
      <c r="GHK34" s="191"/>
      <c r="GHL34" s="191"/>
      <c r="GHM34" s="191"/>
      <c r="GHN34" s="191"/>
      <c r="GHO34" s="191"/>
      <c r="GHP34" s="191"/>
      <c r="GHQ34" s="191"/>
      <c r="GHR34" s="191"/>
      <c r="GHS34" s="191"/>
      <c r="GHT34" s="191"/>
      <c r="GHU34" s="191"/>
      <c r="GHV34" s="191"/>
      <c r="GHW34" s="191"/>
      <c r="GHX34" s="191"/>
      <c r="GHY34" s="191"/>
      <c r="GHZ34" s="191"/>
      <c r="GIA34" s="191"/>
      <c r="GIB34" s="191"/>
      <c r="GIC34" s="191"/>
      <c r="GID34" s="191"/>
      <c r="GIE34" s="191"/>
      <c r="GIF34" s="191"/>
      <c r="GIG34" s="191"/>
      <c r="GIH34" s="191"/>
      <c r="GII34" s="191"/>
      <c r="GIJ34" s="191"/>
      <c r="GIK34" s="191"/>
      <c r="GIL34" s="191"/>
      <c r="GIM34" s="191"/>
      <c r="GIN34" s="191"/>
      <c r="GIO34" s="191"/>
      <c r="GIP34" s="191"/>
      <c r="GIQ34" s="191"/>
      <c r="GIR34" s="191"/>
      <c r="GIS34" s="191"/>
      <c r="GIT34" s="191"/>
      <c r="GIU34" s="191"/>
      <c r="GIV34" s="191"/>
      <c r="GIW34" s="191"/>
      <c r="GIX34" s="191"/>
      <c r="GIY34" s="191"/>
      <c r="GIZ34" s="191"/>
      <c r="GJA34" s="191"/>
      <c r="GJB34" s="191"/>
      <c r="GJC34" s="191"/>
      <c r="GJD34" s="191"/>
      <c r="GJE34" s="191"/>
      <c r="GJF34" s="191"/>
      <c r="GJG34" s="191"/>
      <c r="GJH34" s="191"/>
      <c r="GJI34" s="191"/>
      <c r="GJJ34" s="191"/>
      <c r="GJK34" s="191"/>
      <c r="GJL34" s="191"/>
      <c r="GJM34" s="191"/>
      <c r="GJN34" s="191"/>
      <c r="GJO34" s="191"/>
      <c r="GJP34" s="191"/>
      <c r="GJQ34" s="191"/>
      <c r="GJR34" s="191"/>
      <c r="GJS34" s="191"/>
      <c r="GJT34" s="191"/>
      <c r="GJU34" s="191"/>
      <c r="GJV34" s="191"/>
      <c r="GJW34" s="191"/>
      <c r="GJX34" s="191"/>
      <c r="GJY34" s="191"/>
      <c r="GJZ34" s="191"/>
      <c r="GKA34" s="191"/>
      <c r="GKB34" s="191"/>
      <c r="GKC34" s="191"/>
      <c r="GKD34" s="191"/>
      <c r="GKE34" s="191"/>
      <c r="GKF34" s="191"/>
      <c r="GKG34" s="191"/>
      <c r="GKH34" s="191"/>
      <c r="GKI34" s="191"/>
      <c r="GKJ34" s="191"/>
      <c r="GKK34" s="191"/>
      <c r="GKL34" s="191"/>
      <c r="GKM34" s="191"/>
      <c r="GKN34" s="191"/>
      <c r="GKO34" s="191"/>
      <c r="GKP34" s="191"/>
      <c r="GKQ34" s="191"/>
      <c r="GKR34" s="191"/>
      <c r="GKS34" s="191"/>
      <c r="GKT34" s="191"/>
      <c r="GKU34" s="191"/>
      <c r="GKV34" s="191"/>
      <c r="GKW34" s="191"/>
      <c r="GKX34" s="191"/>
      <c r="GKY34" s="191"/>
      <c r="GKZ34" s="191"/>
      <c r="GLA34" s="191"/>
      <c r="GLB34" s="191"/>
      <c r="GLC34" s="191"/>
      <c r="GLD34" s="191"/>
      <c r="GLE34" s="191"/>
      <c r="GLF34" s="191"/>
      <c r="GLG34" s="191"/>
      <c r="GLH34" s="191"/>
      <c r="GLI34" s="191"/>
      <c r="GLJ34" s="191"/>
      <c r="GLK34" s="191"/>
      <c r="GLL34" s="191"/>
      <c r="GLM34" s="191"/>
      <c r="GLN34" s="191"/>
      <c r="GLO34" s="191"/>
      <c r="GLP34" s="191"/>
      <c r="GLQ34" s="191"/>
      <c r="GLR34" s="191"/>
      <c r="GLS34" s="191"/>
      <c r="GLT34" s="191"/>
      <c r="GLU34" s="191"/>
      <c r="GLV34" s="191"/>
      <c r="GLW34" s="191"/>
      <c r="GLX34" s="191"/>
      <c r="GLY34" s="191"/>
      <c r="GLZ34" s="191"/>
      <c r="GMA34" s="191"/>
      <c r="GMB34" s="191"/>
      <c r="GMC34" s="191"/>
      <c r="GMD34" s="191"/>
      <c r="GME34" s="191"/>
      <c r="GMF34" s="191"/>
      <c r="GMG34" s="191"/>
      <c r="GMH34" s="191"/>
      <c r="GMI34" s="191"/>
      <c r="GMJ34" s="191"/>
      <c r="GMK34" s="191"/>
      <c r="GML34" s="191"/>
      <c r="GMM34" s="191"/>
      <c r="GMN34" s="191"/>
      <c r="GMO34" s="191"/>
      <c r="GMP34" s="191"/>
      <c r="GMQ34" s="191"/>
      <c r="GMR34" s="191"/>
      <c r="GMS34" s="191"/>
      <c r="GMT34" s="191"/>
      <c r="GMU34" s="191"/>
      <c r="GMV34" s="191"/>
      <c r="GMW34" s="191"/>
      <c r="GMX34" s="191"/>
      <c r="GMY34" s="191"/>
      <c r="GMZ34" s="191"/>
      <c r="GNA34" s="191"/>
      <c r="GNB34" s="191"/>
      <c r="GNC34" s="191"/>
      <c r="GND34" s="191"/>
      <c r="GNE34" s="191"/>
      <c r="GNF34" s="191"/>
      <c r="GNG34" s="191"/>
      <c r="GNH34" s="191"/>
      <c r="GNI34" s="191"/>
      <c r="GNJ34" s="191"/>
      <c r="GNK34" s="191"/>
      <c r="GNL34" s="191"/>
      <c r="GNM34" s="191"/>
      <c r="GNN34" s="191"/>
      <c r="GNO34" s="191"/>
      <c r="GNP34" s="191"/>
      <c r="GNQ34" s="191"/>
      <c r="GNR34" s="191"/>
      <c r="GNS34" s="191"/>
      <c r="GNT34" s="191"/>
      <c r="GNU34" s="191"/>
      <c r="GNV34" s="191"/>
      <c r="GNW34" s="191"/>
      <c r="GNX34" s="191"/>
      <c r="GNY34" s="191"/>
      <c r="GNZ34" s="191"/>
      <c r="GOA34" s="191"/>
      <c r="GOB34" s="191"/>
      <c r="GOC34" s="191"/>
      <c r="GOD34" s="191"/>
      <c r="GOE34" s="191"/>
      <c r="GOF34" s="191"/>
      <c r="GOG34" s="191"/>
      <c r="GOH34" s="191"/>
      <c r="GOI34" s="191"/>
      <c r="GOJ34" s="191"/>
      <c r="GOK34" s="191"/>
      <c r="GOL34" s="191"/>
      <c r="GOM34" s="191"/>
      <c r="GON34" s="191"/>
      <c r="GOO34" s="191"/>
      <c r="GOP34" s="191"/>
      <c r="GOQ34" s="191"/>
      <c r="GOR34" s="191"/>
      <c r="GOS34" s="191"/>
      <c r="GOT34" s="191"/>
      <c r="GOU34" s="191"/>
      <c r="GOV34" s="191"/>
      <c r="GOW34" s="191"/>
      <c r="GOX34" s="191"/>
      <c r="GOY34" s="191"/>
      <c r="GOZ34" s="191"/>
      <c r="GPA34" s="191"/>
      <c r="GPB34" s="191"/>
      <c r="GPC34" s="191"/>
      <c r="GPD34" s="191"/>
      <c r="GPE34" s="191"/>
      <c r="GPF34" s="191"/>
      <c r="GPG34" s="191"/>
      <c r="GPH34" s="191"/>
      <c r="GPI34" s="191"/>
      <c r="GPJ34" s="191"/>
      <c r="GPK34" s="191"/>
      <c r="GPL34" s="191"/>
      <c r="GPM34" s="191"/>
      <c r="GPN34" s="191"/>
      <c r="GPO34" s="191"/>
      <c r="GPP34" s="191"/>
      <c r="GPQ34" s="191"/>
      <c r="GPR34" s="191"/>
      <c r="GPS34" s="191"/>
      <c r="GPT34" s="191"/>
      <c r="GPU34" s="191"/>
      <c r="GPV34" s="191"/>
      <c r="GPW34" s="191"/>
      <c r="GPX34" s="191"/>
      <c r="GPY34" s="191"/>
      <c r="GPZ34" s="191"/>
      <c r="GQA34" s="191"/>
      <c r="GQB34" s="191"/>
      <c r="GQC34" s="191"/>
      <c r="GQD34" s="191"/>
      <c r="GQE34" s="191"/>
      <c r="GQF34" s="191"/>
      <c r="GQG34" s="191"/>
      <c r="GQH34" s="191"/>
      <c r="GQI34" s="191"/>
      <c r="GQJ34" s="191"/>
      <c r="GQK34" s="191"/>
      <c r="GQL34" s="191"/>
      <c r="GQM34" s="191"/>
      <c r="GQN34" s="191"/>
      <c r="GQO34" s="191"/>
      <c r="GQP34" s="191"/>
      <c r="GQQ34" s="191"/>
      <c r="GQR34" s="191"/>
      <c r="GQS34" s="191"/>
      <c r="GQT34" s="191"/>
      <c r="GQU34" s="191"/>
      <c r="GQV34" s="191"/>
      <c r="GQW34" s="191"/>
      <c r="GQX34" s="191"/>
      <c r="GQY34" s="191"/>
      <c r="GQZ34" s="191"/>
      <c r="GRA34" s="191"/>
      <c r="GRB34" s="191"/>
      <c r="GRC34" s="191"/>
      <c r="GRD34" s="191"/>
      <c r="GRE34" s="191"/>
      <c r="GRF34" s="191"/>
      <c r="GRG34" s="191"/>
      <c r="GRH34" s="191"/>
      <c r="GRI34" s="191"/>
      <c r="GRJ34" s="191"/>
      <c r="GRK34" s="191"/>
      <c r="GRL34" s="191"/>
      <c r="GRM34" s="191"/>
      <c r="GRN34" s="191"/>
      <c r="GRO34" s="191"/>
      <c r="GRP34" s="191"/>
      <c r="GRQ34" s="191"/>
      <c r="GRR34" s="191"/>
      <c r="GRS34" s="191"/>
      <c r="GRT34" s="191"/>
      <c r="GRU34" s="191"/>
      <c r="GRV34" s="191"/>
      <c r="GRW34" s="191"/>
      <c r="GRX34" s="191"/>
      <c r="GRY34" s="191"/>
      <c r="GRZ34" s="191"/>
      <c r="GSA34" s="191"/>
      <c r="GSB34" s="191"/>
      <c r="GSC34" s="191"/>
      <c r="GSD34" s="191"/>
      <c r="GSE34" s="191"/>
      <c r="GSF34" s="191"/>
      <c r="GSG34" s="191"/>
      <c r="GSH34" s="191"/>
      <c r="GSI34" s="191"/>
      <c r="GSJ34" s="191"/>
      <c r="GSK34" s="191"/>
      <c r="GSL34" s="191"/>
      <c r="GSM34" s="191"/>
      <c r="GSN34" s="191"/>
      <c r="GSO34" s="191"/>
      <c r="GSP34" s="191"/>
      <c r="GSQ34" s="191"/>
      <c r="GSR34" s="191"/>
      <c r="GSS34" s="191"/>
      <c r="GST34" s="191"/>
      <c r="GSU34" s="191"/>
      <c r="GSV34" s="191"/>
      <c r="GSW34" s="191"/>
      <c r="GSX34" s="191"/>
      <c r="GSY34" s="191"/>
      <c r="GSZ34" s="191"/>
      <c r="GTA34" s="191"/>
      <c r="GTB34" s="191"/>
      <c r="GTC34" s="191"/>
      <c r="GTD34" s="191"/>
      <c r="GTE34" s="191"/>
      <c r="GTF34" s="191"/>
      <c r="GTG34" s="191"/>
      <c r="GTH34" s="191"/>
      <c r="GTI34" s="191"/>
      <c r="GTJ34" s="191"/>
      <c r="GTK34" s="191"/>
      <c r="GTL34" s="191"/>
      <c r="GTM34" s="191"/>
      <c r="GTN34" s="191"/>
      <c r="GTO34" s="191"/>
      <c r="GTP34" s="191"/>
      <c r="GTQ34" s="191"/>
      <c r="GTR34" s="191"/>
      <c r="GTS34" s="191"/>
      <c r="GTT34" s="191"/>
      <c r="GTU34" s="191"/>
      <c r="GTV34" s="191"/>
      <c r="GTW34" s="191"/>
      <c r="GTX34" s="191"/>
      <c r="GTY34" s="191"/>
      <c r="GTZ34" s="191"/>
      <c r="GUA34" s="191"/>
      <c r="GUB34" s="191"/>
      <c r="GUC34" s="191"/>
      <c r="GUD34" s="191"/>
      <c r="GUE34" s="191"/>
      <c r="GUF34" s="191"/>
      <c r="GUG34" s="191"/>
      <c r="GUH34" s="191"/>
      <c r="GUI34" s="191"/>
      <c r="GUJ34" s="191"/>
      <c r="GUK34" s="191"/>
      <c r="GUL34" s="191"/>
      <c r="GUM34" s="191"/>
      <c r="GUN34" s="191"/>
      <c r="GUO34" s="191"/>
      <c r="GUP34" s="191"/>
      <c r="GUQ34" s="191"/>
      <c r="GUR34" s="191"/>
      <c r="GUS34" s="191"/>
      <c r="GUT34" s="191"/>
      <c r="GUU34" s="191"/>
      <c r="GUV34" s="191"/>
      <c r="GUW34" s="191"/>
      <c r="GUX34" s="191"/>
      <c r="GUY34" s="191"/>
      <c r="GUZ34" s="191"/>
      <c r="GVA34" s="191"/>
      <c r="GVB34" s="191"/>
      <c r="GVC34" s="191"/>
      <c r="GVD34" s="191"/>
      <c r="GVE34" s="191"/>
      <c r="GVF34" s="191"/>
      <c r="GVG34" s="191"/>
      <c r="GVH34" s="191"/>
      <c r="GVI34" s="191"/>
      <c r="GVJ34" s="191"/>
      <c r="GVK34" s="191"/>
      <c r="GVL34" s="191"/>
      <c r="GVM34" s="191"/>
      <c r="GVN34" s="191"/>
      <c r="GVO34" s="191"/>
      <c r="GVP34" s="191"/>
      <c r="GVQ34" s="191"/>
      <c r="GVR34" s="191"/>
      <c r="GVS34" s="191"/>
      <c r="GVT34" s="191"/>
      <c r="GVU34" s="191"/>
      <c r="GVV34" s="191"/>
      <c r="GVW34" s="191"/>
      <c r="GVX34" s="191"/>
      <c r="GVY34" s="191"/>
      <c r="GVZ34" s="191"/>
      <c r="GWA34" s="191"/>
      <c r="GWB34" s="191"/>
      <c r="GWC34" s="191"/>
      <c r="GWD34" s="191"/>
      <c r="GWE34" s="191"/>
      <c r="GWF34" s="191"/>
      <c r="GWG34" s="191"/>
      <c r="GWH34" s="191"/>
      <c r="GWI34" s="191"/>
      <c r="GWJ34" s="191"/>
      <c r="GWK34" s="191"/>
      <c r="GWL34" s="191"/>
      <c r="GWM34" s="191"/>
      <c r="GWN34" s="191"/>
      <c r="GWO34" s="191"/>
      <c r="GWP34" s="191"/>
      <c r="GWQ34" s="191"/>
      <c r="GWR34" s="191"/>
      <c r="GWS34" s="191"/>
      <c r="GWT34" s="191"/>
      <c r="GWU34" s="191"/>
      <c r="GWV34" s="191"/>
      <c r="GWW34" s="191"/>
      <c r="GWX34" s="191"/>
      <c r="GWY34" s="191"/>
      <c r="GWZ34" s="191"/>
      <c r="GXA34" s="191"/>
      <c r="GXB34" s="191"/>
      <c r="GXC34" s="191"/>
      <c r="GXD34" s="191"/>
      <c r="GXE34" s="191"/>
      <c r="GXF34" s="191"/>
      <c r="GXG34" s="191"/>
      <c r="GXH34" s="191"/>
      <c r="GXI34" s="191"/>
      <c r="GXJ34" s="191"/>
      <c r="GXK34" s="191"/>
      <c r="GXL34" s="191"/>
      <c r="GXM34" s="191"/>
      <c r="GXN34" s="191"/>
      <c r="GXO34" s="191"/>
      <c r="GXP34" s="191"/>
      <c r="GXQ34" s="191"/>
      <c r="GXR34" s="191"/>
      <c r="GXS34" s="191"/>
      <c r="GXT34" s="191"/>
      <c r="GXU34" s="191"/>
      <c r="GXV34" s="191"/>
      <c r="GXW34" s="191"/>
      <c r="GXX34" s="191"/>
      <c r="GXY34" s="191"/>
      <c r="GXZ34" s="191"/>
      <c r="GYA34" s="191"/>
      <c r="GYB34" s="191"/>
      <c r="GYC34" s="191"/>
      <c r="GYD34" s="191"/>
      <c r="GYE34" s="191"/>
      <c r="GYF34" s="191"/>
      <c r="GYG34" s="191"/>
      <c r="GYH34" s="191"/>
      <c r="GYI34" s="191"/>
      <c r="GYJ34" s="191"/>
      <c r="GYK34" s="191"/>
      <c r="GYL34" s="191"/>
      <c r="GYM34" s="191"/>
      <c r="GYN34" s="191"/>
      <c r="GYO34" s="191"/>
      <c r="GYP34" s="191"/>
      <c r="GYQ34" s="191"/>
      <c r="GYR34" s="191"/>
      <c r="GYS34" s="191"/>
      <c r="GYT34" s="191"/>
      <c r="GYU34" s="191"/>
      <c r="GYV34" s="191"/>
      <c r="GYW34" s="191"/>
      <c r="GYX34" s="191"/>
      <c r="GYY34" s="191"/>
      <c r="GYZ34" s="191"/>
      <c r="GZA34" s="191"/>
      <c r="GZB34" s="191"/>
      <c r="GZC34" s="191"/>
      <c r="GZD34" s="191"/>
      <c r="GZE34" s="191"/>
      <c r="GZF34" s="191"/>
      <c r="GZG34" s="191"/>
      <c r="GZH34" s="191"/>
      <c r="GZI34" s="191"/>
      <c r="GZJ34" s="191"/>
      <c r="GZK34" s="191"/>
      <c r="GZL34" s="191"/>
      <c r="GZM34" s="191"/>
      <c r="GZN34" s="191"/>
      <c r="GZO34" s="191"/>
      <c r="GZP34" s="191"/>
      <c r="GZQ34" s="191"/>
      <c r="GZR34" s="191"/>
      <c r="GZS34" s="191"/>
      <c r="GZT34" s="191"/>
      <c r="GZU34" s="191"/>
      <c r="GZV34" s="191"/>
      <c r="GZW34" s="191"/>
      <c r="GZX34" s="191"/>
      <c r="GZY34" s="191"/>
      <c r="GZZ34" s="191"/>
      <c r="HAA34" s="191"/>
      <c r="HAB34" s="191"/>
      <c r="HAC34" s="191"/>
      <c r="HAD34" s="191"/>
      <c r="HAE34" s="191"/>
      <c r="HAF34" s="191"/>
      <c r="HAG34" s="191"/>
      <c r="HAH34" s="191"/>
      <c r="HAI34" s="191"/>
      <c r="HAJ34" s="191"/>
      <c r="HAK34" s="191"/>
      <c r="HAL34" s="191"/>
      <c r="HAM34" s="191"/>
      <c r="HAN34" s="191"/>
      <c r="HAO34" s="191"/>
      <c r="HAP34" s="191"/>
      <c r="HAQ34" s="191"/>
      <c r="HAR34" s="191"/>
      <c r="HAS34" s="191"/>
      <c r="HAT34" s="191"/>
      <c r="HAU34" s="191"/>
      <c r="HAV34" s="191"/>
      <c r="HAW34" s="191"/>
      <c r="HAX34" s="191"/>
      <c r="HAY34" s="191"/>
      <c r="HAZ34" s="191"/>
      <c r="HBA34" s="191"/>
      <c r="HBB34" s="191"/>
      <c r="HBC34" s="191"/>
      <c r="HBD34" s="191"/>
      <c r="HBE34" s="191"/>
      <c r="HBF34" s="191"/>
      <c r="HBG34" s="191"/>
      <c r="HBH34" s="191"/>
      <c r="HBI34" s="191"/>
      <c r="HBJ34" s="191"/>
      <c r="HBK34" s="191"/>
      <c r="HBL34" s="191"/>
      <c r="HBM34" s="191"/>
      <c r="HBN34" s="191"/>
      <c r="HBO34" s="191"/>
      <c r="HBP34" s="191"/>
      <c r="HBQ34" s="191"/>
      <c r="HBR34" s="191"/>
      <c r="HBS34" s="191"/>
      <c r="HBT34" s="191"/>
      <c r="HBU34" s="191"/>
      <c r="HBV34" s="191"/>
      <c r="HBW34" s="191"/>
      <c r="HBX34" s="191"/>
      <c r="HBY34" s="191"/>
      <c r="HBZ34" s="191"/>
      <c r="HCA34" s="191"/>
      <c r="HCB34" s="191"/>
      <c r="HCC34" s="191"/>
      <c r="HCD34" s="191"/>
      <c r="HCE34" s="191"/>
      <c r="HCF34" s="191"/>
      <c r="HCG34" s="191"/>
      <c r="HCH34" s="191"/>
      <c r="HCI34" s="191"/>
      <c r="HCJ34" s="191"/>
      <c r="HCK34" s="191"/>
      <c r="HCL34" s="191"/>
      <c r="HCM34" s="191"/>
      <c r="HCN34" s="191"/>
      <c r="HCO34" s="191"/>
      <c r="HCP34" s="191"/>
      <c r="HCQ34" s="191"/>
      <c r="HCR34" s="191"/>
      <c r="HCS34" s="191"/>
      <c r="HCT34" s="191"/>
      <c r="HCU34" s="191"/>
      <c r="HCV34" s="191"/>
      <c r="HCW34" s="191"/>
      <c r="HCX34" s="191"/>
      <c r="HCY34" s="191"/>
      <c r="HCZ34" s="191"/>
      <c r="HDA34" s="191"/>
      <c r="HDB34" s="191"/>
      <c r="HDC34" s="191"/>
      <c r="HDD34" s="191"/>
      <c r="HDE34" s="191"/>
      <c r="HDF34" s="191"/>
      <c r="HDG34" s="191"/>
      <c r="HDH34" s="191"/>
      <c r="HDI34" s="191"/>
      <c r="HDJ34" s="191"/>
      <c r="HDK34" s="191"/>
      <c r="HDL34" s="191"/>
      <c r="HDM34" s="191"/>
      <c r="HDN34" s="191"/>
      <c r="HDO34" s="191"/>
      <c r="HDP34" s="191"/>
      <c r="HDQ34" s="191"/>
      <c r="HDR34" s="191"/>
      <c r="HDS34" s="191"/>
      <c r="HDT34" s="191"/>
      <c r="HDU34" s="191"/>
      <c r="HDV34" s="191"/>
      <c r="HDW34" s="191"/>
      <c r="HDX34" s="191"/>
      <c r="HDY34" s="191"/>
      <c r="HDZ34" s="191"/>
      <c r="HEA34" s="191"/>
      <c r="HEB34" s="191"/>
      <c r="HEC34" s="191"/>
      <c r="HED34" s="191"/>
      <c r="HEE34" s="191"/>
      <c r="HEF34" s="191"/>
      <c r="HEG34" s="191"/>
      <c r="HEH34" s="191"/>
      <c r="HEI34" s="191"/>
      <c r="HEJ34" s="191"/>
      <c r="HEK34" s="191"/>
      <c r="HEL34" s="191"/>
      <c r="HEM34" s="191"/>
      <c r="HEN34" s="191"/>
      <c r="HEO34" s="191"/>
      <c r="HEP34" s="191"/>
      <c r="HEQ34" s="191"/>
      <c r="HER34" s="191"/>
      <c r="HES34" s="191"/>
      <c r="HET34" s="191"/>
      <c r="HEU34" s="191"/>
      <c r="HEV34" s="191"/>
      <c r="HEW34" s="191"/>
      <c r="HEX34" s="191"/>
      <c r="HEY34" s="191"/>
      <c r="HEZ34" s="191"/>
      <c r="HFA34" s="191"/>
      <c r="HFB34" s="191"/>
      <c r="HFC34" s="191"/>
      <c r="HFD34" s="191"/>
      <c r="HFE34" s="191"/>
      <c r="HFF34" s="191"/>
      <c r="HFG34" s="191"/>
      <c r="HFH34" s="191"/>
      <c r="HFI34" s="191"/>
      <c r="HFJ34" s="191"/>
      <c r="HFK34" s="191"/>
      <c r="HFL34" s="191"/>
      <c r="HFM34" s="191"/>
      <c r="HFN34" s="191"/>
      <c r="HFO34" s="191"/>
      <c r="HFP34" s="191"/>
      <c r="HFQ34" s="191"/>
      <c r="HFR34" s="191"/>
      <c r="HFS34" s="191"/>
      <c r="HFT34" s="191"/>
      <c r="HFU34" s="191"/>
      <c r="HFV34" s="191"/>
      <c r="HFW34" s="191"/>
      <c r="HFX34" s="191"/>
      <c r="HFY34" s="191"/>
      <c r="HFZ34" s="191"/>
      <c r="HGA34" s="191"/>
      <c r="HGB34" s="191"/>
      <c r="HGC34" s="191"/>
      <c r="HGD34" s="191"/>
      <c r="HGE34" s="191"/>
      <c r="HGF34" s="191"/>
      <c r="HGG34" s="191"/>
      <c r="HGH34" s="191"/>
      <c r="HGI34" s="191"/>
      <c r="HGJ34" s="191"/>
      <c r="HGK34" s="191"/>
      <c r="HGL34" s="191"/>
      <c r="HGM34" s="191"/>
      <c r="HGN34" s="191"/>
      <c r="HGO34" s="191"/>
      <c r="HGP34" s="191"/>
      <c r="HGQ34" s="191"/>
      <c r="HGR34" s="191"/>
      <c r="HGS34" s="191"/>
      <c r="HGT34" s="191"/>
      <c r="HGU34" s="191"/>
      <c r="HGV34" s="191"/>
      <c r="HGW34" s="191"/>
      <c r="HGX34" s="191"/>
      <c r="HGY34" s="191"/>
      <c r="HGZ34" s="191"/>
      <c r="HHA34" s="191"/>
      <c r="HHB34" s="191"/>
      <c r="HHC34" s="191"/>
      <c r="HHD34" s="191"/>
      <c r="HHE34" s="191"/>
      <c r="HHF34" s="191"/>
      <c r="HHG34" s="191"/>
      <c r="HHH34" s="191"/>
      <c r="HHI34" s="191"/>
      <c r="HHJ34" s="191"/>
      <c r="HHK34" s="191"/>
      <c r="HHL34" s="191"/>
      <c r="HHM34" s="191"/>
      <c r="HHN34" s="191"/>
      <c r="HHO34" s="191"/>
      <c r="HHP34" s="191"/>
      <c r="HHQ34" s="191"/>
      <c r="HHR34" s="191"/>
      <c r="HHS34" s="191"/>
      <c r="HHT34" s="191"/>
      <c r="HHU34" s="191"/>
      <c r="HHV34" s="191"/>
      <c r="HHW34" s="191"/>
      <c r="HHX34" s="191"/>
      <c r="HHY34" s="191"/>
      <c r="HHZ34" s="191"/>
      <c r="HIA34" s="191"/>
      <c r="HIB34" s="191"/>
      <c r="HIC34" s="191"/>
      <c r="HID34" s="191"/>
      <c r="HIE34" s="191"/>
      <c r="HIF34" s="191"/>
      <c r="HIG34" s="191"/>
      <c r="HIH34" s="191"/>
      <c r="HII34" s="191"/>
      <c r="HIJ34" s="191"/>
      <c r="HIK34" s="191"/>
      <c r="HIL34" s="191"/>
      <c r="HIM34" s="191"/>
      <c r="HIN34" s="191"/>
      <c r="HIO34" s="191"/>
      <c r="HIP34" s="191"/>
      <c r="HIQ34" s="191"/>
      <c r="HIR34" s="191"/>
      <c r="HIS34" s="191"/>
      <c r="HIT34" s="191"/>
      <c r="HIU34" s="191"/>
      <c r="HIV34" s="191"/>
      <c r="HIW34" s="191"/>
      <c r="HIX34" s="191"/>
      <c r="HIY34" s="191"/>
      <c r="HIZ34" s="191"/>
      <c r="HJA34" s="191"/>
      <c r="HJB34" s="191"/>
      <c r="HJC34" s="191"/>
      <c r="HJD34" s="191"/>
      <c r="HJE34" s="191"/>
      <c r="HJF34" s="191"/>
      <c r="HJG34" s="191"/>
      <c r="HJH34" s="191"/>
      <c r="HJI34" s="191"/>
      <c r="HJJ34" s="191"/>
      <c r="HJK34" s="191"/>
      <c r="HJL34" s="191"/>
      <c r="HJM34" s="191"/>
      <c r="HJN34" s="191"/>
      <c r="HJO34" s="191"/>
      <c r="HJP34" s="191"/>
      <c r="HJQ34" s="191"/>
      <c r="HJR34" s="191"/>
      <c r="HJS34" s="191"/>
      <c r="HJT34" s="191"/>
      <c r="HJU34" s="191"/>
      <c r="HJV34" s="191"/>
      <c r="HJW34" s="191"/>
      <c r="HJX34" s="191"/>
      <c r="HJY34" s="191"/>
      <c r="HJZ34" s="191"/>
      <c r="HKA34" s="191"/>
      <c r="HKB34" s="191"/>
      <c r="HKC34" s="191"/>
      <c r="HKD34" s="191"/>
      <c r="HKE34" s="191"/>
      <c r="HKF34" s="191"/>
      <c r="HKG34" s="191"/>
      <c r="HKH34" s="191"/>
      <c r="HKI34" s="191"/>
      <c r="HKJ34" s="191"/>
      <c r="HKK34" s="191"/>
      <c r="HKL34" s="191"/>
      <c r="HKM34" s="191"/>
      <c r="HKN34" s="191"/>
      <c r="HKO34" s="191"/>
      <c r="HKP34" s="191"/>
      <c r="HKQ34" s="191"/>
      <c r="HKR34" s="191"/>
      <c r="HKS34" s="191"/>
      <c r="HKT34" s="191"/>
      <c r="HKU34" s="191"/>
      <c r="HKV34" s="191"/>
      <c r="HKW34" s="191"/>
      <c r="HKX34" s="191"/>
      <c r="HKY34" s="191"/>
      <c r="HKZ34" s="191"/>
      <c r="HLA34" s="191"/>
      <c r="HLB34" s="191"/>
      <c r="HLC34" s="191"/>
      <c r="HLD34" s="191"/>
      <c r="HLE34" s="191"/>
      <c r="HLF34" s="191"/>
      <c r="HLG34" s="191"/>
      <c r="HLH34" s="191"/>
      <c r="HLI34" s="191"/>
      <c r="HLJ34" s="191"/>
      <c r="HLK34" s="191"/>
      <c r="HLL34" s="191"/>
      <c r="HLM34" s="191"/>
      <c r="HLN34" s="191"/>
      <c r="HLO34" s="191"/>
      <c r="HLP34" s="191"/>
      <c r="HLQ34" s="191"/>
      <c r="HLR34" s="191"/>
      <c r="HLS34" s="191"/>
      <c r="HLT34" s="191"/>
      <c r="HLU34" s="191"/>
      <c r="HLV34" s="191"/>
      <c r="HLW34" s="191"/>
      <c r="HLX34" s="191"/>
      <c r="HLY34" s="191"/>
      <c r="HLZ34" s="191"/>
      <c r="HMA34" s="191"/>
      <c r="HMB34" s="191"/>
      <c r="HMC34" s="191"/>
      <c r="HMD34" s="191"/>
      <c r="HME34" s="191"/>
      <c r="HMF34" s="191"/>
      <c r="HMG34" s="191"/>
      <c r="HMH34" s="191"/>
      <c r="HMI34" s="191"/>
      <c r="HMJ34" s="191"/>
      <c r="HMK34" s="191"/>
      <c r="HML34" s="191"/>
      <c r="HMM34" s="191"/>
      <c r="HMN34" s="191"/>
      <c r="HMO34" s="191"/>
      <c r="HMP34" s="191"/>
      <c r="HMQ34" s="191"/>
      <c r="HMR34" s="191"/>
      <c r="HMS34" s="191"/>
      <c r="HMT34" s="191"/>
      <c r="HMU34" s="191"/>
      <c r="HMV34" s="191"/>
      <c r="HMW34" s="191"/>
      <c r="HMX34" s="191"/>
      <c r="HMY34" s="191"/>
      <c r="HMZ34" s="191"/>
      <c r="HNA34" s="191"/>
      <c r="HNB34" s="191"/>
      <c r="HNC34" s="191"/>
      <c r="HND34" s="191"/>
      <c r="HNE34" s="191"/>
      <c r="HNF34" s="191"/>
      <c r="HNG34" s="191"/>
      <c r="HNH34" s="191"/>
      <c r="HNI34" s="191"/>
      <c r="HNJ34" s="191"/>
      <c r="HNK34" s="191"/>
      <c r="HNL34" s="191"/>
      <c r="HNM34" s="191"/>
      <c r="HNN34" s="191"/>
      <c r="HNO34" s="191"/>
      <c r="HNP34" s="191"/>
      <c r="HNQ34" s="191"/>
      <c r="HNR34" s="191"/>
      <c r="HNS34" s="191"/>
      <c r="HNT34" s="191"/>
      <c r="HNU34" s="191"/>
      <c r="HNV34" s="191"/>
      <c r="HNW34" s="191"/>
      <c r="HNX34" s="191"/>
      <c r="HNY34" s="191"/>
      <c r="HNZ34" s="191"/>
      <c r="HOA34" s="191"/>
      <c r="HOB34" s="191"/>
      <c r="HOC34" s="191"/>
      <c r="HOD34" s="191"/>
      <c r="HOE34" s="191"/>
      <c r="HOF34" s="191"/>
      <c r="HOG34" s="191"/>
      <c r="HOH34" s="191"/>
      <c r="HOI34" s="191"/>
      <c r="HOJ34" s="191"/>
      <c r="HOK34" s="191"/>
      <c r="HOL34" s="191"/>
      <c r="HOM34" s="191"/>
      <c r="HON34" s="191"/>
      <c r="HOO34" s="191"/>
      <c r="HOP34" s="191"/>
      <c r="HOQ34" s="191"/>
      <c r="HOR34" s="191"/>
      <c r="HOS34" s="191"/>
      <c r="HOT34" s="191"/>
      <c r="HOU34" s="191"/>
      <c r="HOV34" s="191"/>
      <c r="HOW34" s="191"/>
      <c r="HOX34" s="191"/>
      <c r="HOY34" s="191"/>
      <c r="HOZ34" s="191"/>
      <c r="HPA34" s="191"/>
      <c r="HPB34" s="191"/>
      <c r="HPC34" s="191"/>
      <c r="HPD34" s="191"/>
      <c r="HPE34" s="191"/>
      <c r="HPF34" s="191"/>
      <c r="HPG34" s="191"/>
      <c r="HPH34" s="191"/>
      <c r="HPI34" s="191"/>
      <c r="HPJ34" s="191"/>
      <c r="HPK34" s="191"/>
      <c r="HPL34" s="191"/>
      <c r="HPM34" s="191"/>
      <c r="HPN34" s="191"/>
      <c r="HPO34" s="191"/>
      <c r="HPP34" s="191"/>
      <c r="HPQ34" s="191"/>
      <c r="HPR34" s="191"/>
      <c r="HPS34" s="191"/>
      <c r="HPT34" s="191"/>
      <c r="HPU34" s="191"/>
      <c r="HPV34" s="191"/>
      <c r="HPW34" s="191"/>
      <c r="HPX34" s="191"/>
      <c r="HPY34" s="191"/>
      <c r="HPZ34" s="191"/>
      <c r="HQA34" s="191"/>
      <c r="HQB34" s="191"/>
      <c r="HQC34" s="191"/>
      <c r="HQD34" s="191"/>
      <c r="HQE34" s="191"/>
      <c r="HQF34" s="191"/>
      <c r="HQG34" s="191"/>
      <c r="HQH34" s="191"/>
      <c r="HQI34" s="191"/>
      <c r="HQJ34" s="191"/>
      <c r="HQK34" s="191"/>
      <c r="HQL34" s="191"/>
      <c r="HQM34" s="191"/>
      <c r="HQN34" s="191"/>
      <c r="HQO34" s="191"/>
      <c r="HQP34" s="191"/>
      <c r="HQQ34" s="191"/>
      <c r="HQR34" s="191"/>
      <c r="HQS34" s="191"/>
      <c r="HQT34" s="191"/>
      <c r="HQU34" s="191"/>
      <c r="HQV34" s="191"/>
      <c r="HQW34" s="191"/>
      <c r="HQX34" s="191"/>
      <c r="HQY34" s="191"/>
      <c r="HQZ34" s="191"/>
      <c r="HRA34" s="191"/>
      <c r="HRB34" s="191"/>
      <c r="HRC34" s="191"/>
      <c r="HRD34" s="191"/>
      <c r="HRE34" s="191"/>
      <c r="HRF34" s="191"/>
      <c r="HRG34" s="191"/>
      <c r="HRH34" s="191"/>
      <c r="HRI34" s="191"/>
      <c r="HRJ34" s="191"/>
      <c r="HRK34" s="191"/>
      <c r="HRL34" s="191"/>
      <c r="HRM34" s="191"/>
      <c r="HRN34" s="191"/>
      <c r="HRO34" s="191"/>
      <c r="HRP34" s="191"/>
      <c r="HRQ34" s="191"/>
      <c r="HRR34" s="191"/>
      <c r="HRS34" s="191"/>
      <c r="HRT34" s="191"/>
      <c r="HRU34" s="191"/>
      <c r="HRV34" s="191"/>
      <c r="HRW34" s="191"/>
      <c r="HRX34" s="191"/>
      <c r="HRY34" s="191"/>
      <c r="HRZ34" s="191"/>
      <c r="HSA34" s="191"/>
      <c r="HSB34" s="191"/>
      <c r="HSC34" s="191"/>
      <c r="HSD34" s="191"/>
      <c r="HSE34" s="191"/>
      <c r="HSF34" s="191"/>
      <c r="HSG34" s="191"/>
      <c r="HSH34" s="191"/>
      <c r="HSI34" s="191"/>
      <c r="HSJ34" s="191"/>
      <c r="HSK34" s="191"/>
      <c r="HSL34" s="191"/>
      <c r="HSM34" s="191"/>
      <c r="HSN34" s="191"/>
      <c r="HSO34" s="191"/>
      <c r="HSP34" s="191"/>
      <c r="HSQ34" s="191"/>
      <c r="HSR34" s="191"/>
      <c r="HSS34" s="191"/>
      <c r="HST34" s="191"/>
      <c r="HSU34" s="191"/>
      <c r="HSV34" s="191"/>
      <c r="HSW34" s="191"/>
      <c r="HSX34" s="191"/>
      <c r="HSY34" s="191"/>
      <c r="HSZ34" s="191"/>
      <c r="HTA34" s="191"/>
      <c r="HTB34" s="191"/>
      <c r="HTC34" s="191"/>
      <c r="HTD34" s="191"/>
      <c r="HTE34" s="191"/>
      <c r="HTF34" s="191"/>
      <c r="HTG34" s="191"/>
      <c r="HTH34" s="191"/>
      <c r="HTI34" s="191"/>
      <c r="HTJ34" s="191"/>
      <c r="HTK34" s="191"/>
      <c r="HTL34" s="191"/>
      <c r="HTM34" s="191"/>
      <c r="HTN34" s="191"/>
      <c r="HTO34" s="191"/>
      <c r="HTP34" s="191"/>
      <c r="HTQ34" s="191"/>
      <c r="HTR34" s="191"/>
      <c r="HTS34" s="191"/>
      <c r="HTT34" s="191"/>
      <c r="HTU34" s="191"/>
      <c r="HTV34" s="191"/>
      <c r="HTW34" s="191"/>
      <c r="HTX34" s="191"/>
      <c r="HTY34" s="191"/>
      <c r="HTZ34" s="191"/>
      <c r="HUA34" s="191"/>
      <c r="HUB34" s="191"/>
      <c r="HUC34" s="191"/>
      <c r="HUD34" s="191"/>
      <c r="HUE34" s="191"/>
      <c r="HUF34" s="191"/>
      <c r="HUG34" s="191"/>
      <c r="HUH34" s="191"/>
      <c r="HUI34" s="191"/>
      <c r="HUJ34" s="191"/>
      <c r="HUK34" s="191"/>
      <c r="HUL34" s="191"/>
      <c r="HUM34" s="191"/>
      <c r="HUN34" s="191"/>
      <c r="HUO34" s="191"/>
      <c r="HUP34" s="191"/>
      <c r="HUQ34" s="191"/>
      <c r="HUR34" s="191"/>
      <c r="HUS34" s="191"/>
      <c r="HUT34" s="191"/>
      <c r="HUU34" s="191"/>
      <c r="HUV34" s="191"/>
      <c r="HUW34" s="191"/>
      <c r="HUX34" s="191"/>
      <c r="HUY34" s="191"/>
      <c r="HUZ34" s="191"/>
      <c r="HVA34" s="191"/>
      <c r="HVB34" s="191"/>
      <c r="HVC34" s="191"/>
      <c r="HVD34" s="191"/>
      <c r="HVE34" s="191"/>
      <c r="HVF34" s="191"/>
      <c r="HVG34" s="191"/>
      <c r="HVH34" s="191"/>
      <c r="HVI34" s="191"/>
      <c r="HVJ34" s="191"/>
      <c r="HVK34" s="191"/>
      <c r="HVL34" s="191"/>
      <c r="HVM34" s="191"/>
      <c r="HVN34" s="191"/>
      <c r="HVO34" s="191"/>
      <c r="HVP34" s="191"/>
      <c r="HVQ34" s="191"/>
      <c r="HVR34" s="191"/>
      <c r="HVS34" s="191"/>
      <c r="HVT34" s="191"/>
      <c r="HVU34" s="191"/>
      <c r="HVV34" s="191"/>
      <c r="HVW34" s="191"/>
      <c r="HVX34" s="191"/>
      <c r="HVY34" s="191"/>
      <c r="HVZ34" s="191"/>
      <c r="HWA34" s="191"/>
      <c r="HWB34" s="191"/>
      <c r="HWC34" s="191"/>
      <c r="HWD34" s="191"/>
      <c r="HWE34" s="191"/>
      <c r="HWF34" s="191"/>
      <c r="HWG34" s="191"/>
      <c r="HWH34" s="191"/>
      <c r="HWI34" s="191"/>
      <c r="HWJ34" s="191"/>
      <c r="HWK34" s="191"/>
      <c r="HWL34" s="191"/>
      <c r="HWM34" s="191"/>
      <c r="HWN34" s="191"/>
      <c r="HWO34" s="191"/>
      <c r="HWP34" s="191"/>
      <c r="HWQ34" s="191"/>
      <c r="HWR34" s="191"/>
      <c r="HWS34" s="191"/>
      <c r="HWT34" s="191"/>
      <c r="HWU34" s="191"/>
      <c r="HWV34" s="191"/>
      <c r="HWW34" s="191"/>
      <c r="HWX34" s="191"/>
      <c r="HWY34" s="191"/>
      <c r="HWZ34" s="191"/>
      <c r="HXA34" s="191"/>
      <c r="HXB34" s="191"/>
      <c r="HXC34" s="191"/>
      <c r="HXD34" s="191"/>
      <c r="HXE34" s="191"/>
      <c r="HXF34" s="191"/>
      <c r="HXG34" s="191"/>
      <c r="HXH34" s="191"/>
      <c r="HXI34" s="191"/>
      <c r="HXJ34" s="191"/>
      <c r="HXK34" s="191"/>
      <c r="HXL34" s="191"/>
      <c r="HXM34" s="191"/>
      <c r="HXN34" s="191"/>
      <c r="HXO34" s="191"/>
      <c r="HXP34" s="191"/>
      <c r="HXQ34" s="191"/>
      <c r="HXR34" s="191"/>
      <c r="HXS34" s="191"/>
      <c r="HXT34" s="191"/>
      <c r="HXU34" s="191"/>
      <c r="HXV34" s="191"/>
      <c r="HXW34" s="191"/>
      <c r="HXX34" s="191"/>
      <c r="HXY34" s="191"/>
      <c r="HXZ34" s="191"/>
      <c r="HYA34" s="191"/>
      <c r="HYB34" s="191"/>
      <c r="HYC34" s="191"/>
      <c r="HYD34" s="191"/>
      <c r="HYE34" s="191"/>
      <c r="HYF34" s="191"/>
      <c r="HYG34" s="191"/>
      <c r="HYH34" s="191"/>
      <c r="HYI34" s="191"/>
      <c r="HYJ34" s="191"/>
      <c r="HYK34" s="191"/>
      <c r="HYL34" s="191"/>
      <c r="HYM34" s="191"/>
      <c r="HYN34" s="191"/>
      <c r="HYO34" s="191"/>
      <c r="HYP34" s="191"/>
      <c r="HYQ34" s="191"/>
      <c r="HYR34" s="191"/>
      <c r="HYS34" s="191"/>
      <c r="HYT34" s="191"/>
      <c r="HYU34" s="191"/>
      <c r="HYV34" s="191"/>
      <c r="HYW34" s="191"/>
      <c r="HYX34" s="191"/>
      <c r="HYY34" s="191"/>
      <c r="HYZ34" s="191"/>
      <c r="HZA34" s="191"/>
      <c r="HZB34" s="191"/>
      <c r="HZC34" s="191"/>
      <c r="HZD34" s="191"/>
      <c r="HZE34" s="191"/>
      <c r="HZF34" s="191"/>
      <c r="HZG34" s="191"/>
      <c r="HZH34" s="191"/>
      <c r="HZI34" s="191"/>
      <c r="HZJ34" s="191"/>
      <c r="HZK34" s="191"/>
      <c r="HZL34" s="191"/>
      <c r="HZM34" s="191"/>
      <c r="HZN34" s="191"/>
      <c r="HZO34" s="191"/>
      <c r="HZP34" s="191"/>
      <c r="HZQ34" s="191"/>
      <c r="HZR34" s="191"/>
      <c r="HZS34" s="191"/>
      <c r="HZT34" s="191"/>
      <c r="HZU34" s="191"/>
      <c r="HZV34" s="191"/>
      <c r="HZW34" s="191"/>
      <c r="HZX34" s="191"/>
      <c r="HZY34" s="191"/>
      <c r="HZZ34" s="191"/>
      <c r="IAA34" s="191"/>
      <c r="IAB34" s="191"/>
      <c r="IAC34" s="191"/>
      <c r="IAD34" s="191"/>
      <c r="IAE34" s="191"/>
      <c r="IAF34" s="191"/>
      <c r="IAG34" s="191"/>
      <c r="IAH34" s="191"/>
      <c r="IAI34" s="191"/>
      <c r="IAJ34" s="191"/>
      <c r="IAK34" s="191"/>
      <c r="IAL34" s="191"/>
      <c r="IAM34" s="191"/>
      <c r="IAN34" s="191"/>
      <c r="IAO34" s="191"/>
      <c r="IAP34" s="191"/>
      <c r="IAQ34" s="191"/>
      <c r="IAR34" s="191"/>
      <c r="IAS34" s="191"/>
      <c r="IAT34" s="191"/>
      <c r="IAU34" s="191"/>
      <c r="IAV34" s="191"/>
      <c r="IAW34" s="191"/>
      <c r="IAX34" s="191"/>
      <c r="IAY34" s="191"/>
      <c r="IAZ34" s="191"/>
      <c r="IBA34" s="191"/>
      <c r="IBB34" s="191"/>
      <c r="IBC34" s="191"/>
      <c r="IBD34" s="191"/>
      <c r="IBE34" s="191"/>
      <c r="IBF34" s="191"/>
      <c r="IBG34" s="191"/>
      <c r="IBH34" s="191"/>
      <c r="IBI34" s="191"/>
      <c r="IBJ34" s="191"/>
      <c r="IBK34" s="191"/>
      <c r="IBL34" s="191"/>
      <c r="IBM34" s="191"/>
      <c r="IBN34" s="191"/>
      <c r="IBO34" s="191"/>
      <c r="IBP34" s="191"/>
      <c r="IBQ34" s="191"/>
      <c r="IBR34" s="191"/>
      <c r="IBS34" s="191"/>
      <c r="IBT34" s="191"/>
      <c r="IBU34" s="191"/>
      <c r="IBV34" s="191"/>
      <c r="IBW34" s="191"/>
      <c r="IBX34" s="191"/>
      <c r="IBY34" s="191"/>
      <c r="IBZ34" s="191"/>
      <c r="ICA34" s="191"/>
      <c r="ICB34" s="191"/>
      <c r="ICC34" s="191"/>
      <c r="ICD34" s="191"/>
      <c r="ICE34" s="191"/>
      <c r="ICF34" s="191"/>
      <c r="ICG34" s="191"/>
      <c r="ICH34" s="191"/>
      <c r="ICI34" s="191"/>
      <c r="ICJ34" s="191"/>
      <c r="ICK34" s="191"/>
      <c r="ICL34" s="191"/>
      <c r="ICM34" s="191"/>
      <c r="ICN34" s="191"/>
      <c r="ICO34" s="191"/>
      <c r="ICP34" s="191"/>
      <c r="ICQ34" s="191"/>
      <c r="ICR34" s="191"/>
      <c r="ICS34" s="191"/>
      <c r="ICT34" s="191"/>
      <c r="ICU34" s="191"/>
      <c r="ICV34" s="191"/>
      <c r="ICW34" s="191"/>
      <c r="ICX34" s="191"/>
      <c r="ICY34" s="191"/>
      <c r="ICZ34" s="191"/>
      <c r="IDA34" s="191"/>
      <c r="IDB34" s="191"/>
      <c r="IDC34" s="191"/>
      <c r="IDD34" s="191"/>
      <c r="IDE34" s="191"/>
      <c r="IDF34" s="191"/>
      <c r="IDG34" s="191"/>
      <c r="IDH34" s="191"/>
      <c r="IDI34" s="191"/>
      <c r="IDJ34" s="191"/>
      <c r="IDK34" s="191"/>
      <c r="IDL34" s="191"/>
      <c r="IDM34" s="191"/>
      <c r="IDN34" s="191"/>
      <c r="IDO34" s="191"/>
      <c r="IDP34" s="191"/>
      <c r="IDQ34" s="191"/>
      <c r="IDR34" s="191"/>
      <c r="IDS34" s="191"/>
      <c r="IDT34" s="191"/>
      <c r="IDU34" s="191"/>
      <c r="IDV34" s="191"/>
      <c r="IDW34" s="191"/>
      <c r="IDX34" s="191"/>
      <c r="IDY34" s="191"/>
      <c r="IDZ34" s="191"/>
      <c r="IEA34" s="191"/>
      <c r="IEB34" s="191"/>
      <c r="IEC34" s="191"/>
      <c r="IED34" s="191"/>
      <c r="IEE34" s="191"/>
      <c r="IEF34" s="191"/>
      <c r="IEG34" s="191"/>
      <c r="IEH34" s="191"/>
      <c r="IEI34" s="191"/>
      <c r="IEJ34" s="191"/>
      <c r="IEK34" s="191"/>
      <c r="IEL34" s="191"/>
      <c r="IEM34" s="191"/>
      <c r="IEN34" s="191"/>
      <c r="IEO34" s="191"/>
      <c r="IEP34" s="191"/>
      <c r="IEQ34" s="191"/>
      <c r="IER34" s="191"/>
      <c r="IES34" s="191"/>
      <c r="IET34" s="191"/>
      <c r="IEU34" s="191"/>
      <c r="IEV34" s="191"/>
      <c r="IEW34" s="191"/>
      <c r="IEX34" s="191"/>
      <c r="IEY34" s="191"/>
      <c r="IEZ34" s="191"/>
      <c r="IFA34" s="191"/>
      <c r="IFB34" s="191"/>
      <c r="IFC34" s="191"/>
      <c r="IFD34" s="191"/>
      <c r="IFE34" s="191"/>
      <c r="IFF34" s="191"/>
      <c r="IFG34" s="191"/>
      <c r="IFH34" s="191"/>
      <c r="IFI34" s="191"/>
      <c r="IFJ34" s="191"/>
      <c r="IFK34" s="191"/>
      <c r="IFL34" s="191"/>
      <c r="IFM34" s="191"/>
      <c r="IFN34" s="191"/>
      <c r="IFO34" s="191"/>
      <c r="IFP34" s="191"/>
      <c r="IFQ34" s="191"/>
      <c r="IFR34" s="191"/>
      <c r="IFS34" s="191"/>
      <c r="IFT34" s="191"/>
      <c r="IFU34" s="191"/>
      <c r="IFV34" s="191"/>
      <c r="IFW34" s="191"/>
      <c r="IFX34" s="191"/>
      <c r="IFY34" s="191"/>
      <c r="IFZ34" s="191"/>
      <c r="IGA34" s="191"/>
      <c r="IGB34" s="191"/>
      <c r="IGC34" s="191"/>
      <c r="IGD34" s="191"/>
      <c r="IGE34" s="191"/>
      <c r="IGF34" s="191"/>
      <c r="IGG34" s="191"/>
      <c r="IGH34" s="191"/>
      <c r="IGI34" s="191"/>
      <c r="IGJ34" s="191"/>
      <c r="IGK34" s="191"/>
      <c r="IGL34" s="191"/>
      <c r="IGM34" s="191"/>
      <c r="IGN34" s="191"/>
      <c r="IGO34" s="191"/>
      <c r="IGP34" s="191"/>
      <c r="IGQ34" s="191"/>
      <c r="IGR34" s="191"/>
      <c r="IGS34" s="191"/>
      <c r="IGT34" s="191"/>
      <c r="IGU34" s="191"/>
      <c r="IGV34" s="191"/>
      <c r="IGW34" s="191"/>
      <c r="IGX34" s="191"/>
      <c r="IGY34" s="191"/>
      <c r="IGZ34" s="191"/>
      <c r="IHA34" s="191"/>
      <c r="IHB34" s="191"/>
      <c r="IHC34" s="191"/>
      <c r="IHD34" s="191"/>
      <c r="IHE34" s="191"/>
      <c r="IHF34" s="191"/>
      <c r="IHG34" s="191"/>
      <c r="IHH34" s="191"/>
      <c r="IHI34" s="191"/>
      <c r="IHJ34" s="191"/>
      <c r="IHK34" s="191"/>
      <c r="IHL34" s="191"/>
      <c r="IHM34" s="191"/>
      <c r="IHN34" s="191"/>
      <c r="IHO34" s="191"/>
      <c r="IHP34" s="191"/>
      <c r="IHQ34" s="191"/>
      <c r="IHR34" s="191"/>
      <c r="IHS34" s="191"/>
      <c r="IHT34" s="191"/>
      <c r="IHU34" s="191"/>
      <c r="IHV34" s="191"/>
      <c r="IHW34" s="191"/>
      <c r="IHX34" s="191"/>
      <c r="IHY34" s="191"/>
      <c r="IHZ34" s="191"/>
      <c r="IIA34" s="191"/>
      <c r="IIB34" s="191"/>
      <c r="IIC34" s="191"/>
      <c r="IID34" s="191"/>
      <c r="IIE34" s="191"/>
      <c r="IIF34" s="191"/>
      <c r="IIG34" s="191"/>
      <c r="IIH34" s="191"/>
      <c r="III34" s="191"/>
      <c r="IIJ34" s="191"/>
      <c r="IIK34" s="191"/>
      <c r="IIL34" s="191"/>
      <c r="IIM34" s="191"/>
      <c r="IIN34" s="191"/>
      <c r="IIO34" s="191"/>
      <c r="IIP34" s="191"/>
      <c r="IIQ34" s="191"/>
      <c r="IIR34" s="191"/>
      <c r="IIS34" s="191"/>
      <c r="IIT34" s="191"/>
      <c r="IIU34" s="191"/>
      <c r="IIV34" s="191"/>
      <c r="IIW34" s="191"/>
      <c r="IIX34" s="191"/>
      <c r="IIY34" s="191"/>
      <c r="IIZ34" s="191"/>
      <c r="IJA34" s="191"/>
      <c r="IJB34" s="191"/>
      <c r="IJC34" s="191"/>
      <c r="IJD34" s="191"/>
      <c r="IJE34" s="191"/>
      <c r="IJF34" s="191"/>
      <c r="IJG34" s="191"/>
      <c r="IJH34" s="191"/>
      <c r="IJI34" s="191"/>
      <c r="IJJ34" s="191"/>
      <c r="IJK34" s="191"/>
      <c r="IJL34" s="191"/>
      <c r="IJM34" s="191"/>
      <c r="IJN34" s="191"/>
      <c r="IJO34" s="191"/>
      <c r="IJP34" s="191"/>
      <c r="IJQ34" s="191"/>
      <c r="IJR34" s="191"/>
      <c r="IJS34" s="191"/>
      <c r="IJT34" s="191"/>
      <c r="IJU34" s="191"/>
      <c r="IJV34" s="191"/>
      <c r="IJW34" s="191"/>
      <c r="IJX34" s="191"/>
      <c r="IJY34" s="191"/>
      <c r="IJZ34" s="191"/>
      <c r="IKA34" s="191"/>
      <c r="IKB34" s="191"/>
      <c r="IKC34" s="191"/>
      <c r="IKD34" s="191"/>
      <c r="IKE34" s="191"/>
      <c r="IKF34" s="191"/>
      <c r="IKG34" s="191"/>
      <c r="IKH34" s="191"/>
      <c r="IKI34" s="191"/>
      <c r="IKJ34" s="191"/>
      <c r="IKK34" s="191"/>
      <c r="IKL34" s="191"/>
      <c r="IKM34" s="191"/>
      <c r="IKN34" s="191"/>
      <c r="IKO34" s="191"/>
      <c r="IKP34" s="191"/>
      <c r="IKQ34" s="191"/>
      <c r="IKR34" s="191"/>
      <c r="IKS34" s="191"/>
      <c r="IKT34" s="191"/>
      <c r="IKU34" s="191"/>
      <c r="IKV34" s="191"/>
      <c r="IKW34" s="191"/>
      <c r="IKX34" s="191"/>
      <c r="IKY34" s="191"/>
      <c r="IKZ34" s="191"/>
      <c r="ILA34" s="191"/>
      <c r="ILB34" s="191"/>
      <c r="ILC34" s="191"/>
      <c r="ILD34" s="191"/>
      <c r="ILE34" s="191"/>
      <c r="ILF34" s="191"/>
      <c r="ILG34" s="191"/>
      <c r="ILH34" s="191"/>
      <c r="ILI34" s="191"/>
      <c r="ILJ34" s="191"/>
      <c r="ILK34" s="191"/>
      <c r="ILL34" s="191"/>
      <c r="ILM34" s="191"/>
      <c r="ILN34" s="191"/>
      <c r="ILO34" s="191"/>
      <c r="ILP34" s="191"/>
      <c r="ILQ34" s="191"/>
      <c r="ILR34" s="191"/>
      <c r="ILS34" s="191"/>
      <c r="ILT34" s="191"/>
      <c r="ILU34" s="191"/>
      <c r="ILV34" s="191"/>
      <c r="ILW34" s="191"/>
      <c r="ILX34" s="191"/>
      <c r="ILY34" s="191"/>
      <c r="ILZ34" s="191"/>
      <c r="IMA34" s="191"/>
      <c r="IMB34" s="191"/>
      <c r="IMC34" s="191"/>
      <c r="IMD34" s="191"/>
      <c r="IME34" s="191"/>
      <c r="IMF34" s="191"/>
      <c r="IMG34" s="191"/>
      <c r="IMH34" s="191"/>
      <c r="IMI34" s="191"/>
      <c r="IMJ34" s="191"/>
      <c r="IMK34" s="191"/>
      <c r="IML34" s="191"/>
      <c r="IMM34" s="191"/>
      <c r="IMN34" s="191"/>
      <c r="IMO34" s="191"/>
      <c r="IMP34" s="191"/>
      <c r="IMQ34" s="191"/>
      <c r="IMR34" s="191"/>
      <c r="IMS34" s="191"/>
      <c r="IMT34" s="191"/>
      <c r="IMU34" s="191"/>
      <c r="IMV34" s="191"/>
      <c r="IMW34" s="191"/>
      <c r="IMX34" s="191"/>
      <c r="IMY34" s="191"/>
      <c r="IMZ34" s="191"/>
      <c r="INA34" s="191"/>
      <c r="INB34" s="191"/>
      <c r="INC34" s="191"/>
      <c r="IND34" s="191"/>
      <c r="INE34" s="191"/>
      <c r="INF34" s="191"/>
      <c r="ING34" s="191"/>
      <c r="INH34" s="191"/>
      <c r="INI34" s="191"/>
      <c r="INJ34" s="191"/>
      <c r="INK34" s="191"/>
      <c r="INL34" s="191"/>
      <c r="INM34" s="191"/>
      <c r="INN34" s="191"/>
      <c r="INO34" s="191"/>
      <c r="INP34" s="191"/>
      <c r="INQ34" s="191"/>
      <c r="INR34" s="191"/>
      <c r="INS34" s="191"/>
      <c r="INT34" s="191"/>
      <c r="INU34" s="191"/>
      <c r="INV34" s="191"/>
      <c r="INW34" s="191"/>
      <c r="INX34" s="191"/>
      <c r="INY34" s="191"/>
      <c r="INZ34" s="191"/>
      <c r="IOA34" s="191"/>
      <c r="IOB34" s="191"/>
      <c r="IOC34" s="191"/>
      <c r="IOD34" s="191"/>
      <c r="IOE34" s="191"/>
      <c r="IOF34" s="191"/>
      <c r="IOG34" s="191"/>
      <c r="IOH34" s="191"/>
      <c r="IOI34" s="191"/>
      <c r="IOJ34" s="191"/>
      <c r="IOK34" s="191"/>
      <c r="IOL34" s="191"/>
      <c r="IOM34" s="191"/>
      <c r="ION34" s="191"/>
      <c r="IOO34" s="191"/>
      <c r="IOP34" s="191"/>
      <c r="IOQ34" s="191"/>
      <c r="IOR34" s="191"/>
      <c r="IOS34" s="191"/>
      <c r="IOT34" s="191"/>
      <c r="IOU34" s="191"/>
      <c r="IOV34" s="191"/>
      <c r="IOW34" s="191"/>
      <c r="IOX34" s="191"/>
      <c r="IOY34" s="191"/>
      <c r="IOZ34" s="191"/>
      <c r="IPA34" s="191"/>
      <c r="IPB34" s="191"/>
      <c r="IPC34" s="191"/>
      <c r="IPD34" s="191"/>
      <c r="IPE34" s="191"/>
      <c r="IPF34" s="191"/>
      <c r="IPG34" s="191"/>
      <c r="IPH34" s="191"/>
      <c r="IPI34" s="191"/>
      <c r="IPJ34" s="191"/>
      <c r="IPK34" s="191"/>
      <c r="IPL34" s="191"/>
      <c r="IPM34" s="191"/>
      <c r="IPN34" s="191"/>
      <c r="IPO34" s="191"/>
      <c r="IPP34" s="191"/>
      <c r="IPQ34" s="191"/>
      <c r="IPR34" s="191"/>
      <c r="IPS34" s="191"/>
      <c r="IPT34" s="191"/>
      <c r="IPU34" s="191"/>
      <c r="IPV34" s="191"/>
      <c r="IPW34" s="191"/>
      <c r="IPX34" s="191"/>
      <c r="IPY34" s="191"/>
      <c r="IPZ34" s="191"/>
      <c r="IQA34" s="191"/>
      <c r="IQB34" s="191"/>
      <c r="IQC34" s="191"/>
      <c r="IQD34" s="191"/>
      <c r="IQE34" s="191"/>
      <c r="IQF34" s="191"/>
      <c r="IQG34" s="191"/>
      <c r="IQH34" s="191"/>
      <c r="IQI34" s="191"/>
      <c r="IQJ34" s="191"/>
      <c r="IQK34" s="191"/>
      <c r="IQL34" s="191"/>
      <c r="IQM34" s="191"/>
      <c r="IQN34" s="191"/>
      <c r="IQO34" s="191"/>
      <c r="IQP34" s="191"/>
      <c r="IQQ34" s="191"/>
      <c r="IQR34" s="191"/>
      <c r="IQS34" s="191"/>
      <c r="IQT34" s="191"/>
      <c r="IQU34" s="191"/>
      <c r="IQV34" s="191"/>
      <c r="IQW34" s="191"/>
      <c r="IQX34" s="191"/>
      <c r="IQY34" s="191"/>
      <c r="IQZ34" s="191"/>
      <c r="IRA34" s="191"/>
      <c r="IRB34" s="191"/>
      <c r="IRC34" s="191"/>
      <c r="IRD34" s="191"/>
      <c r="IRE34" s="191"/>
      <c r="IRF34" s="191"/>
      <c r="IRG34" s="191"/>
      <c r="IRH34" s="191"/>
      <c r="IRI34" s="191"/>
      <c r="IRJ34" s="191"/>
      <c r="IRK34" s="191"/>
      <c r="IRL34" s="191"/>
      <c r="IRM34" s="191"/>
      <c r="IRN34" s="191"/>
      <c r="IRO34" s="191"/>
      <c r="IRP34" s="191"/>
      <c r="IRQ34" s="191"/>
      <c r="IRR34" s="191"/>
      <c r="IRS34" s="191"/>
      <c r="IRT34" s="191"/>
      <c r="IRU34" s="191"/>
      <c r="IRV34" s="191"/>
      <c r="IRW34" s="191"/>
      <c r="IRX34" s="191"/>
      <c r="IRY34" s="191"/>
      <c r="IRZ34" s="191"/>
      <c r="ISA34" s="191"/>
      <c r="ISB34" s="191"/>
      <c r="ISC34" s="191"/>
      <c r="ISD34" s="191"/>
      <c r="ISE34" s="191"/>
      <c r="ISF34" s="191"/>
      <c r="ISG34" s="191"/>
      <c r="ISH34" s="191"/>
      <c r="ISI34" s="191"/>
      <c r="ISJ34" s="191"/>
      <c r="ISK34" s="191"/>
      <c r="ISL34" s="191"/>
      <c r="ISM34" s="191"/>
      <c r="ISN34" s="191"/>
      <c r="ISO34" s="191"/>
      <c r="ISP34" s="191"/>
      <c r="ISQ34" s="191"/>
      <c r="ISR34" s="191"/>
      <c r="ISS34" s="191"/>
      <c r="IST34" s="191"/>
      <c r="ISU34" s="191"/>
      <c r="ISV34" s="191"/>
      <c r="ISW34" s="191"/>
      <c r="ISX34" s="191"/>
      <c r="ISY34" s="191"/>
      <c r="ISZ34" s="191"/>
      <c r="ITA34" s="191"/>
      <c r="ITB34" s="191"/>
      <c r="ITC34" s="191"/>
      <c r="ITD34" s="191"/>
      <c r="ITE34" s="191"/>
      <c r="ITF34" s="191"/>
      <c r="ITG34" s="191"/>
      <c r="ITH34" s="191"/>
      <c r="ITI34" s="191"/>
      <c r="ITJ34" s="191"/>
      <c r="ITK34" s="191"/>
      <c r="ITL34" s="191"/>
      <c r="ITM34" s="191"/>
      <c r="ITN34" s="191"/>
      <c r="ITO34" s="191"/>
      <c r="ITP34" s="191"/>
      <c r="ITQ34" s="191"/>
      <c r="ITR34" s="191"/>
      <c r="ITS34" s="191"/>
      <c r="ITT34" s="191"/>
      <c r="ITU34" s="191"/>
      <c r="ITV34" s="191"/>
      <c r="ITW34" s="191"/>
      <c r="ITX34" s="191"/>
      <c r="ITY34" s="191"/>
      <c r="ITZ34" s="191"/>
      <c r="IUA34" s="191"/>
      <c r="IUB34" s="191"/>
      <c r="IUC34" s="191"/>
      <c r="IUD34" s="191"/>
      <c r="IUE34" s="191"/>
      <c r="IUF34" s="191"/>
      <c r="IUG34" s="191"/>
      <c r="IUH34" s="191"/>
      <c r="IUI34" s="191"/>
      <c r="IUJ34" s="191"/>
      <c r="IUK34" s="191"/>
      <c r="IUL34" s="191"/>
      <c r="IUM34" s="191"/>
      <c r="IUN34" s="191"/>
      <c r="IUO34" s="191"/>
      <c r="IUP34" s="191"/>
      <c r="IUQ34" s="191"/>
      <c r="IUR34" s="191"/>
      <c r="IUS34" s="191"/>
      <c r="IUT34" s="191"/>
      <c r="IUU34" s="191"/>
      <c r="IUV34" s="191"/>
      <c r="IUW34" s="191"/>
      <c r="IUX34" s="191"/>
      <c r="IUY34" s="191"/>
      <c r="IUZ34" s="191"/>
      <c r="IVA34" s="191"/>
      <c r="IVB34" s="191"/>
      <c r="IVC34" s="191"/>
      <c r="IVD34" s="191"/>
      <c r="IVE34" s="191"/>
      <c r="IVF34" s="191"/>
      <c r="IVG34" s="191"/>
      <c r="IVH34" s="191"/>
      <c r="IVI34" s="191"/>
      <c r="IVJ34" s="191"/>
      <c r="IVK34" s="191"/>
      <c r="IVL34" s="191"/>
      <c r="IVM34" s="191"/>
      <c r="IVN34" s="191"/>
      <c r="IVO34" s="191"/>
      <c r="IVP34" s="191"/>
      <c r="IVQ34" s="191"/>
      <c r="IVR34" s="191"/>
      <c r="IVS34" s="191"/>
      <c r="IVT34" s="191"/>
      <c r="IVU34" s="191"/>
      <c r="IVV34" s="191"/>
      <c r="IVW34" s="191"/>
      <c r="IVX34" s="191"/>
      <c r="IVY34" s="191"/>
      <c r="IVZ34" s="191"/>
      <c r="IWA34" s="191"/>
      <c r="IWB34" s="191"/>
      <c r="IWC34" s="191"/>
      <c r="IWD34" s="191"/>
      <c r="IWE34" s="191"/>
      <c r="IWF34" s="191"/>
      <c r="IWG34" s="191"/>
      <c r="IWH34" s="191"/>
      <c r="IWI34" s="191"/>
      <c r="IWJ34" s="191"/>
      <c r="IWK34" s="191"/>
      <c r="IWL34" s="191"/>
      <c r="IWM34" s="191"/>
      <c r="IWN34" s="191"/>
      <c r="IWO34" s="191"/>
      <c r="IWP34" s="191"/>
      <c r="IWQ34" s="191"/>
      <c r="IWR34" s="191"/>
      <c r="IWS34" s="191"/>
      <c r="IWT34" s="191"/>
      <c r="IWU34" s="191"/>
      <c r="IWV34" s="191"/>
      <c r="IWW34" s="191"/>
      <c r="IWX34" s="191"/>
      <c r="IWY34" s="191"/>
      <c r="IWZ34" s="191"/>
      <c r="IXA34" s="191"/>
      <c r="IXB34" s="191"/>
      <c r="IXC34" s="191"/>
      <c r="IXD34" s="191"/>
      <c r="IXE34" s="191"/>
      <c r="IXF34" s="191"/>
      <c r="IXG34" s="191"/>
      <c r="IXH34" s="191"/>
      <c r="IXI34" s="191"/>
      <c r="IXJ34" s="191"/>
      <c r="IXK34" s="191"/>
      <c r="IXL34" s="191"/>
      <c r="IXM34" s="191"/>
      <c r="IXN34" s="191"/>
      <c r="IXO34" s="191"/>
      <c r="IXP34" s="191"/>
      <c r="IXQ34" s="191"/>
      <c r="IXR34" s="191"/>
      <c r="IXS34" s="191"/>
      <c r="IXT34" s="191"/>
      <c r="IXU34" s="191"/>
      <c r="IXV34" s="191"/>
      <c r="IXW34" s="191"/>
      <c r="IXX34" s="191"/>
      <c r="IXY34" s="191"/>
      <c r="IXZ34" s="191"/>
      <c r="IYA34" s="191"/>
      <c r="IYB34" s="191"/>
      <c r="IYC34" s="191"/>
      <c r="IYD34" s="191"/>
      <c r="IYE34" s="191"/>
      <c r="IYF34" s="191"/>
      <c r="IYG34" s="191"/>
      <c r="IYH34" s="191"/>
      <c r="IYI34" s="191"/>
      <c r="IYJ34" s="191"/>
      <c r="IYK34" s="191"/>
      <c r="IYL34" s="191"/>
      <c r="IYM34" s="191"/>
      <c r="IYN34" s="191"/>
      <c r="IYO34" s="191"/>
      <c r="IYP34" s="191"/>
      <c r="IYQ34" s="191"/>
      <c r="IYR34" s="191"/>
      <c r="IYS34" s="191"/>
      <c r="IYT34" s="191"/>
      <c r="IYU34" s="191"/>
      <c r="IYV34" s="191"/>
      <c r="IYW34" s="191"/>
      <c r="IYX34" s="191"/>
      <c r="IYY34" s="191"/>
      <c r="IYZ34" s="191"/>
      <c r="IZA34" s="191"/>
      <c r="IZB34" s="191"/>
      <c r="IZC34" s="191"/>
      <c r="IZD34" s="191"/>
      <c r="IZE34" s="191"/>
      <c r="IZF34" s="191"/>
      <c r="IZG34" s="191"/>
      <c r="IZH34" s="191"/>
      <c r="IZI34" s="191"/>
      <c r="IZJ34" s="191"/>
      <c r="IZK34" s="191"/>
      <c r="IZL34" s="191"/>
      <c r="IZM34" s="191"/>
      <c r="IZN34" s="191"/>
      <c r="IZO34" s="191"/>
      <c r="IZP34" s="191"/>
      <c r="IZQ34" s="191"/>
      <c r="IZR34" s="191"/>
      <c r="IZS34" s="191"/>
      <c r="IZT34" s="191"/>
      <c r="IZU34" s="191"/>
      <c r="IZV34" s="191"/>
      <c r="IZW34" s="191"/>
      <c r="IZX34" s="191"/>
      <c r="IZY34" s="191"/>
      <c r="IZZ34" s="191"/>
      <c r="JAA34" s="191"/>
      <c r="JAB34" s="191"/>
      <c r="JAC34" s="191"/>
      <c r="JAD34" s="191"/>
      <c r="JAE34" s="191"/>
      <c r="JAF34" s="191"/>
      <c r="JAG34" s="191"/>
      <c r="JAH34" s="191"/>
      <c r="JAI34" s="191"/>
      <c r="JAJ34" s="191"/>
      <c r="JAK34" s="191"/>
      <c r="JAL34" s="191"/>
      <c r="JAM34" s="191"/>
      <c r="JAN34" s="191"/>
      <c r="JAO34" s="191"/>
      <c r="JAP34" s="191"/>
      <c r="JAQ34" s="191"/>
      <c r="JAR34" s="191"/>
      <c r="JAS34" s="191"/>
      <c r="JAT34" s="191"/>
      <c r="JAU34" s="191"/>
      <c r="JAV34" s="191"/>
      <c r="JAW34" s="191"/>
      <c r="JAX34" s="191"/>
      <c r="JAY34" s="191"/>
      <c r="JAZ34" s="191"/>
      <c r="JBA34" s="191"/>
      <c r="JBB34" s="191"/>
      <c r="JBC34" s="191"/>
      <c r="JBD34" s="191"/>
      <c r="JBE34" s="191"/>
      <c r="JBF34" s="191"/>
      <c r="JBG34" s="191"/>
      <c r="JBH34" s="191"/>
      <c r="JBI34" s="191"/>
      <c r="JBJ34" s="191"/>
      <c r="JBK34" s="191"/>
      <c r="JBL34" s="191"/>
      <c r="JBM34" s="191"/>
      <c r="JBN34" s="191"/>
      <c r="JBO34" s="191"/>
      <c r="JBP34" s="191"/>
      <c r="JBQ34" s="191"/>
      <c r="JBR34" s="191"/>
      <c r="JBS34" s="191"/>
      <c r="JBT34" s="191"/>
      <c r="JBU34" s="191"/>
      <c r="JBV34" s="191"/>
      <c r="JBW34" s="191"/>
      <c r="JBX34" s="191"/>
      <c r="JBY34" s="191"/>
      <c r="JBZ34" s="191"/>
      <c r="JCA34" s="191"/>
      <c r="JCB34" s="191"/>
      <c r="JCC34" s="191"/>
      <c r="JCD34" s="191"/>
      <c r="JCE34" s="191"/>
      <c r="JCF34" s="191"/>
      <c r="JCG34" s="191"/>
      <c r="JCH34" s="191"/>
      <c r="JCI34" s="191"/>
      <c r="JCJ34" s="191"/>
      <c r="JCK34" s="191"/>
      <c r="JCL34" s="191"/>
      <c r="JCM34" s="191"/>
      <c r="JCN34" s="191"/>
      <c r="JCO34" s="191"/>
      <c r="JCP34" s="191"/>
      <c r="JCQ34" s="191"/>
      <c r="JCR34" s="191"/>
      <c r="JCS34" s="191"/>
      <c r="JCT34" s="191"/>
      <c r="JCU34" s="191"/>
      <c r="JCV34" s="191"/>
      <c r="JCW34" s="191"/>
      <c r="JCX34" s="191"/>
      <c r="JCY34" s="191"/>
      <c r="JCZ34" s="191"/>
      <c r="JDA34" s="191"/>
      <c r="JDB34" s="191"/>
      <c r="JDC34" s="191"/>
      <c r="JDD34" s="191"/>
      <c r="JDE34" s="191"/>
      <c r="JDF34" s="191"/>
      <c r="JDG34" s="191"/>
      <c r="JDH34" s="191"/>
      <c r="JDI34" s="191"/>
      <c r="JDJ34" s="191"/>
      <c r="JDK34" s="191"/>
      <c r="JDL34" s="191"/>
      <c r="JDM34" s="191"/>
      <c r="JDN34" s="191"/>
      <c r="JDO34" s="191"/>
      <c r="JDP34" s="191"/>
      <c r="JDQ34" s="191"/>
      <c r="JDR34" s="191"/>
      <c r="JDS34" s="191"/>
      <c r="JDT34" s="191"/>
      <c r="JDU34" s="191"/>
      <c r="JDV34" s="191"/>
      <c r="JDW34" s="191"/>
      <c r="JDX34" s="191"/>
      <c r="JDY34" s="191"/>
      <c r="JDZ34" s="191"/>
      <c r="JEA34" s="191"/>
      <c r="JEB34" s="191"/>
      <c r="JEC34" s="191"/>
      <c r="JED34" s="191"/>
      <c r="JEE34" s="191"/>
      <c r="JEF34" s="191"/>
      <c r="JEG34" s="191"/>
      <c r="JEH34" s="191"/>
      <c r="JEI34" s="191"/>
      <c r="JEJ34" s="191"/>
      <c r="JEK34" s="191"/>
      <c r="JEL34" s="191"/>
      <c r="JEM34" s="191"/>
      <c r="JEN34" s="191"/>
      <c r="JEO34" s="191"/>
      <c r="JEP34" s="191"/>
      <c r="JEQ34" s="191"/>
      <c r="JER34" s="191"/>
      <c r="JES34" s="191"/>
      <c r="JET34" s="191"/>
      <c r="JEU34" s="191"/>
      <c r="JEV34" s="191"/>
      <c r="JEW34" s="191"/>
      <c r="JEX34" s="191"/>
      <c r="JEY34" s="191"/>
      <c r="JEZ34" s="191"/>
      <c r="JFA34" s="191"/>
      <c r="JFB34" s="191"/>
      <c r="JFC34" s="191"/>
      <c r="JFD34" s="191"/>
      <c r="JFE34" s="191"/>
      <c r="JFF34" s="191"/>
      <c r="JFG34" s="191"/>
      <c r="JFH34" s="191"/>
      <c r="JFI34" s="191"/>
      <c r="JFJ34" s="191"/>
      <c r="JFK34" s="191"/>
      <c r="JFL34" s="191"/>
      <c r="JFM34" s="191"/>
      <c r="JFN34" s="191"/>
      <c r="JFO34" s="191"/>
      <c r="JFP34" s="191"/>
      <c r="JFQ34" s="191"/>
      <c r="JFR34" s="191"/>
      <c r="JFS34" s="191"/>
      <c r="JFT34" s="191"/>
      <c r="JFU34" s="191"/>
      <c r="JFV34" s="191"/>
      <c r="JFW34" s="191"/>
      <c r="JFX34" s="191"/>
      <c r="JFY34" s="191"/>
      <c r="JFZ34" s="191"/>
      <c r="JGA34" s="191"/>
      <c r="JGB34" s="191"/>
      <c r="JGC34" s="191"/>
      <c r="JGD34" s="191"/>
      <c r="JGE34" s="191"/>
      <c r="JGF34" s="191"/>
      <c r="JGG34" s="191"/>
      <c r="JGH34" s="191"/>
      <c r="JGI34" s="191"/>
      <c r="JGJ34" s="191"/>
      <c r="JGK34" s="191"/>
      <c r="JGL34" s="191"/>
      <c r="JGM34" s="191"/>
      <c r="JGN34" s="191"/>
      <c r="JGO34" s="191"/>
      <c r="JGP34" s="191"/>
      <c r="JGQ34" s="191"/>
      <c r="JGR34" s="191"/>
      <c r="JGS34" s="191"/>
      <c r="JGT34" s="191"/>
      <c r="JGU34" s="191"/>
      <c r="JGV34" s="191"/>
      <c r="JGW34" s="191"/>
      <c r="JGX34" s="191"/>
      <c r="JGY34" s="191"/>
      <c r="JGZ34" s="191"/>
      <c r="JHA34" s="191"/>
      <c r="JHB34" s="191"/>
      <c r="JHC34" s="191"/>
      <c r="JHD34" s="191"/>
      <c r="JHE34" s="191"/>
      <c r="JHF34" s="191"/>
      <c r="JHG34" s="191"/>
      <c r="JHH34" s="191"/>
      <c r="JHI34" s="191"/>
      <c r="JHJ34" s="191"/>
      <c r="JHK34" s="191"/>
      <c r="JHL34" s="191"/>
      <c r="JHM34" s="191"/>
      <c r="JHN34" s="191"/>
      <c r="JHO34" s="191"/>
      <c r="JHP34" s="191"/>
      <c r="JHQ34" s="191"/>
      <c r="JHR34" s="191"/>
      <c r="JHS34" s="191"/>
      <c r="JHT34" s="191"/>
      <c r="JHU34" s="191"/>
      <c r="JHV34" s="191"/>
      <c r="JHW34" s="191"/>
      <c r="JHX34" s="191"/>
      <c r="JHY34" s="191"/>
      <c r="JHZ34" s="191"/>
      <c r="JIA34" s="191"/>
      <c r="JIB34" s="191"/>
      <c r="JIC34" s="191"/>
      <c r="JID34" s="191"/>
      <c r="JIE34" s="191"/>
      <c r="JIF34" s="191"/>
      <c r="JIG34" s="191"/>
      <c r="JIH34" s="191"/>
      <c r="JII34" s="191"/>
      <c r="JIJ34" s="191"/>
      <c r="JIK34" s="191"/>
      <c r="JIL34" s="191"/>
      <c r="JIM34" s="191"/>
      <c r="JIN34" s="191"/>
      <c r="JIO34" s="191"/>
      <c r="JIP34" s="191"/>
      <c r="JIQ34" s="191"/>
      <c r="JIR34" s="191"/>
      <c r="JIS34" s="191"/>
      <c r="JIT34" s="191"/>
      <c r="JIU34" s="191"/>
      <c r="JIV34" s="191"/>
      <c r="JIW34" s="191"/>
      <c r="JIX34" s="191"/>
      <c r="JIY34" s="191"/>
      <c r="JIZ34" s="191"/>
      <c r="JJA34" s="191"/>
      <c r="JJB34" s="191"/>
      <c r="JJC34" s="191"/>
      <c r="JJD34" s="191"/>
      <c r="JJE34" s="191"/>
      <c r="JJF34" s="191"/>
      <c r="JJG34" s="191"/>
      <c r="JJH34" s="191"/>
      <c r="JJI34" s="191"/>
      <c r="JJJ34" s="191"/>
      <c r="JJK34" s="191"/>
      <c r="JJL34" s="191"/>
      <c r="JJM34" s="191"/>
      <c r="JJN34" s="191"/>
      <c r="JJO34" s="191"/>
      <c r="JJP34" s="191"/>
      <c r="JJQ34" s="191"/>
      <c r="JJR34" s="191"/>
      <c r="JJS34" s="191"/>
      <c r="JJT34" s="191"/>
      <c r="JJU34" s="191"/>
      <c r="JJV34" s="191"/>
      <c r="JJW34" s="191"/>
      <c r="JJX34" s="191"/>
      <c r="JJY34" s="191"/>
      <c r="JJZ34" s="191"/>
      <c r="JKA34" s="191"/>
      <c r="JKB34" s="191"/>
      <c r="JKC34" s="191"/>
      <c r="JKD34" s="191"/>
      <c r="JKE34" s="191"/>
      <c r="JKF34" s="191"/>
      <c r="JKG34" s="191"/>
      <c r="JKH34" s="191"/>
      <c r="JKI34" s="191"/>
      <c r="JKJ34" s="191"/>
      <c r="JKK34" s="191"/>
      <c r="JKL34" s="191"/>
      <c r="JKM34" s="191"/>
      <c r="JKN34" s="191"/>
      <c r="JKO34" s="191"/>
      <c r="JKP34" s="191"/>
      <c r="JKQ34" s="191"/>
      <c r="JKR34" s="191"/>
      <c r="JKS34" s="191"/>
      <c r="JKT34" s="191"/>
      <c r="JKU34" s="191"/>
      <c r="JKV34" s="191"/>
      <c r="JKW34" s="191"/>
      <c r="JKX34" s="191"/>
      <c r="JKY34" s="191"/>
      <c r="JKZ34" s="191"/>
      <c r="JLA34" s="191"/>
      <c r="JLB34" s="191"/>
      <c r="JLC34" s="191"/>
      <c r="JLD34" s="191"/>
      <c r="JLE34" s="191"/>
      <c r="JLF34" s="191"/>
      <c r="JLG34" s="191"/>
      <c r="JLH34" s="191"/>
      <c r="JLI34" s="191"/>
      <c r="JLJ34" s="191"/>
      <c r="JLK34" s="191"/>
      <c r="JLL34" s="191"/>
      <c r="JLM34" s="191"/>
      <c r="JLN34" s="191"/>
      <c r="JLO34" s="191"/>
      <c r="JLP34" s="191"/>
      <c r="JLQ34" s="191"/>
      <c r="JLR34" s="191"/>
      <c r="JLS34" s="191"/>
      <c r="JLT34" s="191"/>
      <c r="JLU34" s="191"/>
      <c r="JLV34" s="191"/>
      <c r="JLW34" s="191"/>
      <c r="JLX34" s="191"/>
      <c r="JLY34" s="191"/>
      <c r="JLZ34" s="191"/>
      <c r="JMA34" s="191"/>
      <c r="JMB34" s="191"/>
      <c r="JMC34" s="191"/>
      <c r="JMD34" s="191"/>
      <c r="JME34" s="191"/>
      <c r="JMF34" s="191"/>
      <c r="JMG34" s="191"/>
      <c r="JMH34" s="191"/>
      <c r="JMI34" s="191"/>
      <c r="JMJ34" s="191"/>
      <c r="JMK34" s="191"/>
      <c r="JML34" s="191"/>
      <c r="JMM34" s="191"/>
      <c r="JMN34" s="191"/>
      <c r="JMO34" s="191"/>
      <c r="JMP34" s="191"/>
      <c r="JMQ34" s="191"/>
      <c r="JMR34" s="191"/>
      <c r="JMS34" s="191"/>
      <c r="JMT34" s="191"/>
      <c r="JMU34" s="191"/>
      <c r="JMV34" s="191"/>
      <c r="JMW34" s="191"/>
      <c r="JMX34" s="191"/>
      <c r="JMY34" s="191"/>
      <c r="JMZ34" s="191"/>
      <c r="JNA34" s="191"/>
      <c r="JNB34" s="191"/>
      <c r="JNC34" s="191"/>
      <c r="JND34" s="191"/>
      <c r="JNE34" s="191"/>
      <c r="JNF34" s="191"/>
      <c r="JNG34" s="191"/>
      <c r="JNH34" s="191"/>
      <c r="JNI34" s="191"/>
      <c r="JNJ34" s="191"/>
      <c r="JNK34" s="191"/>
      <c r="JNL34" s="191"/>
      <c r="JNM34" s="191"/>
      <c r="JNN34" s="191"/>
      <c r="JNO34" s="191"/>
      <c r="JNP34" s="191"/>
      <c r="JNQ34" s="191"/>
      <c r="JNR34" s="191"/>
      <c r="JNS34" s="191"/>
      <c r="JNT34" s="191"/>
      <c r="JNU34" s="191"/>
      <c r="JNV34" s="191"/>
      <c r="JNW34" s="191"/>
      <c r="JNX34" s="191"/>
      <c r="JNY34" s="191"/>
      <c r="JNZ34" s="191"/>
      <c r="JOA34" s="191"/>
      <c r="JOB34" s="191"/>
      <c r="JOC34" s="191"/>
      <c r="JOD34" s="191"/>
      <c r="JOE34" s="191"/>
      <c r="JOF34" s="191"/>
      <c r="JOG34" s="191"/>
      <c r="JOH34" s="191"/>
      <c r="JOI34" s="191"/>
      <c r="JOJ34" s="191"/>
      <c r="JOK34" s="191"/>
      <c r="JOL34" s="191"/>
      <c r="JOM34" s="191"/>
      <c r="JON34" s="191"/>
      <c r="JOO34" s="191"/>
      <c r="JOP34" s="191"/>
      <c r="JOQ34" s="191"/>
      <c r="JOR34" s="191"/>
      <c r="JOS34" s="191"/>
      <c r="JOT34" s="191"/>
      <c r="JOU34" s="191"/>
      <c r="JOV34" s="191"/>
      <c r="JOW34" s="191"/>
      <c r="JOX34" s="191"/>
      <c r="JOY34" s="191"/>
      <c r="JOZ34" s="191"/>
      <c r="JPA34" s="191"/>
      <c r="JPB34" s="191"/>
      <c r="JPC34" s="191"/>
      <c r="JPD34" s="191"/>
      <c r="JPE34" s="191"/>
      <c r="JPF34" s="191"/>
      <c r="JPG34" s="191"/>
      <c r="JPH34" s="191"/>
      <c r="JPI34" s="191"/>
      <c r="JPJ34" s="191"/>
      <c r="JPK34" s="191"/>
      <c r="JPL34" s="191"/>
      <c r="JPM34" s="191"/>
      <c r="JPN34" s="191"/>
      <c r="JPO34" s="191"/>
      <c r="JPP34" s="191"/>
      <c r="JPQ34" s="191"/>
      <c r="JPR34" s="191"/>
      <c r="JPS34" s="191"/>
      <c r="JPT34" s="191"/>
      <c r="JPU34" s="191"/>
      <c r="JPV34" s="191"/>
      <c r="JPW34" s="191"/>
      <c r="JPX34" s="191"/>
      <c r="JPY34" s="191"/>
      <c r="JPZ34" s="191"/>
      <c r="JQA34" s="191"/>
      <c r="JQB34" s="191"/>
      <c r="JQC34" s="191"/>
      <c r="JQD34" s="191"/>
      <c r="JQE34" s="191"/>
      <c r="JQF34" s="191"/>
      <c r="JQG34" s="191"/>
      <c r="JQH34" s="191"/>
      <c r="JQI34" s="191"/>
      <c r="JQJ34" s="191"/>
      <c r="JQK34" s="191"/>
      <c r="JQL34" s="191"/>
      <c r="JQM34" s="191"/>
      <c r="JQN34" s="191"/>
      <c r="JQO34" s="191"/>
      <c r="JQP34" s="191"/>
      <c r="JQQ34" s="191"/>
      <c r="JQR34" s="191"/>
      <c r="JQS34" s="191"/>
      <c r="JQT34" s="191"/>
      <c r="JQU34" s="191"/>
      <c r="JQV34" s="191"/>
      <c r="JQW34" s="191"/>
      <c r="JQX34" s="191"/>
      <c r="JQY34" s="191"/>
      <c r="JQZ34" s="191"/>
      <c r="JRA34" s="191"/>
      <c r="JRB34" s="191"/>
      <c r="JRC34" s="191"/>
      <c r="JRD34" s="191"/>
      <c r="JRE34" s="191"/>
      <c r="JRF34" s="191"/>
      <c r="JRG34" s="191"/>
      <c r="JRH34" s="191"/>
      <c r="JRI34" s="191"/>
      <c r="JRJ34" s="191"/>
      <c r="JRK34" s="191"/>
      <c r="JRL34" s="191"/>
      <c r="JRM34" s="191"/>
      <c r="JRN34" s="191"/>
      <c r="JRO34" s="191"/>
      <c r="JRP34" s="191"/>
      <c r="JRQ34" s="191"/>
      <c r="JRR34" s="191"/>
      <c r="JRS34" s="191"/>
      <c r="JRT34" s="191"/>
      <c r="JRU34" s="191"/>
      <c r="JRV34" s="191"/>
      <c r="JRW34" s="191"/>
      <c r="JRX34" s="191"/>
      <c r="JRY34" s="191"/>
      <c r="JRZ34" s="191"/>
      <c r="JSA34" s="191"/>
      <c r="JSB34" s="191"/>
      <c r="JSC34" s="191"/>
      <c r="JSD34" s="191"/>
      <c r="JSE34" s="191"/>
      <c r="JSF34" s="191"/>
      <c r="JSG34" s="191"/>
      <c r="JSH34" s="191"/>
      <c r="JSI34" s="191"/>
      <c r="JSJ34" s="191"/>
      <c r="JSK34" s="191"/>
      <c r="JSL34" s="191"/>
      <c r="JSM34" s="191"/>
      <c r="JSN34" s="191"/>
      <c r="JSO34" s="191"/>
      <c r="JSP34" s="191"/>
      <c r="JSQ34" s="191"/>
      <c r="JSR34" s="191"/>
      <c r="JSS34" s="191"/>
      <c r="JST34" s="191"/>
      <c r="JSU34" s="191"/>
      <c r="JSV34" s="191"/>
      <c r="JSW34" s="191"/>
      <c r="JSX34" s="191"/>
      <c r="JSY34" s="191"/>
      <c r="JSZ34" s="191"/>
      <c r="JTA34" s="191"/>
      <c r="JTB34" s="191"/>
      <c r="JTC34" s="191"/>
      <c r="JTD34" s="191"/>
      <c r="JTE34" s="191"/>
      <c r="JTF34" s="191"/>
      <c r="JTG34" s="191"/>
      <c r="JTH34" s="191"/>
      <c r="JTI34" s="191"/>
      <c r="JTJ34" s="191"/>
      <c r="JTK34" s="191"/>
      <c r="JTL34" s="191"/>
      <c r="JTM34" s="191"/>
      <c r="JTN34" s="191"/>
      <c r="JTO34" s="191"/>
      <c r="JTP34" s="191"/>
      <c r="JTQ34" s="191"/>
      <c r="JTR34" s="191"/>
      <c r="JTS34" s="191"/>
      <c r="JTT34" s="191"/>
      <c r="JTU34" s="191"/>
      <c r="JTV34" s="191"/>
      <c r="JTW34" s="191"/>
      <c r="JTX34" s="191"/>
      <c r="JTY34" s="191"/>
      <c r="JTZ34" s="191"/>
      <c r="JUA34" s="191"/>
      <c r="JUB34" s="191"/>
      <c r="JUC34" s="191"/>
      <c r="JUD34" s="191"/>
      <c r="JUE34" s="191"/>
      <c r="JUF34" s="191"/>
      <c r="JUG34" s="191"/>
      <c r="JUH34" s="191"/>
      <c r="JUI34" s="191"/>
      <c r="JUJ34" s="191"/>
      <c r="JUK34" s="191"/>
      <c r="JUL34" s="191"/>
      <c r="JUM34" s="191"/>
      <c r="JUN34" s="191"/>
      <c r="JUO34" s="191"/>
      <c r="JUP34" s="191"/>
      <c r="JUQ34" s="191"/>
      <c r="JUR34" s="191"/>
      <c r="JUS34" s="191"/>
      <c r="JUT34" s="191"/>
      <c r="JUU34" s="191"/>
      <c r="JUV34" s="191"/>
      <c r="JUW34" s="191"/>
      <c r="JUX34" s="191"/>
      <c r="JUY34" s="191"/>
      <c r="JUZ34" s="191"/>
      <c r="JVA34" s="191"/>
      <c r="JVB34" s="191"/>
      <c r="JVC34" s="191"/>
      <c r="JVD34" s="191"/>
      <c r="JVE34" s="191"/>
      <c r="JVF34" s="191"/>
      <c r="JVG34" s="191"/>
      <c r="JVH34" s="191"/>
      <c r="JVI34" s="191"/>
      <c r="JVJ34" s="191"/>
      <c r="JVK34" s="191"/>
      <c r="JVL34" s="191"/>
      <c r="JVM34" s="191"/>
      <c r="JVN34" s="191"/>
      <c r="JVO34" s="191"/>
      <c r="JVP34" s="191"/>
      <c r="JVQ34" s="191"/>
      <c r="JVR34" s="191"/>
      <c r="JVS34" s="191"/>
      <c r="JVT34" s="191"/>
      <c r="JVU34" s="191"/>
      <c r="JVV34" s="191"/>
      <c r="JVW34" s="191"/>
      <c r="JVX34" s="191"/>
      <c r="JVY34" s="191"/>
      <c r="JVZ34" s="191"/>
      <c r="JWA34" s="191"/>
      <c r="JWB34" s="191"/>
      <c r="JWC34" s="191"/>
      <c r="JWD34" s="191"/>
      <c r="JWE34" s="191"/>
      <c r="JWF34" s="191"/>
      <c r="JWG34" s="191"/>
      <c r="JWH34" s="191"/>
      <c r="JWI34" s="191"/>
      <c r="JWJ34" s="191"/>
      <c r="JWK34" s="191"/>
      <c r="JWL34" s="191"/>
      <c r="JWM34" s="191"/>
      <c r="JWN34" s="191"/>
      <c r="JWO34" s="191"/>
      <c r="JWP34" s="191"/>
      <c r="JWQ34" s="191"/>
      <c r="JWR34" s="191"/>
      <c r="JWS34" s="191"/>
      <c r="JWT34" s="191"/>
      <c r="JWU34" s="191"/>
      <c r="JWV34" s="191"/>
      <c r="JWW34" s="191"/>
      <c r="JWX34" s="191"/>
      <c r="JWY34" s="191"/>
      <c r="JWZ34" s="191"/>
      <c r="JXA34" s="191"/>
      <c r="JXB34" s="191"/>
      <c r="JXC34" s="191"/>
      <c r="JXD34" s="191"/>
      <c r="JXE34" s="191"/>
      <c r="JXF34" s="191"/>
      <c r="JXG34" s="191"/>
      <c r="JXH34" s="191"/>
      <c r="JXI34" s="191"/>
      <c r="JXJ34" s="191"/>
      <c r="JXK34" s="191"/>
      <c r="JXL34" s="191"/>
      <c r="JXM34" s="191"/>
      <c r="JXN34" s="191"/>
      <c r="JXO34" s="191"/>
      <c r="JXP34" s="191"/>
      <c r="JXQ34" s="191"/>
      <c r="JXR34" s="191"/>
      <c r="JXS34" s="191"/>
      <c r="JXT34" s="191"/>
      <c r="JXU34" s="191"/>
      <c r="JXV34" s="191"/>
      <c r="JXW34" s="191"/>
      <c r="JXX34" s="191"/>
      <c r="JXY34" s="191"/>
      <c r="JXZ34" s="191"/>
      <c r="JYA34" s="191"/>
      <c r="JYB34" s="191"/>
      <c r="JYC34" s="191"/>
      <c r="JYD34" s="191"/>
      <c r="JYE34" s="191"/>
      <c r="JYF34" s="191"/>
      <c r="JYG34" s="191"/>
      <c r="JYH34" s="191"/>
      <c r="JYI34" s="191"/>
      <c r="JYJ34" s="191"/>
      <c r="JYK34" s="191"/>
      <c r="JYL34" s="191"/>
      <c r="JYM34" s="191"/>
      <c r="JYN34" s="191"/>
      <c r="JYO34" s="191"/>
      <c r="JYP34" s="191"/>
      <c r="JYQ34" s="191"/>
      <c r="JYR34" s="191"/>
      <c r="JYS34" s="191"/>
      <c r="JYT34" s="191"/>
      <c r="JYU34" s="191"/>
      <c r="JYV34" s="191"/>
      <c r="JYW34" s="191"/>
      <c r="JYX34" s="191"/>
      <c r="JYY34" s="191"/>
      <c r="JYZ34" s="191"/>
      <c r="JZA34" s="191"/>
      <c r="JZB34" s="191"/>
      <c r="JZC34" s="191"/>
      <c r="JZD34" s="191"/>
      <c r="JZE34" s="191"/>
      <c r="JZF34" s="191"/>
      <c r="JZG34" s="191"/>
      <c r="JZH34" s="191"/>
      <c r="JZI34" s="191"/>
      <c r="JZJ34" s="191"/>
      <c r="JZK34" s="191"/>
      <c r="JZL34" s="191"/>
      <c r="JZM34" s="191"/>
      <c r="JZN34" s="191"/>
      <c r="JZO34" s="191"/>
      <c r="JZP34" s="191"/>
      <c r="JZQ34" s="191"/>
      <c r="JZR34" s="191"/>
      <c r="JZS34" s="191"/>
      <c r="JZT34" s="191"/>
      <c r="JZU34" s="191"/>
      <c r="JZV34" s="191"/>
      <c r="JZW34" s="191"/>
      <c r="JZX34" s="191"/>
      <c r="JZY34" s="191"/>
      <c r="JZZ34" s="191"/>
      <c r="KAA34" s="191"/>
      <c r="KAB34" s="191"/>
      <c r="KAC34" s="191"/>
      <c r="KAD34" s="191"/>
      <c r="KAE34" s="191"/>
      <c r="KAF34" s="191"/>
      <c r="KAG34" s="191"/>
      <c r="KAH34" s="191"/>
      <c r="KAI34" s="191"/>
      <c r="KAJ34" s="191"/>
      <c r="KAK34" s="191"/>
      <c r="KAL34" s="191"/>
      <c r="KAM34" s="191"/>
      <c r="KAN34" s="191"/>
      <c r="KAO34" s="191"/>
      <c r="KAP34" s="191"/>
      <c r="KAQ34" s="191"/>
      <c r="KAR34" s="191"/>
      <c r="KAS34" s="191"/>
      <c r="KAT34" s="191"/>
      <c r="KAU34" s="191"/>
      <c r="KAV34" s="191"/>
      <c r="KAW34" s="191"/>
      <c r="KAX34" s="191"/>
      <c r="KAY34" s="191"/>
      <c r="KAZ34" s="191"/>
      <c r="KBA34" s="191"/>
      <c r="KBB34" s="191"/>
      <c r="KBC34" s="191"/>
      <c r="KBD34" s="191"/>
      <c r="KBE34" s="191"/>
      <c r="KBF34" s="191"/>
      <c r="KBG34" s="191"/>
      <c r="KBH34" s="191"/>
      <c r="KBI34" s="191"/>
      <c r="KBJ34" s="191"/>
      <c r="KBK34" s="191"/>
      <c r="KBL34" s="191"/>
      <c r="KBM34" s="191"/>
      <c r="KBN34" s="191"/>
      <c r="KBO34" s="191"/>
      <c r="KBP34" s="191"/>
      <c r="KBQ34" s="191"/>
      <c r="KBR34" s="191"/>
      <c r="KBS34" s="191"/>
      <c r="KBT34" s="191"/>
      <c r="KBU34" s="191"/>
      <c r="KBV34" s="191"/>
      <c r="KBW34" s="191"/>
      <c r="KBX34" s="191"/>
      <c r="KBY34" s="191"/>
      <c r="KBZ34" s="191"/>
      <c r="KCA34" s="191"/>
      <c r="KCB34" s="191"/>
      <c r="KCC34" s="191"/>
      <c r="KCD34" s="191"/>
      <c r="KCE34" s="191"/>
      <c r="KCF34" s="191"/>
      <c r="KCG34" s="191"/>
      <c r="KCH34" s="191"/>
      <c r="KCI34" s="191"/>
      <c r="KCJ34" s="191"/>
      <c r="KCK34" s="191"/>
      <c r="KCL34" s="191"/>
      <c r="KCM34" s="191"/>
      <c r="KCN34" s="191"/>
      <c r="KCO34" s="191"/>
      <c r="KCP34" s="191"/>
      <c r="KCQ34" s="191"/>
      <c r="KCR34" s="191"/>
      <c r="KCS34" s="191"/>
      <c r="KCT34" s="191"/>
      <c r="KCU34" s="191"/>
      <c r="KCV34" s="191"/>
      <c r="KCW34" s="191"/>
      <c r="KCX34" s="191"/>
      <c r="KCY34" s="191"/>
      <c r="KCZ34" s="191"/>
      <c r="KDA34" s="191"/>
      <c r="KDB34" s="191"/>
      <c r="KDC34" s="191"/>
      <c r="KDD34" s="191"/>
      <c r="KDE34" s="191"/>
      <c r="KDF34" s="191"/>
      <c r="KDG34" s="191"/>
      <c r="KDH34" s="191"/>
      <c r="KDI34" s="191"/>
      <c r="KDJ34" s="191"/>
      <c r="KDK34" s="191"/>
      <c r="KDL34" s="191"/>
      <c r="KDM34" s="191"/>
      <c r="KDN34" s="191"/>
      <c r="KDO34" s="191"/>
      <c r="KDP34" s="191"/>
      <c r="KDQ34" s="191"/>
      <c r="KDR34" s="191"/>
      <c r="KDS34" s="191"/>
      <c r="KDT34" s="191"/>
      <c r="KDU34" s="191"/>
      <c r="KDV34" s="191"/>
      <c r="KDW34" s="191"/>
      <c r="KDX34" s="191"/>
      <c r="KDY34" s="191"/>
      <c r="KDZ34" s="191"/>
      <c r="KEA34" s="191"/>
      <c r="KEB34" s="191"/>
      <c r="KEC34" s="191"/>
      <c r="KED34" s="191"/>
      <c r="KEE34" s="191"/>
      <c r="KEF34" s="191"/>
      <c r="KEG34" s="191"/>
      <c r="KEH34" s="191"/>
      <c r="KEI34" s="191"/>
      <c r="KEJ34" s="191"/>
      <c r="KEK34" s="191"/>
      <c r="KEL34" s="191"/>
      <c r="KEM34" s="191"/>
      <c r="KEN34" s="191"/>
      <c r="KEO34" s="191"/>
      <c r="KEP34" s="191"/>
      <c r="KEQ34" s="191"/>
      <c r="KER34" s="191"/>
      <c r="KES34" s="191"/>
      <c r="KET34" s="191"/>
      <c r="KEU34" s="191"/>
      <c r="KEV34" s="191"/>
      <c r="KEW34" s="191"/>
      <c r="KEX34" s="191"/>
      <c r="KEY34" s="191"/>
      <c r="KEZ34" s="191"/>
      <c r="KFA34" s="191"/>
      <c r="KFB34" s="191"/>
      <c r="KFC34" s="191"/>
      <c r="KFD34" s="191"/>
      <c r="KFE34" s="191"/>
      <c r="KFF34" s="191"/>
      <c r="KFG34" s="191"/>
      <c r="KFH34" s="191"/>
      <c r="KFI34" s="191"/>
      <c r="KFJ34" s="191"/>
      <c r="KFK34" s="191"/>
      <c r="KFL34" s="191"/>
      <c r="KFM34" s="191"/>
      <c r="KFN34" s="191"/>
      <c r="KFO34" s="191"/>
      <c r="KFP34" s="191"/>
      <c r="KFQ34" s="191"/>
      <c r="KFR34" s="191"/>
      <c r="KFS34" s="191"/>
      <c r="KFT34" s="191"/>
      <c r="KFU34" s="191"/>
      <c r="KFV34" s="191"/>
      <c r="KFW34" s="191"/>
      <c r="KFX34" s="191"/>
      <c r="KFY34" s="191"/>
      <c r="KFZ34" s="191"/>
      <c r="KGA34" s="191"/>
      <c r="KGB34" s="191"/>
      <c r="KGC34" s="191"/>
      <c r="KGD34" s="191"/>
      <c r="KGE34" s="191"/>
      <c r="KGF34" s="191"/>
      <c r="KGG34" s="191"/>
      <c r="KGH34" s="191"/>
      <c r="KGI34" s="191"/>
      <c r="KGJ34" s="191"/>
      <c r="KGK34" s="191"/>
      <c r="KGL34" s="191"/>
      <c r="KGM34" s="191"/>
      <c r="KGN34" s="191"/>
      <c r="KGO34" s="191"/>
      <c r="KGP34" s="191"/>
      <c r="KGQ34" s="191"/>
      <c r="KGR34" s="191"/>
      <c r="KGS34" s="191"/>
      <c r="KGT34" s="191"/>
      <c r="KGU34" s="191"/>
      <c r="KGV34" s="191"/>
      <c r="KGW34" s="191"/>
      <c r="KGX34" s="191"/>
      <c r="KGY34" s="191"/>
      <c r="KGZ34" s="191"/>
      <c r="KHA34" s="191"/>
      <c r="KHB34" s="191"/>
      <c r="KHC34" s="191"/>
      <c r="KHD34" s="191"/>
      <c r="KHE34" s="191"/>
      <c r="KHF34" s="191"/>
      <c r="KHG34" s="191"/>
      <c r="KHH34" s="191"/>
      <c r="KHI34" s="191"/>
      <c r="KHJ34" s="191"/>
      <c r="KHK34" s="191"/>
      <c r="KHL34" s="191"/>
      <c r="KHM34" s="191"/>
      <c r="KHN34" s="191"/>
      <c r="KHO34" s="191"/>
      <c r="KHP34" s="191"/>
      <c r="KHQ34" s="191"/>
      <c r="KHR34" s="191"/>
      <c r="KHS34" s="191"/>
      <c r="KHT34" s="191"/>
      <c r="KHU34" s="191"/>
      <c r="KHV34" s="191"/>
      <c r="KHW34" s="191"/>
      <c r="KHX34" s="191"/>
      <c r="KHY34" s="191"/>
      <c r="KHZ34" s="191"/>
      <c r="KIA34" s="191"/>
      <c r="KIB34" s="191"/>
      <c r="KIC34" s="191"/>
      <c r="KID34" s="191"/>
      <c r="KIE34" s="191"/>
      <c r="KIF34" s="191"/>
      <c r="KIG34" s="191"/>
      <c r="KIH34" s="191"/>
      <c r="KII34" s="191"/>
      <c r="KIJ34" s="191"/>
      <c r="KIK34" s="191"/>
      <c r="KIL34" s="191"/>
      <c r="KIM34" s="191"/>
      <c r="KIN34" s="191"/>
      <c r="KIO34" s="191"/>
      <c r="KIP34" s="191"/>
      <c r="KIQ34" s="191"/>
      <c r="KIR34" s="191"/>
      <c r="KIS34" s="191"/>
      <c r="KIT34" s="191"/>
      <c r="KIU34" s="191"/>
      <c r="KIV34" s="191"/>
      <c r="KIW34" s="191"/>
      <c r="KIX34" s="191"/>
      <c r="KIY34" s="191"/>
      <c r="KIZ34" s="191"/>
      <c r="KJA34" s="191"/>
      <c r="KJB34" s="191"/>
      <c r="KJC34" s="191"/>
      <c r="KJD34" s="191"/>
      <c r="KJE34" s="191"/>
      <c r="KJF34" s="191"/>
      <c r="KJG34" s="191"/>
      <c r="KJH34" s="191"/>
      <c r="KJI34" s="191"/>
      <c r="KJJ34" s="191"/>
      <c r="KJK34" s="191"/>
      <c r="KJL34" s="191"/>
      <c r="KJM34" s="191"/>
      <c r="KJN34" s="191"/>
      <c r="KJO34" s="191"/>
      <c r="KJP34" s="191"/>
      <c r="KJQ34" s="191"/>
      <c r="KJR34" s="191"/>
      <c r="KJS34" s="191"/>
      <c r="KJT34" s="191"/>
      <c r="KJU34" s="191"/>
      <c r="KJV34" s="191"/>
      <c r="KJW34" s="191"/>
      <c r="KJX34" s="191"/>
      <c r="KJY34" s="191"/>
      <c r="KJZ34" s="191"/>
      <c r="KKA34" s="191"/>
      <c r="KKB34" s="191"/>
      <c r="KKC34" s="191"/>
      <c r="KKD34" s="191"/>
      <c r="KKE34" s="191"/>
      <c r="KKF34" s="191"/>
      <c r="KKG34" s="191"/>
      <c r="KKH34" s="191"/>
      <c r="KKI34" s="191"/>
      <c r="KKJ34" s="191"/>
      <c r="KKK34" s="191"/>
      <c r="KKL34" s="191"/>
      <c r="KKM34" s="191"/>
      <c r="KKN34" s="191"/>
      <c r="KKO34" s="191"/>
      <c r="KKP34" s="191"/>
      <c r="KKQ34" s="191"/>
      <c r="KKR34" s="191"/>
      <c r="KKS34" s="191"/>
      <c r="KKT34" s="191"/>
      <c r="KKU34" s="191"/>
      <c r="KKV34" s="191"/>
      <c r="KKW34" s="191"/>
      <c r="KKX34" s="191"/>
      <c r="KKY34" s="191"/>
      <c r="KKZ34" s="191"/>
      <c r="KLA34" s="191"/>
      <c r="KLB34" s="191"/>
      <c r="KLC34" s="191"/>
      <c r="KLD34" s="191"/>
      <c r="KLE34" s="191"/>
      <c r="KLF34" s="191"/>
      <c r="KLG34" s="191"/>
      <c r="KLH34" s="191"/>
      <c r="KLI34" s="191"/>
      <c r="KLJ34" s="191"/>
      <c r="KLK34" s="191"/>
      <c r="KLL34" s="191"/>
      <c r="KLM34" s="191"/>
      <c r="KLN34" s="191"/>
      <c r="KLO34" s="191"/>
      <c r="KLP34" s="191"/>
      <c r="KLQ34" s="191"/>
      <c r="KLR34" s="191"/>
      <c r="KLS34" s="191"/>
      <c r="KLT34" s="191"/>
      <c r="KLU34" s="191"/>
      <c r="KLV34" s="191"/>
      <c r="KLW34" s="191"/>
      <c r="KLX34" s="191"/>
      <c r="KLY34" s="191"/>
      <c r="KLZ34" s="191"/>
      <c r="KMA34" s="191"/>
      <c r="KMB34" s="191"/>
      <c r="KMC34" s="191"/>
      <c r="KMD34" s="191"/>
      <c r="KME34" s="191"/>
      <c r="KMF34" s="191"/>
      <c r="KMG34" s="191"/>
      <c r="KMH34" s="191"/>
      <c r="KMI34" s="191"/>
      <c r="KMJ34" s="191"/>
      <c r="KMK34" s="191"/>
      <c r="KML34" s="191"/>
      <c r="KMM34" s="191"/>
      <c r="KMN34" s="191"/>
      <c r="KMO34" s="191"/>
      <c r="KMP34" s="191"/>
      <c r="KMQ34" s="191"/>
      <c r="KMR34" s="191"/>
      <c r="KMS34" s="191"/>
      <c r="KMT34" s="191"/>
      <c r="KMU34" s="191"/>
      <c r="KMV34" s="191"/>
      <c r="KMW34" s="191"/>
      <c r="KMX34" s="191"/>
      <c r="KMY34" s="191"/>
      <c r="KMZ34" s="191"/>
      <c r="KNA34" s="191"/>
      <c r="KNB34" s="191"/>
      <c r="KNC34" s="191"/>
      <c r="KND34" s="191"/>
      <c r="KNE34" s="191"/>
      <c r="KNF34" s="191"/>
      <c r="KNG34" s="191"/>
      <c r="KNH34" s="191"/>
      <c r="KNI34" s="191"/>
      <c r="KNJ34" s="191"/>
      <c r="KNK34" s="191"/>
      <c r="KNL34" s="191"/>
      <c r="KNM34" s="191"/>
      <c r="KNN34" s="191"/>
      <c r="KNO34" s="191"/>
      <c r="KNP34" s="191"/>
      <c r="KNQ34" s="191"/>
      <c r="KNR34" s="191"/>
      <c r="KNS34" s="191"/>
      <c r="KNT34" s="191"/>
      <c r="KNU34" s="191"/>
      <c r="KNV34" s="191"/>
      <c r="KNW34" s="191"/>
      <c r="KNX34" s="191"/>
      <c r="KNY34" s="191"/>
      <c r="KNZ34" s="191"/>
      <c r="KOA34" s="191"/>
      <c r="KOB34" s="191"/>
      <c r="KOC34" s="191"/>
      <c r="KOD34" s="191"/>
      <c r="KOE34" s="191"/>
      <c r="KOF34" s="191"/>
      <c r="KOG34" s="191"/>
      <c r="KOH34" s="191"/>
      <c r="KOI34" s="191"/>
      <c r="KOJ34" s="191"/>
      <c r="KOK34" s="191"/>
      <c r="KOL34" s="191"/>
      <c r="KOM34" s="191"/>
      <c r="KON34" s="191"/>
      <c r="KOO34" s="191"/>
      <c r="KOP34" s="191"/>
      <c r="KOQ34" s="191"/>
      <c r="KOR34" s="191"/>
      <c r="KOS34" s="191"/>
      <c r="KOT34" s="191"/>
      <c r="KOU34" s="191"/>
      <c r="KOV34" s="191"/>
      <c r="KOW34" s="191"/>
      <c r="KOX34" s="191"/>
      <c r="KOY34" s="191"/>
      <c r="KOZ34" s="191"/>
      <c r="KPA34" s="191"/>
      <c r="KPB34" s="191"/>
      <c r="KPC34" s="191"/>
      <c r="KPD34" s="191"/>
      <c r="KPE34" s="191"/>
      <c r="KPF34" s="191"/>
      <c r="KPG34" s="191"/>
      <c r="KPH34" s="191"/>
      <c r="KPI34" s="191"/>
      <c r="KPJ34" s="191"/>
      <c r="KPK34" s="191"/>
      <c r="KPL34" s="191"/>
      <c r="KPM34" s="191"/>
      <c r="KPN34" s="191"/>
      <c r="KPO34" s="191"/>
      <c r="KPP34" s="191"/>
      <c r="KPQ34" s="191"/>
      <c r="KPR34" s="191"/>
      <c r="KPS34" s="191"/>
      <c r="KPT34" s="191"/>
      <c r="KPU34" s="191"/>
      <c r="KPV34" s="191"/>
      <c r="KPW34" s="191"/>
      <c r="KPX34" s="191"/>
      <c r="KPY34" s="191"/>
      <c r="KPZ34" s="191"/>
      <c r="KQA34" s="191"/>
      <c r="KQB34" s="191"/>
      <c r="KQC34" s="191"/>
      <c r="KQD34" s="191"/>
      <c r="KQE34" s="191"/>
      <c r="KQF34" s="191"/>
      <c r="KQG34" s="191"/>
      <c r="KQH34" s="191"/>
      <c r="KQI34" s="191"/>
      <c r="KQJ34" s="191"/>
      <c r="KQK34" s="191"/>
      <c r="KQL34" s="191"/>
      <c r="KQM34" s="191"/>
      <c r="KQN34" s="191"/>
      <c r="KQO34" s="191"/>
      <c r="KQP34" s="191"/>
      <c r="KQQ34" s="191"/>
      <c r="KQR34" s="191"/>
      <c r="KQS34" s="191"/>
      <c r="KQT34" s="191"/>
      <c r="KQU34" s="191"/>
      <c r="KQV34" s="191"/>
      <c r="KQW34" s="191"/>
      <c r="KQX34" s="191"/>
      <c r="KQY34" s="191"/>
      <c r="KQZ34" s="191"/>
      <c r="KRA34" s="191"/>
      <c r="KRB34" s="191"/>
      <c r="KRC34" s="191"/>
      <c r="KRD34" s="191"/>
      <c r="KRE34" s="191"/>
      <c r="KRF34" s="191"/>
      <c r="KRG34" s="191"/>
      <c r="KRH34" s="191"/>
      <c r="KRI34" s="191"/>
      <c r="KRJ34" s="191"/>
      <c r="KRK34" s="191"/>
      <c r="KRL34" s="191"/>
      <c r="KRM34" s="191"/>
      <c r="KRN34" s="191"/>
      <c r="KRO34" s="191"/>
      <c r="KRP34" s="191"/>
      <c r="KRQ34" s="191"/>
      <c r="KRR34" s="191"/>
      <c r="KRS34" s="191"/>
      <c r="KRT34" s="191"/>
      <c r="KRU34" s="191"/>
      <c r="KRV34" s="191"/>
      <c r="KRW34" s="191"/>
      <c r="KRX34" s="191"/>
      <c r="KRY34" s="191"/>
      <c r="KRZ34" s="191"/>
      <c r="KSA34" s="191"/>
      <c r="KSB34" s="191"/>
      <c r="KSC34" s="191"/>
      <c r="KSD34" s="191"/>
      <c r="KSE34" s="191"/>
      <c r="KSF34" s="191"/>
      <c r="KSG34" s="191"/>
      <c r="KSH34" s="191"/>
      <c r="KSI34" s="191"/>
      <c r="KSJ34" s="191"/>
      <c r="KSK34" s="191"/>
      <c r="KSL34" s="191"/>
      <c r="KSM34" s="191"/>
      <c r="KSN34" s="191"/>
      <c r="KSO34" s="191"/>
      <c r="KSP34" s="191"/>
      <c r="KSQ34" s="191"/>
      <c r="KSR34" s="191"/>
      <c r="KSS34" s="191"/>
      <c r="KST34" s="191"/>
      <c r="KSU34" s="191"/>
      <c r="KSV34" s="191"/>
      <c r="KSW34" s="191"/>
      <c r="KSX34" s="191"/>
      <c r="KSY34" s="191"/>
      <c r="KSZ34" s="191"/>
      <c r="KTA34" s="191"/>
      <c r="KTB34" s="191"/>
      <c r="KTC34" s="191"/>
      <c r="KTD34" s="191"/>
      <c r="KTE34" s="191"/>
      <c r="KTF34" s="191"/>
      <c r="KTG34" s="191"/>
      <c r="KTH34" s="191"/>
      <c r="KTI34" s="191"/>
      <c r="KTJ34" s="191"/>
      <c r="KTK34" s="191"/>
      <c r="KTL34" s="191"/>
      <c r="KTM34" s="191"/>
      <c r="KTN34" s="191"/>
      <c r="KTO34" s="191"/>
      <c r="KTP34" s="191"/>
      <c r="KTQ34" s="191"/>
      <c r="KTR34" s="191"/>
      <c r="KTS34" s="191"/>
      <c r="KTT34" s="191"/>
      <c r="KTU34" s="191"/>
      <c r="KTV34" s="191"/>
      <c r="KTW34" s="191"/>
      <c r="KTX34" s="191"/>
      <c r="KTY34" s="191"/>
      <c r="KTZ34" s="191"/>
      <c r="KUA34" s="191"/>
      <c r="KUB34" s="191"/>
      <c r="KUC34" s="191"/>
      <c r="KUD34" s="191"/>
      <c r="KUE34" s="191"/>
      <c r="KUF34" s="191"/>
      <c r="KUG34" s="191"/>
      <c r="KUH34" s="191"/>
      <c r="KUI34" s="191"/>
      <c r="KUJ34" s="191"/>
      <c r="KUK34" s="191"/>
      <c r="KUL34" s="191"/>
      <c r="KUM34" s="191"/>
      <c r="KUN34" s="191"/>
      <c r="KUO34" s="191"/>
      <c r="KUP34" s="191"/>
      <c r="KUQ34" s="191"/>
      <c r="KUR34" s="191"/>
      <c r="KUS34" s="191"/>
      <c r="KUT34" s="191"/>
      <c r="KUU34" s="191"/>
      <c r="KUV34" s="191"/>
      <c r="KUW34" s="191"/>
      <c r="KUX34" s="191"/>
      <c r="KUY34" s="191"/>
      <c r="KUZ34" s="191"/>
      <c r="KVA34" s="191"/>
      <c r="KVB34" s="191"/>
      <c r="KVC34" s="191"/>
      <c r="KVD34" s="191"/>
      <c r="KVE34" s="191"/>
      <c r="KVF34" s="191"/>
      <c r="KVG34" s="191"/>
      <c r="KVH34" s="191"/>
      <c r="KVI34" s="191"/>
      <c r="KVJ34" s="191"/>
      <c r="KVK34" s="191"/>
      <c r="KVL34" s="191"/>
      <c r="KVM34" s="191"/>
      <c r="KVN34" s="191"/>
      <c r="KVO34" s="191"/>
      <c r="KVP34" s="191"/>
      <c r="KVQ34" s="191"/>
      <c r="KVR34" s="191"/>
      <c r="KVS34" s="191"/>
      <c r="KVT34" s="191"/>
      <c r="KVU34" s="191"/>
      <c r="KVV34" s="191"/>
      <c r="KVW34" s="191"/>
      <c r="KVX34" s="191"/>
      <c r="KVY34" s="191"/>
      <c r="KVZ34" s="191"/>
      <c r="KWA34" s="191"/>
      <c r="KWB34" s="191"/>
      <c r="KWC34" s="191"/>
      <c r="KWD34" s="191"/>
      <c r="KWE34" s="191"/>
      <c r="KWF34" s="191"/>
      <c r="KWG34" s="191"/>
      <c r="KWH34" s="191"/>
      <c r="KWI34" s="191"/>
      <c r="KWJ34" s="191"/>
      <c r="KWK34" s="191"/>
      <c r="KWL34" s="191"/>
      <c r="KWM34" s="191"/>
      <c r="KWN34" s="191"/>
      <c r="KWO34" s="191"/>
      <c r="KWP34" s="191"/>
      <c r="KWQ34" s="191"/>
      <c r="KWR34" s="191"/>
      <c r="KWS34" s="191"/>
      <c r="KWT34" s="191"/>
      <c r="KWU34" s="191"/>
      <c r="KWV34" s="191"/>
      <c r="KWW34" s="191"/>
      <c r="KWX34" s="191"/>
      <c r="KWY34" s="191"/>
      <c r="KWZ34" s="191"/>
      <c r="KXA34" s="191"/>
      <c r="KXB34" s="191"/>
      <c r="KXC34" s="191"/>
      <c r="KXD34" s="191"/>
      <c r="KXE34" s="191"/>
      <c r="KXF34" s="191"/>
      <c r="KXG34" s="191"/>
      <c r="KXH34" s="191"/>
      <c r="KXI34" s="191"/>
      <c r="KXJ34" s="191"/>
      <c r="KXK34" s="191"/>
      <c r="KXL34" s="191"/>
      <c r="KXM34" s="191"/>
      <c r="KXN34" s="191"/>
      <c r="KXO34" s="191"/>
      <c r="KXP34" s="191"/>
      <c r="KXQ34" s="191"/>
      <c r="KXR34" s="191"/>
      <c r="KXS34" s="191"/>
      <c r="KXT34" s="191"/>
      <c r="KXU34" s="191"/>
      <c r="KXV34" s="191"/>
      <c r="KXW34" s="191"/>
      <c r="KXX34" s="191"/>
      <c r="KXY34" s="191"/>
      <c r="KXZ34" s="191"/>
      <c r="KYA34" s="191"/>
      <c r="KYB34" s="191"/>
      <c r="KYC34" s="191"/>
      <c r="KYD34" s="191"/>
      <c r="KYE34" s="191"/>
      <c r="KYF34" s="191"/>
      <c r="KYG34" s="191"/>
      <c r="KYH34" s="191"/>
      <c r="KYI34" s="191"/>
      <c r="KYJ34" s="191"/>
      <c r="KYK34" s="191"/>
      <c r="KYL34" s="191"/>
      <c r="KYM34" s="191"/>
      <c r="KYN34" s="191"/>
      <c r="KYO34" s="191"/>
      <c r="KYP34" s="191"/>
      <c r="KYQ34" s="191"/>
      <c r="KYR34" s="191"/>
      <c r="KYS34" s="191"/>
      <c r="KYT34" s="191"/>
      <c r="KYU34" s="191"/>
      <c r="KYV34" s="191"/>
      <c r="KYW34" s="191"/>
      <c r="KYX34" s="191"/>
      <c r="KYY34" s="191"/>
      <c r="KYZ34" s="191"/>
      <c r="KZA34" s="191"/>
      <c r="KZB34" s="191"/>
      <c r="KZC34" s="191"/>
      <c r="KZD34" s="191"/>
      <c r="KZE34" s="191"/>
      <c r="KZF34" s="191"/>
      <c r="KZG34" s="191"/>
      <c r="KZH34" s="191"/>
      <c r="KZI34" s="191"/>
      <c r="KZJ34" s="191"/>
      <c r="KZK34" s="191"/>
      <c r="KZL34" s="191"/>
      <c r="KZM34" s="191"/>
      <c r="KZN34" s="191"/>
      <c r="KZO34" s="191"/>
      <c r="KZP34" s="191"/>
      <c r="KZQ34" s="191"/>
      <c r="KZR34" s="191"/>
      <c r="KZS34" s="191"/>
      <c r="KZT34" s="191"/>
      <c r="KZU34" s="191"/>
      <c r="KZV34" s="191"/>
      <c r="KZW34" s="191"/>
      <c r="KZX34" s="191"/>
      <c r="KZY34" s="191"/>
      <c r="KZZ34" s="191"/>
      <c r="LAA34" s="191"/>
      <c r="LAB34" s="191"/>
      <c r="LAC34" s="191"/>
      <c r="LAD34" s="191"/>
      <c r="LAE34" s="191"/>
      <c r="LAF34" s="191"/>
      <c r="LAG34" s="191"/>
      <c r="LAH34" s="191"/>
      <c r="LAI34" s="191"/>
      <c r="LAJ34" s="191"/>
      <c r="LAK34" s="191"/>
      <c r="LAL34" s="191"/>
      <c r="LAM34" s="191"/>
      <c r="LAN34" s="191"/>
      <c r="LAO34" s="191"/>
      <c r="LAP34" s="191"/>
      <c r="LAQ34" s="191"/>
      <c r="LAR34" s="191"/>
      <c r="LAS34" s="191"/>
      <c r="LAT34" s="191"/>
      <c r="LAU34" s="191"/>
      <c r="LAV34" s="191"/>
      <c r="LAW34" s="191"/>
      <c r="LAX34" s="191"/>
      <c r="LAY34" s="191"/>
      <c r="LAZ34" s="191"/>
      <c r="LBA34" s="191"/>
      <c r="LBB34" s="191"/>
      <c r="LBC34" s="191"/>
      <c r="LBD34" s="191"/>
      <c r="LBE34" s="191"/>
      <c r="LBF34" s="191"/>
      <c r="LBG34" s="191"/>
      <c r="LBH34" s="191"/>
      <c r="LBI34" s="191"/>
      <c r="LBJ34" s="191"/>
      <c r="LBK34" s="191"/>
      <c r="LBL34" s="191"/>
      <c r="LBM34" s="191"/>
      <c r="LBN34" s="191"/>
      <c r="LBO34" s="191"/>
      <c r="LBP34" s="191"/>
      <c r="LBQ34" s="191"/>
      <c r="LBR34" s="191"/>
      <c r="LBS34" s="191"/>
      <c r="LBT34" s="191"/>
      <c r="LBU34" s="191"/>
      <c r="LBV34" s="191"/>
      <c r="LBW34" s="191"/>
      <c r="LBX34" s="191"/>
      <c r="LBY34" s="191"/>
      <c r="LBZ34" s="191"/>
      <c r="LCA34" s="191"/>
      <c r="LCB34" s="191"/>
      <c r="LCC34" s="191"/>
      <c r="LCD34" s="191"/>
      <c r="LCE34" s="191"/>
      <c r="LCF34" s="191"/>
      <c r="LCG34" s="191"/>
      <c r="LCH34" s="191"/>
      <c r="LCI34" s="191"/>
      <c r="LCJ34" s="191"/>
      <c r="LCK34" s="191"/>
      <c r="LCL34" s="191"/>
      <c r="LCM34" s="191"/>
      <c r="LCN34" s="191"/>
      <c r="LCO34" s="191"/>
      <c r="LCP34" s="191"/>
      <c r="LCQ34" s="191"/>
      <c r="LCR34" s="191"/>
      <c r="LCS34" s="191"/>
      <c r="LCT34" s="191"/>
      <c r="LCU34" s="191"/>
      <c r="LCV34" s="191"/>
      <c r="LCW34" s="191"/>
      <c r="LCX34" s="191"/>
      <c r="LCY34" s="191"/>
      <c r="LCZ34" s="191"/>
      <c r="LDA34" s="191"/>
      <c r="LDB34" s="191"/>
      <c r="LDC34" s="191"/>
      <c r="LDD34" s="191"/>
      <c r="LDE34" s="191"/>
      <c r="LDF34" s="191"/>
      <c r="LDG34" s="191"/>
      <c r="LDH34" s="191"/>
      <c r="LDI34" s="191"/>
      <c r="LDJ34" s="191"/>
      <c r="LDK34" s="191"/>
      <c r="LDL34" s="191"/>
      <c r="LDM34" s="191"/>
      <c r="LDN34" s="191"/>
      <c r="LDO34" s="191"/>
      <c r="LDP34" s="191"/>
      <c r="LDQ34" s="191"/>
      <c r="LDR34" s="191"/>
      <c r="LDS34" s="191"/>
      <c r="LDT34" s="191"/>
      <c r="LDU34" s="191"/>
      <c r="LDV34" s="191"/>
      <c r="LDW34" s="191"/>
      <c r="LDX34" s="191"/>
      <c r="LDY34" s="191"/>
      <c r="LDZ34" s="191"/>
      <c r="LEA34" s="191"/>
      <c r="LEB34" s="191"/>
      <c r="LEC34" s="191"/>
      <c r="LED34" s="191"/>
      <c r="LEE34" s="191"/>
      <c r="LEF34" s="191"/>
      <c r="LEG34" s="191"/>
      <c r="LEH34" s="191"/>
      <c r="LEI34" s="191"/>
      <c r="LEJ34" s="191"/>
      <c r="LEK34" s="191"/>
      <c r="LEL34" s="191"/>
      <c r="LEM34" s="191"/>
      <c r="LEN34" s="191"/>
      <c r="LEO34" s="191"/>
      <c r="LEP34" s="191"/>
      <c r="LEQ34" s="191"/>
      <c r="LER34" s="191"/>
      <c r="LES34" s="191"/>
      <c r="LET34" s="191"/>
      <c r="LEU34" s="191"/>
      <c r="LEV34" s="191"/>
      <c r="LEW34" s="191"/>
      <c r="LEX34" s="191"/>
      <c r="LEY34" s="191"/>
      <c r="LEZ34" s="191"/>
      <c r="LFA34" s="191"/>
      <c r="LFB34" s="191"/>
      <c r="LFC34" s="191"/>
      <c r="LFD34" s="191"/>
      <c r="LFE34" s="191"/>
      <c r="LFF34" s="191"/>
      <c r="LFG34" s="191"/>
      <c r="LFH34" s="191"/>
      <c r="LFI34" s="191"/>
      <c r="LFJ34" s="191"/>
      <c r="LFK34" s="191"/>
      <c r="LFL34" s="191"/>
      <c r="LFM34" s="191"/>
      <c r="LFN34" s="191"/>
      <c r="LFO34" s="191"/>
      <c r="LFP34" s="191"/>
      <c r="LFQ34" s="191"/>
      <c r="LFR34" s="191"/>
      <c r="LFS34" s="191"/>
      <c r="LFT34" s="191"/>
      <c r="LFU34" s="191"/>
      <c r="LFV34" s="191"/>
      <c r="LFW34" s="191"/>
      <c r="LFX34" s="191"/>
      <c r="LFY34" s="191"/>
      <c r="LFZ34" s="191"/>
      <c r="LGA34" s="191"/>
      <c r="LGB34" s="191"/>
      <c r="LGC34" s="191"/>
      <c r="LGD34" s="191"/>
      <c r="LGE34" s="191"/>
      <c r="LGF34" s="191"/>
      <c r="LGG34" s="191"/>
      <c r="LGH34" s="191"/>
      <c r="LGI34" s="191"/>
      <c r="LGJ34" s="191"/>
      <c r="LGK34" s="191"/>
      <c r="LGL34" s="191"/>
      <c r="LGM34" s="191"/>
      <c r="LGN34" s="191"/>
      <c r="LGO34" s="191"/>
      <c r="LGP34" s="191"/>
      <c r="LGQ34" s="191"/>
      <c r="LGR34" s="191"/>
      <c r="LGS34" s="191"/>
      <c r="LGT34" s="191"/>
      <c r="LGU34" s="191"/>
      <c r="LGV34" s="191"/>
      <c r="LGW34" s="191"/>
      <c r="LGX34" s="191"/>
      <c r="LGY34" s="191"/>
      <c r="LGZ34" s="191"/>
      <c r="LHA34" s="191"/>
      <c r="LHB34" s="191"/>
      <c r="LHC34" s="191"/>
      <c r="LHD34" s="191"/>
      <c r="LHE34" s="191"/>
      <c r="LHF34" s="191"/>
      <c r="LHG34" s="191"/>
      <c r="LHH34" s="191"/>
      <c r="LHI34" s="191"/>
      <c r="LHJ34" s="191"/>
      <c r="LHK34" s="191"/>
      <c r="LHL34" s="191"/>
      <c r="LHM34" s="191"/>
      <c r="LHN34" s="191"/>
      <c r="LHO34" s="191"/>
      <c r="LHP34" s="191"/>
      <c r="LHQ34" s="191"/>
      <c r="LHR34" s="191"/>
      <c r="LHS34" s="191"/>
      <c r="LHT34" s="191"/>
      <c r="LHU34" s="191"/>
      <c r="LHV34" s="191"/>
      <c r="LHW34" s="191"/>
      <c r="LHX34" s="191"/>
      <c r="LHY34" s="191"/>
      <c r="LHZ34" s="191"/>
      <c r="LIA34" s="191"/>
      <c r="LIB34" s="191"/>
      <c r="LIC34" s="191"/>
      <c r="LID34" s="191"/>
      <c r="LIE34" s="191"/>
      <c r="LIF34" s="191"/>
      <c r="LIG34" s="191"/>
      <c r="LIH34" s="191"/>
      <c r="LII34" s="191"/>
      <c r="LIJ34" s="191"/>
      <c r="LIK34" s="191"/>
      <c r="LIL34" s="191"/>
      <c r="LIM34" s="191"/>
      <c r="LIN34" s="191"/>
      <c r="LIO34" s="191"/>
      <c r="LIP34" s="191"/>
      <c r="LIQ34" s="191"/>
      <c r="LIR34" s="191"/>
      <c r="LIS34" s="191"/>
      <c r="LIT34" s="191"/>
      <c r="LIU34" s="191"/>
      <c r="LIV34" s="191"/>
      <c r="LIW34" s="191"/>
      <c r="LIX34" s="191"/>
      <c r="LIY34" s="191"/>
      <c r="LIZ34" s="191"/>
      <c r="LJA34" s="191"/>
      <c r="LJB34" s="191"/>
      <c r="LJC34" s="191"/>
      <c r="LJD34" s="191"/>
      <c r="LJE34" s="191"/>
      <c r="LJF34" s="191"/>
      <c r="LJG34" s="191"/>
      <c r="LJH34" s="191"/>
      <c r="LJI34" s="191"/>
      <c r="LJJ34" s="191"/>
      <c r="LJK34" s="191"/>
      <c r="LJL34" s="191"/>
      <c r="LJM34" s="191"/>
      <c r="LJN34" s="191"/>
      <c r="LJO34" s="191"/>
      <c r="LJP34" s="191"/>
      <c r="LJQ34" s="191"/>
      <c r="LJR34" s="191"/>
      <c r="LJS34" s="191"/>
      <c r="LJT34" s="191"/>
      <c r="LJU34" s="191"/>
      <c r="LJV34" s="191"/>
      <c r="LJW34" s="191"/>
      <c r="LJX34" s="191"/>
      <c r="LJY34" s="191"/>
      <c r="LJZ34" s="191"/>
      <c r="LKA34" s="191"/>
      <c r="LKB34" s="191"/>
      <c r="LKC34" s="191"/>
      <c r="LKD34" s="191"/>
      <c r="LKE34" s="191"/>
      <c r="LKF34" s="191"/>
      <c r="LKG34" s="191"/>
      <c r="LKH34" s="191"/>
      <c r="LKI34" s="191"/>
      <c r="LKJ34" s="191"/>
      <c r="LKK34" s="191"/>
      <c r="LKL34" s="191"/>
      <c r="LKM34" s="191"/>
      <c r="LKN34" s="191"/>
      <c r="LKO34" s="191"/>
      <c r="LKP34" s="191"/>
      <c r="LKQ34" s="191"/>
      <c r="LKR34" s="191"/>
      <c r="LKS34" s="191"/>
      <c r="LKT34" s="191"/>
      <c r="LKU34" s="191"/>
      <c r="LKV34" s="191"/>
      <c r="LKW34" s="191"/>
      <c r="LKX34" s="191"/>
      <c r="LKY34" s="191"/>
      <c r="LKZ34" s="191"/>
      <c r="LLA34" s="191"/>
      <c r="LLB34" s="191"/>
      <c r="LLC34" s="191"/>
      <c r="LLD34" s="191"/>
      <c r="LLE34" s="191"/>
      <c r="LLF34" s="191"/>
      <c r="LLG34" s="191"/>
      <c r="LLH34" s="191"/>
      <c r="LLI34" s="191"/>
      <c r="LLJ34" s="191"/>
      <c r="LLK34" s="191"/>
      <c r="LLL34" s="191"/>
      <c r="LLM34" s="191"/>
      <c r="LLN34" s="191"/>
      <c r="LLO34" s="191"/>
      <c r="LLP34" s="191"/>
      <c r="LLQ34" s="191"/>
      <c r="LLR34" s="191"/>
      <c r="LLS34" s="191"/>
      <c r="LLT34" s="191"/>
      <c r="LLU34" s="191"/>
      <c r="LLV34" s="191"/>
      <c r="LLW34" s="191"/>
      <c r="LLX34" s="191"/>
      <c r="LLY34" s="191"/>
      <c r="LLZ34" s="191"/>
      <c r="LMA34" s="191"/>
      <c r="LMB34" s="191"/>
      <c r="LMC34" s="191"/>
      <c r="LMD34" s="191"/>
      <c r="LME34" s="191"/>
      <c r="LMF34" s="191"/>
      <c r="LMG34" s="191"/>
      <c r="LMH34" s="191"/>
      <c r="LMI34" s="191"/>
      <c r="LMJ34" s="191"/>
      <c r="LMK34" s="191"/>
      <c r="LML34" s="191"/>
      <c r="LMM34" s="191"/>
      <c r="LMN34" s="191"/>
      <c r="LMO34" s="191"/>
      <c r="LMP34" s="191"/>
      <c r="LMQ34" s="191"/>
      <c r="LMR34" s="191"/>
      <c r="LMS34" s="191"/>
      <c r="LMT34" s="191"/>
      <c r="LMU34" s="191"/>
      <c r="LMV34" s="191"/>
      <c r="LMW34" s="191"/>
      <c r="LMX34" s="191"/>
      <c r="LMY34" s="191"/>
      <c r="LMZ34" s="191"/>
      <c r="LNA34" s="191"/>
      <c r="LNB34" s="191"/>
      <c r="LNC34" s="191"/>
      <c r="LND34" s="191"/>
      <c r="LNE34" s="191"/>
      <c r="LNF34" s="191"/>
      <c r="LNG34" s="191"/>
      <c r="LNH34" s="191"/>
      <c r="LNI34" s="191"/>
      <c r="LNJ34" s="191"/>
      <c r="LNK34" s="191"/>
      <c r="LNL34" s="191"/>
      <c r="LNM34" s="191"/>
      <c r="LNN34" s="191"/>
      <c r="LNO34" s="191"/>
      <c r="LNP34" s="191"/>
      <c r="LNQ34" s="191"/>
      <c r="LNR34" s="191"/>
      <c r="LNS34" s="191"/>
      <c r="LNT34" s="191"/>
      <c r="LNU34" s="191"/>
      <c r="LNV34" s="191"/>
      <c r="LNW34" s="191"/>
      <c r="LNX34" s="191"/>
      <c r="LNY34" s="191"/>
      <c r="LNZ34" s="191"/>
      <c r="LOA34" s="191"/>
      <c r="LOB34" s="191"/>
      <c r="LOC34" s="191"/>
      <c r="LOD34" s="191"/>
      <c r="LOE34" s="191"/>
      <c r="LOF34" s="191"/>
      <c r="LOG34" s="191"/>
      <c r="LOH34" s="191"/>
      <c r="LOI34" s="191"/>
      <c r="LOJ34" s="191"/>
      <c r="LOK34" s="191"/>
      <c r="LOL34" s="191"/>
      <c r="LOM34" s="191"/>
      <c r="LON34" s="191"/>
      <c r="LOO34" s="191"/>
      <c r="LOP34" s="191"/>
      <c r="LOQ34" s="191"/>
      <c r="LOR34" s="191"/>
      <c r="LOS34" s="191"/>
      <c r="LOT34" s="191"/>
      <c r="LOU34" s="191"/>
      <c r="LOV34" s="191"/>
      <c r="LOW34" s="191"/>
      <c r="LOX34" s="191"/>
      <c r="LOY34" s="191"/>
      <c r="LOZ34" s="191"/>
      <c r="LPA34" s="191"/>
      <c r="LPB34" s="191"/>
      <c r="LPC34" s="191"/>
      <c r="LPD34" s="191"/>
      <c r="LPE34" s="191"/>
      <c r="LPF34" s="191"/>
      <c r="LPG34" s="191"/>
      <c r="LPH34" s="191"/>
      <c r="LPI34" s="191"/>
      <c r="LPJ34" s="191"/>
      <c r="LPK34" s="191"/>
      <c r="LPL34" s="191"/>
      <c r="LPM34" s="191"/>
      <c r="LPN34" s="191"/>
      <c r="LPO34" s="191"/>
      <c r="LPP34" s="191"/>
      <c r="LPQ34" s="191"/>
      <c r="LPR34" s="191"/>
      <c r="LPS34" s="191"/>
      <c r="LPT34" s="191"/>
      <c r="LPU34" s="191"/>
      <c r="LPV34" s="191"/>
      <c r="LPW34" s="191"/>
      <c r="LPX34" s="191"/>
      <c r="LPY34" s="191"/>
      <c r="LPZ34" s="191"/>
      <c r="LQA34" s="191"/>
      <c r="LQB34" s="191"/>
      <c r="LQC34" s="191"/>
      <c r="LQD34" s="191"/>
      <c r="LQE34" s="191"/>
      <c r="LQF34" s="191"/>
      <c r="LQG34" s="191"/>
      <c r="LQH34" s="191"/>
      <c r="LQI34" s="191"/>
      <c r="LQJ34" s="191"/>
      <c r="LQK34" s="191"/>
      <c r="LQL34" s="191"/>
      <c r="LQM34" s="191"/>
      <c r="LQN34" s="191"/>
      <c r="LQO34" s="191"/>
      <c r="LQP34" s="191"/>
      <c r="LQQ34" s="191"/>
      <c r="LQR34" s="191"/>
      <c r="LQS34" s="191"/>
      <c r="LQT34" s="191"/>
      <c r="LQU34" s="191"/>
      <c r="LQV34" s="191"/>
      <c r="LQW34" s="191"/>
      <c r="LQX34" s="191"/>
      <c r="LQY34" s="191"/>
      <c r="LQZ34" s="191"/>
      <c r="LRA34" s="191"/>
      <c r="LRB34" s="191"/>
      <c r="LRC34" s="191"/>
      <c r="LRD34" s="191"/>
      <c r="LRE34" s="191"/>
      <c r="LRF34" s="191"/>
      <c r="LRG34" s="191"/>
      <c r="LRH34" s="191"/>
      <c r="LRI34" s="191"/>
      <c r="LRJ34" s="191"/>
      <c r="LRK34" s="191"/>
      <c r="LRL34" s="191"/>
      <c r="LRM34" s="191"/>
      <c r="LRN34" s="191"/>
      <c r="LRO34" s="191"/>
      <c r="LRP34" s="191"/>
      <c r="LRQ34" s="191"/>
      <c r="LRR34" s="191"/>
      <c r="LRS34" s="191"/>
      <c r="LRT34" s="191"/>
      <c r="LRU34" s="191"/>
      <c r="LRV34" s="191"/>
      <c r="LRW34" s="191"/>
      <c r="LRX34" s="191"/>
      <c r="LRY34" s="191"/>
      <c r="LRZ34" s="191"/>
      <c r="LSA34" s="191"/>
      <c r="LSB34" s="191"/>
      <c r="LSC34" s="191"/>
      <c r="LSD34" s="191"/>
      <c r="LSE34" s="191"/>
      <c r="LSF34" s="191"/>
      <c r="LSG34" s="191"/>
      <c r="LSH34" s="191"/>
      <c r="LSI34" s="191"/>
      <c r="LSJ34" s="191"/>
      <c r="LSK34" s="191"/>
      <c r="LSL34" s="191"/>
      <c r="LSM34" s="191"/>
      <c r="LSN34" s="191"/>
      <c r="LSO34" s="191"/>
      <c r="LSP34" s="191"/>
      <c r="LSQ34" s="191"/>
      <c r="LSR34" s="191"/>
      <c r="LSS34" s="191"/>
      <c r="LST34" s="191"/>
      <c r="LSU34" s="191"/>
      <c r="LSV34" s="191"/>
      <c r="LSW34" s="191"/>
      <c r="LSX34" s="191"/>
      <c r="LSY34" s="191"/>
      <c r="LSZ34" s="191"/>
      <c r="LTA34" s="191"/>
      <c r="LTB34" s="191"/>
      <c r="LTC34" s="191"/>
      <c r="LTD34" s="191"/>
      <c r="LTE34" s="191"/>
      <c r="LTF34" s="191"/>
      <c r="LTG34" s="191"/>
      <c r="LTH34" s="191"/>
      <c r="LTI34" s="191"/>
      <c r="LTJ34" s="191"/>
      <c r="LTK34" s="191"/>
      <c r="LTL34" s="191"/>
      <c r="LTM34" s="191"/>
      <c r="LTN34" s="191"/>
      <c r="LTO34" s="191"/>
      <c r="LTP34" s="191"/>
      <c r="LTQ34" s="191"/>
      <c r="LTR34" s="191"/>
      <c r="LTS34" s="191"/>
      <c r="LTT34" s="191"/>
      <c r="LTU34" s="191"/>
      <c r="LTV34" s="191"/>
      <c r="LTW34" s="191"/>
      <c r="LTX34" s="191"/>
      <c r="LTY34" s="191"/>
      <c r="LTZ34" s="191"/>
      <c r="LUA34" s="191"/>
      <c r="LUB34" s="191"/>
      <c r="LUC34" s="191"/>
      <c r="LUD34" s="191"/>
      <c r="LUE34" s="191"/>
      <c r="LUF34" s="191"/>
      <c r="LUG34" s="191"/>
      <c r="LUH34" s="191"/>
      <c r="LUI34" s="191"/>
      <c r="LUJ34" s="191"/>
      <c r="LUK34" s="191"/>
      <c r="LUL34" s="191"/>
      <c r="LUM34" s="191"/>
      <c r="LUN34" s="191"/>
      <c r="LUO34" s="191"/>
      <c r="LUP34" s="191"/>
      <c r="LUQ34" s="191"/>
      <c r="LUR34" s="191"/>
      <c r="LUS34" s="191"/>
      <c r="LUT34" s="191"/>
      <c r="LUU34" s="191"/>
      <c r="LUV34" s="191"/>
      <c r="LUW34" s="191"/>
      <c r="LUX34" s="191"/>
      <c r="LUY34" s="191"/>
      <c r="LUZ34" s="191"/>
      <c r="LVA34" s="191"/>
      <c r="LVB34" s="191"/>
      <c r="LVC34" s="191"/>
      <c r="LVD34" s="191"/>
      <c r="LVE34" s="191"/>
      <c r="LVF34" s="191"/>
      <c r="LVG34" s="191"/>
      <c r="LVH34" s="191"/>
      <c r="LVI34" s="191"/>
      <c r="LVJ34" s="191"/>
      <c r="LVK34" s="191"/>
      <c r="LVL34" s="191"/>
      <c r="LVM34" s="191"/>
      <c r="LVN34" s="191"/>
      <c r="LVO34" s="191"/>
      <c r="LVP34" s="191"/>
      <c r="LVQ34" s="191"/>
      <c r="LVR34" s="191"/>
      <c r="LVS34" s="191"/>
      <c r="LVT34" s="191"/>
      <c r="LVU34" s="191"/>
      <c r="LVV34" s="191"/>
      <c r="LVW34" s="191"/>
      <c r="LVX34" s="191"/>
      <c r="LVY34" s="191"/>
      <c r="LVZ34" s="191"/>
      <c r="LWA34" s="191"/>
      <c r="LWB34" s="191"/>
      <c r="LWC34" s="191"/>
      <c r="LWD34" s="191"/>
      <c r="LWE34" s="191"/>
      <c r="LWF34" s="191"/>
      <c r="LWG34" s="191"/>
      <c r="LWH34" s="191"/>
      <c r="LWI34" s="191"/>
      <c r="LWJ34" s="191"/>
      <c r="LWK34" s="191"/>
      <c r="LWL34" s="191"/>
      <c r="LWM34" s="191"/>
      <c r="LWN34" s="191"/>
      <c r="LWO34" s="191"/>
      <c r="LWP34" s="191"/>
      <c r="LWQ34" s="191"/>
      <c r="LWR34" s="191"/>
      <c r="LWS34" s="191"/>
      <c r="LWT34" s="191"/>
      <c r="LWU34" s="191"/>
      <c r="LWV34" s="191"/>
      <c r="LWW34" s="191"/>
      <c r="LWX34" s="191"/>
      <c r="LWY34" s="191"/>
      <c r="LWZ34" s="191"/>
      <c r="LXA34" s="191"/>
      <c r="LXB34" s="191"/>
      <c r="LXC34" s="191"/>
      <c r="LXD34" s="191"/>
      <c r="LXE34" s="191"/>
      <c r="LXF34" s="191"/>
      <c r="LXG34" s="191"/>
      <c r="LXH34" s="191"/>
      <c r="LXI34" s="191"/>
      <c r="LXJ34" s="191"/>
      <c r="LXK34" s="191"/>
      <c r="LXL34" s="191"/>
      <c r="LXM34" s="191"/>
      <c r="LXN34" s="191"/>
      <c r="LXO34" s="191"/>
      <c r="LXP34" s="191"/>
      <c r="LXQ34" s="191"/>
      <c r="LXR34" s="191"/>
      <c r="LXS34" s="191"/>
      <c r="LXT34" s="191"/>
      <c r="LXU34" s="191"/>
      <c r="LXV34" s="191"/>
      <c r="LXW34" s="191"/>
      <c r="LXX34" s="191"/>
      <c r="LXY34" s="191"/>
      <c r="LXZ34" s="191"/>
      <c r="LYA34" s="191"/>
      <c r="LYB34" s="191"/>
      <c r="LYC34" s="191"/>
      <c r="LYD34" s="191"/>
      <c r="LYE34" s="191"/>
      <c r="LYF34" s="191"/>
      <c r="LYG34" s="191"/>
      <c r="LYH34" s="191"/>
      <c r="LYI34" s="191"/>
      <c r="LYJ34" s="191"/>
      <c r="LYK34" s="191"/>
      <c r="LYL34" s="191"/>
      <c r="LYM34" s="191"/>
      <c r="LYN34" s="191"/>
      <c r="LYO34" s="191"/>
      <c r="LYP34" s="191"/>
      <c r="LYQ34" s="191"/>
      <c r="LYR34" s="191"/>
      <c r="LYS34" s="191"/>
      <c r="LYT34" s="191"/>
      <c r="LYU34" s="191"/>
      <c r="LYV34" s="191"/>
      <c r="LYW34" s="191"/>
      <c r="LYX34" s="191"/>
      <c r="LYY34" s="191"/>
      <c r="LYZ34" s="191"/>
      <c r="LZA34" s="191"/>
      <c r="LZB34" s="191"/>
      <c r="LZC34" s="191"/>
      <c r="LZD34" s="191"/>
      <c r="LZE34" s="191"/>
      <c r="LZF34" s="191"/>
      <c r="LZG34" s="191"/>
      <c r="LZH34" s="191"/>
      <c r="LZI34" s="191"/>
      <c r="LZJ34" s="191"/>
      <c r="LZK34" s="191"/>
      <c r="LZL34" s="191"/>
      <c r="LZM34" s="191"/>
      <c r="LZN34" s="191"/>
      <c r="LZO34" s="191"/>
      <c r="LZP34" s="191"/>
      <c r="LZQ34" s="191"/>
      <c r="LZR34" s="191"/>
      <c r="LZS34" s="191"/>
      <c r="LZT34" s="191"/>
      <c r="LZU34" s="191"/>
      <c r="LZV34" s="191"/>
      <c r="LZW34" s="191"/>
      <c r="LZX34" s="191"/>
      <c r="LZY34" s="191"/>
      <c r="LZZ34" s="191"/>
      <c r="MAA34" s="191"/>
      <c r="MAB34" s="191"/>
      <c r="MAC34" s="191"/>
      <c r="MAD34" s="191"/>
      <c r="MAE34" s="191"/>
      <c r="MAF34" s="191"/>
      <c r="MAG34" s="191"/>
      <c r="MAH34" s="191"/>
      <c r="MAI34" s="191"/>
      <c r="MAJ34" s="191"/>
      <c r="MAK34" s="191"/>
      <c r="MAL34" s="191"/>
      <c r="MAM34" s="191"/>
      <c r="MAN34" s="191"/>
      <c r="MAO34" s="191"/>
      <c r="MAP34" s="191"/>
      <c r="MAQ34" s="191"/>
      <c r="MAR34" s="191"/>
      <c r="MAS34" s="191"/>
      <c r="MAT34" s="191"/>
      <c r="MAU34" s="191"/>
      <c r="MAV34" s="191"/>
      <c r="MAW34" s="191"/>
      <c r="MAX34" s="191"/>
      <c r="MAY34" s="191"/>
      <c r="MAZ34" s="191"/>
      <c r="MBA34" s="191"/>
      <c r="MBB34" s="191"/>
      <c r="MBC34" s="191"/>
      <c r="MBD34" s="191"/>
      <c r="MBE34" s="191"/>
      <c r="MBF34" s="191"/>
      <c r="MBG34" s="191"/>
      <c r="MBH34" s="191"/>
      <c r="MBI34" s="191"/>
      <c r="MBJ34" s="191"/>
      <c r="MBK34" s="191"/>
      <c r="MBL34" s="191"/>
      <c r="MBM34" s="191"/>
      <c r="MBN34" s="191"/>
      <c r="MBO34" s="191"/>
      <c r="MBP34" s="191"/>
      <c r="MBQ34" s="191"/>
      <c r="MBR34" s="191"/>
      <c r="MBS34" s="191"/>
      <c r="MBT34" s="191"/>
      <c r="MBU34" s="191"/>
      <c r="MBV34" s="191"/>
      <c r="MBW34" s="191"/>
      <c r="MBX34" s="191"/>
      <c r="MBY34" s="191"/>
      <c r="MBZ34" s="191"/>
      <c r="MCA34" s="191"/>
      <c r="MCB34" s="191"/>
      <c r="MCC34" s="191"/>
      <c r="MCD34" s="191"/>
      <c r="MCE34" s="191"/>
      <c r="MCF34" s="191"/>
      <c r="MCG34" s="191"/>
      <c r="MCH34" s="191"/>
      <c r="MCI34" s="191"/>
      <c r="MCJ34" s="191"/>
      <c r="MCK34" s="191"/>
      <c r="MCL34" s="191"/>
      <c r="MCM34" s="191"/>
      <c r="MCN34" s="191"/>
      <c r="MCO34" s="191"/>
      <c r="MCP34" s="191"/>
      <c r="MCQ34" s="191"/>
      <c r="MCR34" s="191"/>
      <c r="MCS34" s="191"/>
      <c r="MCT34" s="191"/>
      <c r="MCU34" s="191"/>
      <c r="MCV34" s="191"/>
      <c r="MCW34" s="191"/>
      <c r="MCX34" s="191"/>
      <c r="MCY34" s="191"/>
      <c r="MCZ34" s="191"/>
      <c r="MDA34" s="191"/>
      <c r="MDB34" s="191"/>
      <c r="MDC34" s="191"/>
      <c r="MDD34" s="191"/>
      <c r="MDE34" s="191"/>
      <c r="MDF34" s="191"/>
      <c r="MDG34" s="191"/>
      <c r="MDH34" s="191"/>
      <c r="MDI34" s="191"/>
      <c r="MDJ34" s="191"/>
      <c r="MDK34" s="191"/>
      <c r="MDL34" s="191"/>
      <c r="MDM34" s="191"/>
      <c r="MDN34" s="191"/>
      <c r="MDO34" s="191"/>
      <c r="MDP34" s="191"/>
      <c r="MDQ34" s="191"/>
      <c r="MDR34" s="191"/>
      <c r="MDS34" s="191"/>
      <c r="MDT34" s="191"/>
      <c r="MDU34" s="191"/>
      <c r="MDV34" s="191"/>
      <c r="MDW34" s="191"/>
      <c r="MDX34" s="191"/>
      <c r="MDY34" s="191"/>
      <c r="MDZ34" s="191"/>
      <c r="MEA34" s="191"/>
      <c r="MEB34" s="191"/>
      <c r="MEC34" s="191"/>
      <c r="MED34" s="191"/>
      <c r="MEE34" s="191"/>
      <c r="MEF34" s="191"/>
      <c r="MEG34" s="191"/>
      <c r="MEH34" s="191"/>
      <c r="MEI34" s="191"/>
      <c r="MEJ34" s="191"/>
      <c r="MEK34" s="191"/>
      <c r="MEL34" s="191"/>
      <c r="MEM34" s="191"/>
      <c r="MEN34" s="191"/>
      <c r="MEO34" s="191"/>
      <c r="MEP34" s="191"/>
      <c r="MEQ34" s="191"/>
      <c r="MER34" s="191"/>
      <c r="MES34" s="191"/>
      <c r="MET34" s="191"/>
      <c r="MEU34" s="191"/>
      <c r="MEV34" s="191"/>
      <c r="MEW34" s="191"/>
      <c r="MEX34" s="191"/>
      <c r="MEY34" s="191"/>
      <c r="MEZ34" s="191"/>
      <c r="MFA34" s="191"/>
      <c r="MFB34" s="191"/>
      <c r="MFC34" s="191"/>
      <c r="MFD34" s="191"/>
      <c r="MFE34" s="191"/>
      <c r="MFF34" s="191"/>
      <c r="MFG34" s="191"/>
      <c r="MFH34" s="191"/>
      <c r="MFI34" s="191"/>
      <c r="MFJ34" s="191"/>
      <c r="MFK34" s="191"/>
      <c r="MFL34" s="191"/>
      <c r="MFM34" s="191"/>
      <c r="MFN34" s="191"/>
      <c r="MFO34" s="191"/>
      <c r="MFP34" s="191"/>
      <c r="MFQ34" s="191"/>
      <c r="MFR34" s="191"/>
      <c r="MFS34" s="191"/>
      <c r="MFT34" s="191"/>
      <c r="MFU34" s="191"/>
      <c r="MFV34" s="191"/>
      <c r="MFW34" s="191"/>
      <c r="MFX34" s="191"/>
      <c r="MFY34" s="191"/>
      <c r="MFZ34" s="191"/>
      <c r="MGA34" s="191"/>
      <c r="MGB34" s="191"/>
      <c r="MGC34" s="191"/>
      <c r="MGD34" s="191"/>
      <c r="MGE34" s="191"/>
      <c r="MGF34" s="191"/>
      <c r="MGG34" s="191"/>
      <c r="MGH34" s="191"/>
      <c r="MGI34" s="191"/>
      <c r="MGJ34" s="191"/>
      <c r="MGK34" s="191"/>
      <c r="MGL34" s="191"/>
      <c r="MGM34" s="191"/>
      <c r="MGN34" s="191"/>
      <c r="MGO34" s="191"/>
      <c r="MGP34" s="191"/>
      <c r="MGQ34" s="191"/>
      <c r="MGR34" s="191"/>
      <c r="MGS34" s="191"/>
      <c r="MGT34" s="191"/>
      <c r="MGU34" s="191"/>
      <c r="MGV34" s="191"/>
      <c r="MGW34" s="191"/>
      <c r="MGX34" s="191"/>
      <c r="MGY34" s="191"/>
      <c r="MGZ34" s="191"/>
      <c r="MHA34" s="191"/>
      <c r="MHB34" s="191"/>
      <c r="MHC34" s="191"/>
      <c r="MHD34" s="191"/>
      <c r="MHE34" s="191"/>
      <c r="MHF34" s="191"/>
      <c r="MHG34" s="191"/>
      <c r="MHH34" s="191"/>
      <c r="MHI34" s="191"/>
      <c r="MHJ34" s="191"/>
      <c r="MHK34" s="191"/>
      <c r="MHL34" s="191"/>
      <c r="MHM34" s="191"/>
      <c r="MHN34" s="191"/>
      <c r="MHO34" s="191"/>
      <c r="MHP34" s="191"/>
      <c r="MHQ34" s="191"/>
      <c r="MHR34" s="191"/>
      <c r="MHS34" s="191"/>
      <c r="MHT34" s="191"/>
      <c r="MHU34" s="191"/>
      <c r="MHV34" s="191"/>
      <c r="MHW34" s="191"/>
      <c r="MHX34" s="191"/>
      <c r="MHY34" s="191"/>
      <c r="MHZ34" s="191"/>
      <c r="MIA34" s="191"/>
      <c r="MIB34" s="191"/>
      <c r="MIC34" s="191"/>
      <c r="MID34" s="191"/>
      <c r="MIE34" s="191"/>
      <c r="MIF34" s="191"/>
      <c r="MIG34" s="191"/>
      <c r="MIH34" s="191"/>
      <c r="MII34" s="191"/>
      <c r="MIJ34" s="191"/>
      <c r="MIK34" s="191"/>
      <c r="MIL34" s="191"/>
      <c r="MIM34" s="191"/>
      <c r="MIN34" s="191"/>
      <c r="MIO34" s="191"/>
      <c r="MIP34" s="191"/>
      <c r="MIQ34" s="191"/>
      <c r="MIR34" s="191"/>
      <c r="MIS34" s="191"/>
      <c r="MIT34" s="191"/>
      <c r="MIU34" s="191"/>
      <c r="MIV34" s="191"/>
      <c r="MIW34" s="191"/>
      <c r="MIX34" s="191"/>
      <c r="MIY34" s="191"/>
      <c r="MIZ34" s="191"/>
      <c r="MJA34" s="191"/>
      <c r="MJB34" s="191"/>
      <c r="MJC34" s="191"/>
      <c r="MJD34" s="191"/>
      <c r="MJE34" s="191"/>
      <c r="MJF34" s="191"/>
      <c r="MJG34" s="191"/>
      <c r="MJH34" s="191"/>
      <c r="MJI34" s="191"/>
      <c r="MJJ34" s="191"/>
      <c r="MJK34" s="191"/>
      <c r="MJL34" s="191"/>
      <c r="MJM34" s="191"/>
      <c r="MJN34" s="191"/>
      <c r="MJO34" s="191"/>
      <c r="MJP34" s="191"/>
      <c r="MJQ34" s="191"/>
      <c r="MJR34" s="191"/>
      <c r="MJS34" s="191"/>
      <c r="MJT34" s="191"/>
      <c r="MJU34" s="191"/>
      <c r="MJV34" s="191"/>
      <c r="MJW34" s="191"/>
      <c r="MJX34" s="191"/>
      <c r="MJY34" s="191"/>
      <c r="MJZ34" s="191"/>
      <c r="MKA34" s="191"/>
      <c r="MKB34" s="191"/>
      <c r="MKC34" s="191"/>
      <c r="MKD34" s="191"/>
      <c r="MKE34" s="191"/>
      <c r="MKF34" s="191"/>
      <c r="MKG34" s="191"/>
      <c r="MKH34" s="191"/>
      <c r="MKI34" s="191"/>
      <c r="MKJ34" s="191"/>
      <c r="MKK34" s="191"/>
      <c r="MKL34" s="191"/>
      <c r="MKM34" s="191"/>
      <c r="MKN34" s="191"/>
      <c r="MKO34" s="191"/>
      <c r="MKP34" s="191"/>
      <c r="MKQ34" s="191"/>
      <c r="MKR34" s="191"/>
      <c r="MKS34" s="191"/>
      <c r="MKT34" s="191"/>
      <c r="MKU34" s="191"/>
      <c r="MKV34" s="191"/>
      <c r="MKW34" s="191"/>
      <c r="MKX34" s="191"/>
      <c r="MKY34" s="191"/>
      <c r="MKZ34" s="191"/>
      <c r="MLA34" s="191"/>
      <c r="MLB34" s="191"/>
      <c r="MLC34" s="191"/>
      <c r="MLD34" s="191"/>
      <c r="MLE34" s="191"/>
      <c r="MLF34" s="191"/>
      <c r="MLG34" s="191"/>
      <c r="MLH34" s="191"/>
      <c r="MLI34" s="191"/>
      <c r="MLJ34" s="191"/>
      <c r="MLK34" s="191"/>
      <c r="MLL34" s="191"/>
      <c r="MLM34" s="191"/>
      <c r="MLN34" s="191"/>
      <c r="MLO34" s="191"/>
      <c r="MLP34" s="191"/>
      <c r="MLQ34" s="191"/>
      <c r="MLR34" s="191"/>
      <c r="MLS34" s="191"/>
      <c r="MLT34" s="191"/>
      <c r="MLU34" s="191"/>
      <c r="MLV34" s="191"/>
      <c r="MLW34" s="191"/>
      <c r="MLX34" s="191"/>
      <c r="MLY34" s="191"/>
      <c r="MLZ34" s="191"/>
      <c r="MMA34" s="191"/>
      <c r="MMB34" s="191"/>
      <c r="MMC34" s="191"/>
      <c r="MMD34" s="191"/>
      <c r="MME34" s="191"/>
      <c r="MMF34" s="191"/>
      <c r="MMG34" s="191"/>
      <c r="MMH34" s="191"/>
      <c r="MMI34" s="191"/>
      <c r="MMJ34" s="191"/>
      <c r="MMK34" s="191"/>
      <c r="MML34" s="191"/>
      <c r="MMM34" s="191"/>
      <c r="MMN34" s="191"/>
      <c r="MMO34" s="191"/>
      <c r="MMP34" s="191"/>
      <c r="MMQ34" s="191"/>
      <c r="MMR34" s="191"/>
      <c r="MMS34" s="191"/>
      <c r="MMT34" s="191"/>
      <c r="MMU34" s="191"/>
      <c r="MMV34" s="191"/>
      <c r="MMW34" s="191"/>
      <c r="MMX34" s="191"/>
      <c r="MMY34" s="191"/>
      <c r="MMZ34" s="191"/>
      <c r="MNA34" s="191"/>
      <c r="MNB34" s="191"/>
      <c r="MNC34" s="191"/>
      <c r="MND34" s="191"/>
      <c r="MNE34" s="191"/>
      <c r="MNF34" s="191"/>
      <c r="MNG34" s="191"/>
      <c r="MNH34" s="191"/>
      <c r="MNI34" s="191"/>
      <c r="MNJ34" s="191"/>
      <c r="MNK34" s="191"/>
      <c r="MNL34" s="191"/>
      <c r="MNM34" s="191"/>
      <c r="MNN34" s="191"/>
      <c r="MNO34" s="191"/>
      <c r="MNP34" s="191"/>
      <c r="MNQ34" s="191"/>
      <c r="MNR34" s="191"/>
      <c r="MNS34" s="191"/>
      <c r="MNT34" s="191"/>
      <c r="MNU34" s="191"/>
      <c r="MNV34" s="191"/>
      <c r="MNW34" s="191"/>
      <c r="MNX34" s="191"/>
      <c r="MNY34" s="191"/>
      <c r="MNZ34" s="191"/>
      <c r="MOA34" s="191"/>
      <c r="MOB34" s="191"/>
      <c r="MOC34" s="191"/>
      <c r="MOD34" s="191"/>
      <c r="MOE34" s="191"/>
      <c r="MOF34" s="191"/>
      <c r="MOG34" s="191"/>
      <c r="MOH34" s="191"/>
      <c r="MOI34" s="191"/>
      <c r="MOJ34" s="191"/>
      <c r="MOK34" s="191"/>
      <c r="MOL34" s="191"/>
      <c r="MOM34" s="191"/>
      <c r="MON34" s="191"/>
      <c r="MOO34" s="191"/>
      <c r="MOP34" s="191"/>
      <c r="MOQ34" s="191"/>
      <c r="MOR34" s="191"/>
      <c r="MOS34" s="191"/>
      <c r="MOT34" s="191"/>
      <c r="MOU34" s="191"/>
      <c r="MOV34" s="191"/>
      <c r="MOW34" s="191"/>
      <c r="MOX34" s="191"/>
      <c r="MOY34" s="191"/>
      <c r="MOZ34" s="191"/>
      <c r="MPA34" s="191"/>
      <c r="MPB34" s="191"/>
      <c r="MPC34" s="191"/>
      <c r="MPD34" s="191"/>
      <c r="MPE34" s="191"/>
      <c r="MPF34" s="191"/>
      <c r="MPG34" s="191"/>
      <c r="MPH34" s="191"/>
      <c r="MPI34" s="191"/>
      <c r="MPJ34" s="191"/>
      <c r="MPK34" s="191"/>
      <c r="MPL34" s="191"/>
      <c r="MPM34" s="191"/>
      <c r="MPN34" s="191"/>
      <c r="MPO34" s="191"/>
      <c r="MPP34" s="191"/>
      <c r="MPQ34" s="191"/>
      <c r="MPR34" s="191"/>
      <c r="MPS34" s="191"/>
      <c r="MPT34" s="191"/>
      <c r="MPU34" s="191"/>
      <c r="MPV34" s="191"/>
      <c r="MPW34" s="191"/>
      <c r="MPX34" s="191"/>
      <c r="MPY34" s="191"/>
      <c r="MPZ34" s="191"/>
      <c r="MQA34" s="191"/>
      <c r="MQB34" s="191"/>
      <c r="MQC34" s="191"/>
      <c r="MQD34" s="191"/>
      <c r="MQE34" s="191"/>
      <c r="MQF34" s="191"/>
      <c r="MQG34" s="191"/>
      <c r="MQH34" s="191"/>
      <c r="MQI34" s="191"/>
      <c r="MQJ34" s="191"/>
      <c r="MQK34" s="191"/>
      <c r="MQL34" s="191"/>
      <c r="MQM34" s="191"/>
      <c r="MQN34" s="191"/>
      <c r="MQO34" s="191"/>
      <c r="MQP34" s="191"/>
      <c r="MQQ34" s="191"/>
      <c r="MQR34" s="191"/>
      <c r="MQS34" s="191"/>
      <c r="MQT34" s="191"/>
      <c r="MQU34" s="191"/>
      <c r="MQV34" s="191"/>
      <c r="MQW34" s="191"/>
      <c r="MQX34" s="191"/>
      <c r="MQY34" s="191"/>
      <c r="MQZ34" s="191"/>
      <c r="MRA34" s="191"/>
      <c r="MRB34" s="191"/>
      <c r="MRC34" s="191"/>
      <c r="MRD34" s="191"/>
      <c r="MRE34" s="191"/>
      <c r="MRF34" s="191"/>
      <c r="MRG34" s="191"/>
      <c r="MRH34" s="191"/>
      <c r="MRI34" s="191"/>
      <c r="MRJ34" s="191"/>
      <c r="MRK34" s="191"/>
      <c r="MRL34" s="191"/>
      <c r="MRM34" s="191"/>
      <c r="MRN34" s="191"/>
      <c r="MRO34" s="191"/>
      <c r="MRP34" s="191"/>
      <c r="MRQ34" s="191"/>
      <c r="MRR34" s="191"/>
      <c r="MRS34" s="191"/>
      <c r="MRT34" s="191"/>
      <c r="MRU34" s="191"/>
      <c r="MRV34" s="191"/>
      <c r="MRW34" s="191"/>
      <c r="MRX34" s="191"/>
      <c r="MRY34" s="191"/>
      <c r="MRZ34" s="191"/>
      <c r="MSA34" s="191"/>
      <c r="MSB34" s="191"/>
      <c r="MSC34" s="191"/>
      <c r="MSD34" s="191"/>
      <c r="MSE34" s="191"/>
      <c r="MSF34" s="191"/>
      <c r="MSG34" s="191"/>
      <c r="MSH34" s="191"/>
      <c r="MSI34" s="191"/>
      <c r="MSJ34" s="191"/>
      <c r="MSK34" s="191"/>
      <c r="MSL34" s="191"/>
      <c r="MSM34" s="191"/>
      <c r="MSN34" s="191"/>
      <c r="MSO34" s="191"/>
      <c r="MSP34" s="191"/>
      <c r="MSQ34" s="191"/>
      <c r="MSR34" s="191"/>
      <c r="MSS34" s="191"/>
      <c r="MST34" s="191"/>
      <c r="MSU34" s="191"/>
      <c r="MSV34" s="191"/>
      <c r="MSW34" s="191"/>
      <c r="MSX34" s="191"/>
      <c r="MSY34" s="191"/>
      <c r="MSZ34" s="191"/>
      <c r="MTA34" s="191"/>
      <c r="MTB34" s="191"/>
      <c r="MTC34" s="191"/>
      <c r="MTD34" s="191"/>
      <c r="MTE34" s="191"/>
      <c r="MTF34" s="191"/>
      <c r="MTG34" s="191"/>
      <c r="MTH34" s="191"/>
      <c r="MTI34" s="191"/>
      <c r="MTJ34" s="191"/>
      <c r="MTK34" s="191"/>
      <c r="MTL34" s="191"/>
      <c r="MTM34" s="191"/>
      <c r="MTN34" s="191"/>
      <c r="MTO34" s="191"/>
      <c r="MTP34" s="191"/>
      <c r="MTQ34" s="191"/>
      <c r="MTR34" s="191"/>
      <c r="MTS34" s="191"/>
      <c r="MTT34" s="191"/>
      <c r="MTU34" s="191"/>
      <c r="MTV34" s="191"/>
      <c r="MTW34" s="191"/>
      <c r="MTX34" s="191"/>
      <c r="MTY34" s="191"/>
      <c r="MTZ34" s="191"/>
      <c r="MUA34" s="191"/>
      <c r="MUB34" s="191"/>
      <c r="MUC34" s="191"/>
      <c r="MUD34" s="191"/>
      <c r="MUE34" s="191"/>
      <c r="MUF34" s="191"/>
      <c r="MUG34" s="191"/>
      <c r="MUH34" s="191"/>
      <c r="MUI34" s="191"/>
      <c r="MUJ34" s="191"/>
      <c r="MUK34" s="191"/>
      <c r="MUL34" s="191"/>
      <c r="MUM34" s="191"/>
      <c r="MUN34" s="191"/>
      <c r="MUO34" s="191"/>
      <c r="MUP34" s="191"/>
      <c r="MUQ34" s="191"/>
      <c r="MUR34" s="191"/>
      <c r="MUS34" s="191"/>
      <c r="MUT34" s="191"/>
      <c r="MUU34" s="191"/>
      <c r="MUV34" s="191"/>
      <c r="MUW34" s="191"/>
      <c r="MUX34" s="191"/>
      <c r="MUY34" s="191"/>
      <c r="MUZ34" s="191"/>
      <c r="MVA34" s="191"/>
      <c r="MVB34" s="191"/>
      <c r="MVC34" s="191"/>
      <c r="MVD34" s="191"/>
      <c r="MVE34" s="191"/>
      <c r="MVF34" s="191"/>
      <c r="MVG34" s="191"/>
      <c r="MVH34" s="191"/>
      <c r="MVI34" s="191"/>
      <c r="MVJ34" s="191"/>
      <c r="MVK34" s="191"/>
      <c r="MVL34" s="191"/>
      <c r="MVM34" s="191"/>
      <c r="MVN34" s="191"/>
      <c r="MVO34" s="191"/>
      <c r="MVP34" s="191"/>
      <c r="MVQ34" s="191"/>
      <c r="MVR34" s="191"/>
      <c r="MVS34" s="191"/>
      <c r="MVT34" s="191"/>
      <c r="MVU34" s="191"/>
      <c r="MVV34" s="191"/>
      <c r="MVW34" s="191"/>
      <c r="MVX34" s="191"/>
      <c r="MVY34" s="191"/>
      <c r="MVZ34" s="191"/>
      <c r="MWA34" s="191"/>
      <c r="MWB34" s="191"/>
      <c r="MWC34" s="191"/>
      <c r="MWD34" s="191"/>
      <c r="MWE34" s="191"/>
      <c r="MWF34" s="191"/>
      <c r="MWG34" s="191"/>
      <c r="MWH34" s="191"/>
      <c r="MWI34" s="191"/>
      <c r="MWJ34" s="191"/>
      <c r="MWK34" s="191"/>
      <c r="MWL34" s="191"/>
      <c r="MWM34" s="191"/>
      <c r="MWN34" s="191"/>
      <c r="MWO34" s="191"/>
      <c r="MWP34" s="191"/>
      <c r="MWQ34" s="191"/>
      <c r="MWR34" s="191"/>
      <c r="MWS34" s="191"/>
      <c r="MWT34" s="191"/>
      <c r="MWU34" s="191"/>
      <c r="MWV34" s="191"/>
      <c r="MWW34" s="191"/>
      <c r="MWX34" s="191"/>
      <c r="MWY34" s="191"/>
      <c r="MWZ34" s="191"/>
      <c r="MXA34" s="191"/>
      <c r="MXB34" s="191"/>
      <c r="MXC34" s="191"/>
      <c r="MXD34" s="191"/>
      <c r="MXE34" s="191"/>
      <c r="MXF34" s="191"/>
      <c r="MXG34" s="191"/>
      <c r="MXH34" s="191"/>
      <c r="MXI34" s="191"/>
      <c r="MXJ34" s="191"/>
      <c r="MXK34" s="191"/>
      <c r="MXL34" s="191"/>
      <c r="MXM34" s="191"/>
      <c r="MXN34" s="191"/>
      <c r="MXO34" s="191"/>
      <c r="MXP34" s="191"/>
      <c r="MXQ34" s="191"/>
      <c r="MXR34" s="191"/>
      <c r="MXS34" s="191"/>
      <c r="MXT34" s="191"/>
      <c r="MXU34" s="191"/>
      <c r="MXV34" s="191"/>
      <c r="MXW34" s="191"/>
      <c r="MXX34" s="191"/>
      <c r="MXY34" s="191"/>
      <c r="MXZ34" s="191"/>
      <c r="MYA34" s="191"/>
      <c r="MYB34" s="191"/>
      <c r="MYC34" s="191"/>
      <c r="MYD34" s="191"/>
      <c r="MYE34" s="191"/>
      <c r="MYF34" s="191"/>
      <c r="MYG34" s="191"/>
      <c r="MYH34" s="191"/>
      <c r="MYI34" s="191"/>
      <c r="MYJ34" s="191"/>
      <c r="MYK34" s="191"/>
      <c r="MYL34" s="191"/>
      <c r="MYM34" s="191"/>
      <c r="MYN34" s="191"/>
      <c r="MYO34" s="191"/>
      <c r="MYP34" s="191"/>
      <c r="MYQ34" s="191"/>
      <c r="MYR34" s="191"/>
      <c r="MYS34" s="191"/>
      <c r="MYT34" s="191"/>
      <c r="MYU34" s="191"/>
      <c r="MYV34" s="191"/>
      <c r="MYW34" s="191"/>
      <c r="MYX34" s="191"/>
      <c r="MYY34" s="191"/>
      <c r="MYZ34" s="191"/>
      <c r="MZA34" s="191"/>
      <c r="MZB34" s="191"/>
      <c r="MZC34" s="191"/>
      <c r="MZD34" s="191"/>
      <c r="MZE34" s="191"/>
      <c r="MZF34" s="191"/>
      <c r="MZG34" s="191"/>
      <c r="MZH34" s="191"/>
      <c r="MZI34" s="191"/>
      <c r="MZJ34" s="191"/>
      <c r="MZK34" s="191"/>
      <c r="MZL34" s="191"/>
      <c r="MZM34" s="191"/>
      <c r="MZN34" s="191"/>
      <c r="MZO34" s="191"/>
      <c r="MZP34" s="191"/>
      <c r="MZQ34" s="191"/>
      <c r="MZR34" s="191"/>
      <c r="MZS34" s="191"/>
      <c r="MZT34" s="191"/>
      <c r="MZU34" s="191"/>
      <c r="MZV34" s="191"/>
      <c r="MZW34" s="191"/>
      <c r="MZX34" s="191"/>
      <c r="MZY34" s="191"/>
      <c r="MZZ34" s="191"/>
      <c r="NAA34" s="191"/>
      <c r="NAB34" s="191"/>
      <c r="NAC34" s="191"/>
      <c r="NAD34" s="191"/>
      <c r="NAE34" s="191"/>
      <c r="NAF34" s="191"/>
      <c r="NAG34" s="191"/>
      <c r="NAH34" s="191"/>
      <c r="NAI34" s="191"/>
      <c r="NAJ34" s="191"/>
      <c r="NAK34" s="191"/>
      <c r="NAL34" s="191"/>
      <c r="NAM34" s="191"/>
      <c r="NAN34" s="191"/>
      <c r="NAO34" s="191"/>
      <c r="NAP34" s="191"/>
      <c r="NAQ34" s="191"/>
      <c r="NAR34" s="191"/>
      <c r="NAS34" s="191"/>
      <c r="NAT34" s="191"/>
      <c r="NAU34" s="191"/>
      <c r="NAV34" s="191"/>
      <c r="NAW34" s="191"/>
      <c r="NAX34" s="191"/>
      <c r="NAY34" s="191"/>
      <c r="NAZ34" s="191"/>
      <c r="NBA34" s="191"/>
      <c r="NBB34" s="191"/>
      <c r="NBC34" s="191"/>
      <c r="NBD34" s="191"/>
      <c r="NBE34" s="191"/>
      <c r="NBF34" s="191"/>
      <c r="NBG34" s="191"/>
      <c r="NBH34" s="191"/>
      <c r="NBI34" s="191"/>
      <c r="NBJ34" s="191"/>
      <c r="NBK34" s="191"/>
      <c r="NBL34" s="191"/>
      <c r="NBM34" s="191"/>
      <c r="NBN34" s="191"/>
      <c r="NBO34" s="191"/>
      <c r="NBP34" s="191"/>
      <c r="NBQ34" s="191"/>
      <c r="NBR34" s="191"/>
      <c r="NBS34" s="191"/>
      <c r="NBT34" s="191"/>
      <c r="NBU34" s="191"/>
      <c r="NBV34" s="191"/>
      <c r="NBW34" s="191"/>
      <c r="NBX34" s="191"/>
      <c r="NBY34" s="191"/>
      <c r="NBZ34" s="191"/>
      <c r="NCA34" s="191"/>
      <c r="NCB34" s="191"/>
      <c r="NCC34" s="191"/>
      <c r="NCD34" s="191"/>
      <c r="NCE34" s="191"/>
      <c r="NCF34" s="191"/>
      <c r="NCG34" s="191"/>
      <c r="NCH34" s="191"/>
      <c r="NCI34" s="191"/>
      <c r="NCJ34" s="191"/>
      <c r="NCK34" s="191"/>
      <c r="NCL34" s="191"/>
      <c r="NCM34" s="191"/>
      <c r="NCN34" s="191"/>
      <c r="NCO34" s="191"/>
      <c r="NCP34" s="191"/>
      <c r="NCQ34" s="191"/>
      <c r="NCR34" s="191"/>
      <c r="NCS34" s="191"/>
      <c r="NCT34" s="191"/>
      <c r="NCU34" s="191"/>
      <c r="NCV34" s="191"/>
      <c r="NCW34" s="191"/>
      <c r="NCX34" s="191"/>
      <c r="NCY34" s="191"/>
      <c r="NCZ34" s="191"/>
      <c r="NDA34" s="191"/>
      <c r="NDB34" s="191"/>
      <c r="NDC34" s="191"/>
      <c r="NDD34" s="191"/>
      <c r="NDE34" s="191"/>
      <c r="NDF34" s="191"/>
      <c r="NDG34" s="191"/>
      <c r="NDH34" s="191"/>
      <c r="NDI34" s="191"/>
      <c r="NDJ34" s="191"/>
      <c r="NDK34" s="191"/>
      <c r="NDL34" s="191"/>
      <c r="NDM34" s="191"/>
      <c r="NDN34" s="191"/>
      <c r="NDO34" s="191"/>
      <c r="NDP34" s="191"/>
      <c r="NDQ34" s="191"/>
      <c r="NDR34" s="191"/>
      <c r="NDS34" s="191"/>
      <c r="NDT34" s="191"/>
      <c r="NDU34" s="191"/>
      <c r="NDV34" s="191"/>
      <c r="NDW34" s="191"/>
      <c r="NDX34" s="191"/>
      <c r="NDY34" s="191"/>
      <c r="NDZ34" s="191"/>
      <c r="NEA34" s="191"/>
      <c r="NEB34" s="191"/>
      <c r="NEC34" s="191"/>
      <c r="NED34" s="191"/>
      <c r="NEE34" s="191"/>
      <c r="NEF34" s="191"/>
      <c r="NEG34" s="191"/>
      <c r="NEH34" s="191"/>
      <c r="NEI34" s="191"/>
      <c r="NEJ34" s="191"/>
      <c r="NEK34" s="191"/>
      <c r="NEL34" s="191"/>
      <c r="NEM34" s="191"/>
      <c r="NEN34" s="191"/>
      <c r="NEO34" s="191"/>
      <c r="NEP34" s="191"/>
      <c r="NEQ34" s="191"/>
      <c r="NER34" s="191"/>
      <c r="NES34" s="191"/>
      <c r="NET34" s="191"/>
      <c r="NEU34" s="191"/>
      <c r="NEV34" s="191"/>
      <c r="NEW34" s="191"/>
      <c r="NEX34" s="191"/>
      <c r="NEY34" s="191"/>
      <c r="NEZ34" s="191"/>
      <c r="NFA34" s="191"/>
      <c r="NFB34" s="191"/>
      <c r="NFC34" s="191"/>
      <c r="NFD34" s="191"/>
      <c r="NFE34" s="191"/>
      <c r="NFF34" s="191"/>
      <c r="NFG34" s="191"/>
      <c r="NFH34" s="191"/>
      <c r="NFI34" s="191"/>
      <c r="NFJ34" s="191"/>
      <c r="NFK34" s="191"/>
      <c r="NFL34" s="191"/>
      <c r="NFM34" s="191"/>
      <c r="NFN34" s="191"/>
      <c r="NFO34" s="191"/>
      <c r="NFP34" s="191"/>
      <c r="NFQ34" s="191"/>
      <c r="NFR34" s="191"/>
      <c r="NFS34" s="191"/>
      <c r="NFT34" s="191"/>
      <c r="NFU34" s="191"/>
      <c r="NFV34" s="191"/>
      <c r="NFW34" s="191"/>
      <c r="NFX34" s="191"/>
      <c r="NFY34" s="191"/>
      <c r="NFZ34" s="191"/>
      <c r="NGA34" s="191"/>
      <c r="NGB34" s="191"/>
      <c r="NGC34" s="191"/>
      <c r="NGD34" s="191"/>
      <c r="NGE34" s="191"/>
      <c r="NGF34" s="191"/>
      <c r="NGG34" s="191"/>
      <c r="NGH34" s="191"/>
      <c r="NGI34" s="191"/>
      <c r="NGJ34" s="191"/>
      <c r="NGK34" s="191"/>
      <c r="NGL34" s="191"/>
      <c r="NGM34" s="191"/>
      <c r="NGN34" s="191"/>
      <c r="NGO34" s="191"/>
      <c r="NGP34" s="191"/>
      <c r="NGQ34" s="191"/>
      <c r="NGR34" s="191"/>
      <c r="NGS34" s="191"/>
      <c r="NGT34" s="191"/>
      <c r="NGU34" s="191"/>
      <c r="NGV34" s="191"/>
      <c r="NGW34" s="191"/>
      <c r="NGX34" s="191"/>
      <c r="NGY34" s="191"/>
      <c r="NGZ34" s="191"/>
      <c r="NHA34" s="191"/>
      <c r="NHB34" s="191"/>
      <c r="NHC34" s="191"/>
      <c r="NHD34" s="191"/>
      <c r="NHE34" s="191"/>
      <c r="NHF34" s="191"/>
      <c r="NHG34" s="191"/>
      <c r="NHH34" s="191"/>
      <c r="NHI34" s="191"/>
      <c r="NHJ34" s="191"/>
      <c r="NHK34" s="191"/>
      <c r="NHL34" s="191"/>
      <c r="NHM34" s="191"/>
      <c r="NHN34" s="191"/>
      <c r="NHO34" s="191"/>
      <c r="NHP34" s="191"/>
      <c r="NHQ34" s="191"/>
      <c r="NHR34" s="191"/>
      <c r="NHS34" s="191"/>
      <c r="NHT34" s="191"/>
      <c r="NHU34" s="191"/>
      <c r="NHV34" s="191"/>
      <c r="NHW34" s="191"/>
      <c r="NHX34" s="191"/>
      <c r="NHY34" s="191"/>
      <c r="NHZ34" s="191"/>
      <c r="NIA34" s="191"/>
      <c r="NIB34" s="191"/>
      <c r="NIC34" s="191"/>
      <c r="NID34" s="191"/>
      <c r="NIE34" s="191"/>
      <c r="NIF34" s="191"/>
      <c r="NIG34" s="191"/>
      <c r="NIH34" s="191"/>
      <c r="NII34" s="191"/>
      <c r="NIJ34" s="191"/>
      <c r="NIK34" s="191"/>
      <c r="NIL34" s="191"/>
      <c r="NIM34" s="191"/>
      <c r="NIN34" s="191"/>
      <c r="NIO34" s="191"/>
      <c r="NIP34" s="191"/>
      <c r="NIQ34" s="191"/>
      <c r="NIR34" s="191"/>
      <c r="NIS34" s="191"/>
      <c r="NIT34" s="191"/>
      <c r="NIU34" s="191"/>
      <c r="NIV34" s="191"/>
      <c r="NIW34" s="191"/>
      <c r="NIX34" s="191"/>
      <c r="NIY34" s="191"/>
      <c r="NIZ34" s="191"/>
      <c r="NJA34" s="191"/>
      <c r="NJB34" s="191"/>
      <c r="NJC34" s="191"/>
      <c r="NJD34" s="191"/>
      <c r="NJE34" s="191"/>
      <c r="NJF34" s="191"/>
      <c r="NJG34" s="191"/>
      <c r="NJH34" s="191"/>
      <c r="NJI34" s="191"/>
      <c r="NJJ34" s="191"/>
      <c r="NJK34" s="191"/>
      <c r="NJL34" s="191"/>
      <c r="NJM34" s="191"/>
      <c r="NJN34" s="191"/>
      <c r="NJO34" s="191"/>
      <c r="NJP34" s="191"/>
      <c r="NJQ34" s="191"/>
      <c r="NJR34" s="191"/>
      <c r="NJS34" s="191"/>
      <c r="NJT34" s="191"/>
      <c r="NJU34" s="191"/>
      <c r="NJV34" s="191"/>
      <c r="NJW34" s="191"/>
      <c r="NJX34" s="191"/>
      <c r="NJY34" s="191"/>
      <c r="NJZ34" s="191"/>
      <c r="NKA34" s="191"/>
      <c r="NKB34" s="191"/>
      <c r="NKC34" s="191"/>
      <c r="NKD34" s="191"/>
      <c r="NKE34" s="191"/>
      <c r="NKF34" s="191"/>
      <c r="NKG34" s="191"/>
      <c r="NKH34" s="191"/>
      <c r="NKI34" s="191"/>
      <c r="NKJ34" s="191"/>
      <c r="NKK34" s="191"/>
      <c r="NKL34" s="191"/>
      <c r="NKM34" s="191"/>
      <c r="NKN34" s="191"/>
      <c r="NKO34" s="191"/>
      <c r="NKP34" s="191"/>
      <c r="NKQ34" s="191"/>
      <c r="NKR34" s="191"/>
      <c r="NKS34" s="191"/>
      <c r="NKT34" s="191"/>
      <c r="NKU34" s="191"/>
      <c r="NKV34" s="191"/>
      <c r="NKW34" s="191"/>
      <c r="NKX34" s="191"/>
      <c r="NKY34" s="191"/>
      <c r="NKZ34" s="191"/>
      <c r="NLA34" s="191"/>
      <c r="NLB34" s="191"/>
      <c r="NLC34" s="191"/>
      <c r="NLD34" s="191"/>
      <c r="NLE34" s="191"/>
      <c r="NLF34" s="191"/>
      <c r="NLG34" s="191"/>
      <c r="NLH34" s="191"/>
      <c r="NLI34" s="191"/>
      <c r="NLJ34" s="191"/>
      <c r="NLK34" s="191"/>
      <c r="NLL34" s="191"/>
      <c r="NLM34" s="191"/>
      <c r="NLN34" s="191"/>
      <c r="NLO34" s="191"/>
      <c r="NLP34" s="191"/>
      <c r="NLQ34" s="191"/>
      <c r="NLR34" s="191"/>
      <c r="NLS34" s="191"/>
      <c r="NLT34" s="191"/>
      <c r="NLU34" s="191"/>
      <c r="NLV34" s="191"/>
      <c r="NLW34" s="191"/>
      <c r="NLX34" s="191"/>
      <c r="NLY34" s="191"/>
      <c r="NLZ34" s="191"/>
      <c r="NMA34" s="191"/>
      <c r="NMB34" s="191"/>
      <c r="NMC34" s="191"/>
      <c r="NMD34" s="191"/>
      <c r="NME34" s="191"/>
      <c r="NMF34" s="191"/>
      <c r="NMG34" s="191"/>
      <c r="NMH34" s="191"/>
      <c r="NMI34" s="191"/>
      <c r="NMJ34" s="191"/>
      <c r="NMK34" s="191"/>
      <c r="NML34" s="191"/>
      <c r="NMM34" s="191"/>
      <c r="NMN34" s="191"/>
      <c r="NMO34" s="191"/>
      <c r="NMP34" s="191"/>
      <c r="NMQ34" s="191"/>
      <c r="NMR34" s="191"/>
      <c r="NMS34" s="191"/>
      <c r="NMT34" s="191"/>
      <c r="NMU34" s="191"/>
      <c r="NMV34" s="191"/>
      <c r="NMW34" s="191"/>
      <c r="NMX34" s="191"/>
      <c r="NMY34" s="191"/>
      <c r="NMZ34" s="191"/>
      <c r="NNA34" s="191"/>
      <c r="NNB34" s="191"/>
      <c r="NNC34" s="191"/>
      <c r="NND34" s="191"/>
      <c r="NNE34" s="191"/>
      <c r="NNF34" s="191"/>
      <c r="NNG34" s="191"/>
      <c r="NNH34" s="191"/>
      <c r="NNI34" s="191"/>
      <c r="NNJ34" s="191"/>
      <c r="NNK34" s="191"/>
      <c r="NNL34" s="191"/>
      <c r="NNM34" s="191"/>
      <c r="NNN34" s="191"/>
      <c r="NNO34" s="191"/>
      <c r="NNP34" s="191"/>
      <c r="NNQ34" s="191"/>
      <c r="NNR34" s="191"/>
      <c r="NNS34" s="191"/>
      <c r="NNT34" s="191"/>
      <c r="NNU34" s="191"/>
      <c r="NNV34" s="191"/>
      <c r="NNW34" s="191"/>
      <c r="NNX34" s="191"/>
      <c r="NNY34" s="191"/>
      <c r="NNZ34" s="191"/>
      <c r="NOA34" s="191"/>
      <c r="NOB34" s="191"/>
      <c r="NOC34" s="191"/>
      <c r="NOD34" s="191"/>
      <c r="NOE34" s="191"/>
      <c r="NOF34" s="191"/>
      <c r="NOG34" s="191"/>
      <c r="NOH34" s="191"/>
      <c r="NOI34" s="191"/>
      <c r="NOJ34" s="191"/>
      <c r="NOK34" s="191"/>
      <c r="NOL34" s="191"/>
      <c r="NOM34" s="191"/>
      <c r="NON34" s="191"/>
      <c r="NOO34" s="191"/>
      <c r="NOP34" s="191"/>
      <c r="NOQ34" s="191"/>
      <c r="NOR34" s="191"/>
      <c r="NOS34" s="191"/>
      <c r="NOT34" s="191"/>
      <c r="NOU34" s="191"/>
      <c r="NOV34" s="191"/>
      <c r="NOW34" s="191"/>
      <c r="NOX34" s="191"/>
      <c r="NOY34" s="191"/>
      <c r="NOZ34" s="191"/>
      <c r="NPA34" s="191"/>
      <c r="NPB34" s="191"/>
      <c r="NPC34" s="191"/>
      <c r="NPD34" s="191"/>
      <c r="NPE34" s="191"/>
      <c r="NPF34" s="191"/>
      <c r="NPG34" s="191"/>
      <c r="NPH34" s="191"/>
      <c r="NPI34" s="191"/>
      <c r="NPJ34" s="191"/>
      <c r="NPK34" s="191"/>
      <c r="NPL34" s="191"/>
      <c r="NPM34" s="191"/>
      <c r="NPN34" s="191"/>
      <c r="NPO34" s="191"/>
      <c r="NPP34" s="191"/>
      <c r="NPQ34" s="191"/>
      <c r="NPR34" s="191"/>
      <c r="NPS34" s="191"/>
      <c r="NPT34" s="191"/>
      <c r="NPU34" s="191"/>
      <c r="NPV34" s="191"/>
      <c r="NPW34" s="191"/>
      <c r="NPX34" s="191"/>
      <c r="NPY34" s="191"/>
      <c r="NPZ34" s="191"/>
      <c r="NQA34" s="191"/>
      <c r="NQB34" s="191"/>
      <c r="NQC34" s="191"/>
      <c r="NQD34" s="191"/>
      <c r="NQE34" s="191"/>
      <c r="NQF34" s="191"/>
      <c r="NQG34" s="191"/>
      <c r="NQH34" s="191"/>
      <c r="NQI34" s="191"/>
      <c r="NQJ34" s="191"/>
      <c r="NQK34" s="191"/>
      <c r="NQL34" s="191"/>
      <c r="NQM34" s="191"/>
      <c r="NQN34" s="191"/>
      <c r="NQO34" s="191"/>
      <c r="NQP34" s="191"/>
      <c r="NQQ34" s="191"/>
      <c r="NQR34" s="191"/>
      <c r="NQS34" s="191"/>
      <c r="NQT34" s="191"/>
      <c r="NQU34" s="191"/>
      <c r="NQV34" s="191"/>
      <c r="NQW34" s="191"/>
      <c r="NQX34" s="191"/>
      <c r="NQY34" s="191"/>
      <c r="NQZ34" s="191"/>
      <c r="NRA34" s="191"/>
      <c r="NRB34" s="191"/>
      <c r="NRC34" s="191"/>
      <c r="NRD34" s="191"/>
      <c r="NRE34" s="191"/>
      <c r="NRF34" s="191"/>
      <c r="NRG34" s="191"/>
      <c r="NRH34" s="191"/>
      <c r="NRI34" s="191"/>
      <c r="NRJ34" s="191"/>
      <c r="NRK34" s="191"/>
      <c r="NRL34" s="191"/>
      <c r="NRM34" s="191"/>
      <c r="NRN34" s="191"/>
      <c r="NRO34" s="191"/>
      <c r="NRP34" s="191"/>
      <c r="NRQ34" s="191"/>
      <c r="NRR34" s="191"/>
      <c r="NRS34" s="191"/>
      <c r="NRT34" s="191"/>
      <c r="NRU34" s="191"/>
      <c r="NRV34" s="191"/>
      <c r="NRW34" s="191"/>
      <c r="NRX34" s="191"/>
      <c r="NRY34" s="191"/>
      <c r="NRZ34" s="191"/>
      <c r="NSA34" s="191"/>
      <c r="NSB34" s="191"/>
      <c r="NSC34" s="191"/>
      <c r="NSD34" s="191"/>
      <c r="NSE34" s="191"/>
      <c r="NSF34" s="191"/>
      <c r="NSG34" s="191"/>
      <c r="NSH34" s="191"/>
      <c r="NSI34" s="191"/>
      <c r="NSJ34" s="191"/>
      <c r="NSK34" s="191"/>
      <c r="NSL34" s="191"/>
      <c r="NSM34" s="191"/>
      <c r="NSN34" s="191"/>
      <c r="NSO34" s="191"/>
      <c r="NSP34" s="191"/>
      <c r="NSQ34" s="191"/>
      <c r="NSR34" s="191"/>
      <c r="NSS34" s="191"/>
      <c r="NST34" s="191"/>
      <c r="NSU34" s="191"/>
      <c r="NSV34" s="191"/>
      <c r="NSW34" s="191"/>
      <c r="NSX34" s="191"/>
      <c r="NSY34" s="191"/>
      <c r="NSZ34" s="191"/>
      <c r="NTA34" s="191"/>
      <c r="NTB34" s="191"/>
      <c r="NTC34" s="191"/>
      <c r="NTD34" s="191"/>
      <c r="NTE34" s="191"/>
      <c r="NTF34" s="191"/>
      <c r="NTG34" s="191"/>
      <c r="NTH34" s="191"/>
      <c r="NTI34" s="191"/>
      <c r="NTJ34" s="191"/>
      <c r="NTK34" s="191"/>
      <c r="NTL34" s="191"/>
      <c r="NTM34" s="191"/>
      <c r="NTN34" s="191"/>
      <c r="NTO34" s="191"/>
      <c r="NTP34" s="191"/>
      <c r="NTQ34" s="191"/>
      <c r="NTR34" s="191"/>
      <c r="NTS34" s="191"/>
      <c r="NTT34" s="191"/>
      <c r="NTU34" s="191"/>
      <c r="NTV34" s="191"/>
      <c r="NTW34" s="191"/>
      <c r="NTX34" s="191"/>
      <c r="NTY34" s="191"/>
      <c r="NTZ34" s="191"/>
      <c r="NUA34" s="191"/>
      <c r="NUB34" s="191"/>
      <c r="NUC34" s="191"/>
      <c r="NUD34" s="191"/>
      <c r="NUE34" s="191"/>
      <c r="NUF34" s="191"/>
      <c r="NUG34" s="191"/>
      <c r="NUH34" s="191"/>
      <c r="NUI34" s="191"/>
      <c r="NUJ34" s="191"/>
      <c r="NUK34" s="191"/>
      <c r="NUL34" s="191"/>
      <c r="NUM34" s="191"/>
      <c r="NUN34" s="191"/>
      <c r="NUO34" s="191"/>
      <c r="NUP34" s="191"/>
      <c r="NUQ34" s="191"/>
      <c r="NUR34" s="191"/>
      <c r="NUS34" s="191"/>
      <c r="NUT34" s="191"/>
      <c r="NUU34" s="191"/>
      <c r="NUV34" s="191"/>
      <c r="NUW34" s="191"/>
      <c r="NUX34" s="191"/>
      <c r="NUY34" s="191"/>
      <c r="NUZ34" s="191"/>
      <c r="NVA34" s="191"/>
      <c r="NVB34" s="191"/>
      <c r="NVC34" s="191"/>
      <c r="NVD34" s="191"/>
      <c r="NVE34" s="191"/>
      <c r="NVF34" s="191"/>
      <c r="NVG34" s="191"/>
      <c r="NVH34" s="191"/>
      <c r="NVI34" s="191"/>
      <c r="NVJ34" s="191"/>
      <c r="NVK34" s="191"/>
      <c r="NVL34" s="191"/>
      <c r="NVM34" s="191"/>
      <c r="NVN34" s="191"/>
      <c r="NVO34" s="191"/>
      <c r="NVP34" s="191"/>
      <c r="NVQ34" s="191"/>
      <c r="NVR34" s="191"/>
      <c r="NVS34" s="191"/>
      <c r="NVT34" s="191"/>
      <c r="NVU34" s="191"/>
      <c r="NVV34" s="191"/>
      <c r="NVW34" s="191"/>
      <c r="NVX34" s="191"/>
      <c r="NVY34" s="191"/>
      <c r="NVZ34" s="191"/>
      <c r="NWA34" s="191"/>
      <c r="NWB34" s="191"/>
      <c r="NWC34" s="191"/>
      <c r="NWD34" s="191"/>
      <c r="NWE34" s="191"/>
      <c r="NWF34" s="191"/>
      <c r="NWG34" s="191"/>
      <c r="NWH34" s="191"/>
      <c r="NWI34" s="191"/>
      <c r="NWJ34" s="191"/>
      <c r="NWK34" s="191"/>
      <c r="NWL34" s="191"/>
      <c r="NWM34" s="191"/>
      <c r="NWN34" s="191"/>
      <c r="NWO34" s="191"/>
      <c r="NWP34" s="191"/>
      <c r="NWQ34" s="191"/>
      <c r="NWR34" s="191"/>
      <c r="NWS34" s="191"/>
      <c r="NWT34" s="191"/>
      <c r="NWU34" s="191"/>
      <c r="NWV34" s="191"/>
      <c r="NWW34" s="191"/>
      <c r="NWX34" s="191"/>
      <c r="NWY34" s="191"/>
      <c r="NWZ34" s="191"/>
      <c r="NXA34" s="191"/>
      <c r="NXB34" s="191"/>
      <c r="NXC34" s="191"/>
      <c r="NXD34" s="191"/>
      <c r="NXE34" s="191"/>
      <c r="NXF34" s="191"/>
      <c r="NXG34" s="191"/>
      <c r="NXH34" s="191"/>
      <c r="NXI34" s="191"/>
      <c r="NXJ34" s="191"/>
      <c r="NXK34" s="191"/>
      <c r="NXL34" s="191"/>
      <c r="NXM34" s="191"/>
      <c r="NXN34" s="191"/>
      <c r="NXO34" s="191"/>
      <c r="NXP34" s="191"/>
      <c r="NXQ34" s="191"/>
      <c r="NXR34" s="191"/>
      <c r="NXS34" s="191"/>
      <c r="NXT34" s="191"/>
      <c r="NXU34" s="191"/>
      <c r="NXV34" s="191"/>
      <c r="NXW34" s="191"/>
      <c r="NXX34" s="191"/>
      <c r="NXY34" s="191"/>
      <c r="NXZ34" s="191"/>
      <c r="NYA34" s="191"/>
      <c r="NYB34" s="191"/>
      <c r="NYC34" s="191"/>
      <c r="NYD34" s="191"/>
      <c r="NYE34" s="191"/>
      <c r="NYF34" s="191"/>
      <c r="NYG34" s="191"/>
      <c r="NYH34" s="191"/>
      <c r="NYI34" s="191"/>
      <c r="NYJ34" s="191"/>
      <c r="NYK34" s="191"/>
      <c r="NYL34" s="191"/>
      <c r="NYM34" s="191"/>
      <c r="NYN34" s="191"/>
      <c r="NYO34" s="191"/>
      <c r="NYP34" s="191"/>
      <c r="NYQ34" s="191"/>
      <c r="NYR34" s="191"/>
      <c r="NYS34" s="191"/>
      <c r="NYT34" s="191"/>
      <c r="NYU34" s="191"/>
      <c r="NYV34" s="191"/>
      <c r="NYW34" s="191"/>
      <c r="NYX34" s="191"/>
      <c r="NYY34" s="191"/>
      <c r="NYZ34" s="191"/>
      <c r="NZA34" s="191"/>
      <c r="NZB34" s="191"/>
      <c r="NZC34" s="191"/>
      <c r="NZD34" s="191"/>
      <c r="NZE34" s="191"/>
      <c r="NZF34" s="191"/>
      <c r="NZG34" s="191"/>
      <c r="NZH34" s="191"/>
      <c r="NZI34" s="191"/>
      <c r="NZJ34" s="191"/>
      <c r="NZK34" s="191"/>
      <c r="NZL34" s="191"/>
      <c r="NZM34" s="191"/>
      <c r="NZN34" s="191"/>
      <c r="NZO34" s="191"/>
      <c r="NZP34" s="191"/>
      <c r="NZQ34" s="191"/>
      <c r="NZR34" s="191"/>
      <c r="NZS34" s="191"/>
      <c r="NZT34" s="191"/>
      <c r="NZU34" s="191"/>
      <c r="NZV34" s="191"/>
      <c r="NZW34" s="191"/>
      <c r="NZX34" s="191"/>
      <c r="NZY34" s="191"/>
      <c r="NZZ34" s="191"/>
      <c r="OAA34" s="191"/>
      <c r="OAB34" s="191"/>
      <c r="OAC34" s="191"/>
      <c r="OAD34" s="191"/>
      <c r="OAE34" s="191"/>
      <c r="OAF34" s="191"/>
      <c r="OAG34" s="191"/>
      <c r="OAH34" s="191"/>
      <c r="OAI34" s="191"/>
      <c r="OAJ34" s="191"/>
      <c r="OAK34" s="191"/>
      <c r="OAL34" s="191"/>
      <c r="OAM34" s="191"/>
      <c r="OAN34" s="191"/>
      <c r="OAO34" s="191"/>
      <c r="OAP34" s="191"/>
      <c r="OAQ34" s="191"/>
      <c r="OAR34" s="191"/>
      <c r="OAS34" s="191"/>
      <c r="OAT34" s="191"/>
      <c r="OAU34" s="191"/>
      <c r="OAV34" s="191"/>
      <c r="OAW34" s="191"/>
      <c r="OAX34" s="191"/>
      <c r="OAY34" s="191"/>
      <c r="OAZ34" s="191"/>
      <c r="OBA34" s="191"/>
      <c r="OBB34" s="191"/>
      <c r="OBC34" s="191"/>
      <c r="OBD34" s="191"/>
      <c r="OBE34" s="191"/>
      <c r="OBF34" s="191"/>
      <c r="OBG34" s="191"/>
      <c r="OBH34" s="191"/>
      <c r="OBI34" s="191"/>
      <c r="OBJ34" s="191"/>
      <c r="OBK34" s="191"/>
      <c r="OBL34" s="191"/>
      <c r="OBM34" s="191"/>
      <c r="OBN34" s="191"/>
      <c r="OBO34" s="191"/>
      <c r="OBP34" s="191"/>
      <c r="OBQ34" s="191"/>
      <c r="OBR34" s="191"/>
      <c r="OBS34" s="191"/>
      <c r="OBT34" s="191"/>
      <c r="OBU34" s="191"/>
      <c r="OBV34" s="191"/>
      <c r="OBW34" s="191"/>
      <c r="OBX34" s="191"/>
      <c r="OBY34" s="191"/>
      <c r="OBZ34" s="191"/>
      <c r="OCA34" s="191"/>
      <c r="OCB34" s="191"/>
      <c r="OCC34" s="191"/>
      <c r="OCD34" s="191"/>
      <c r="OCE34" s="191"/>
      <c r="OCF34" s="191"/>
      <c r="OCG34" s="191"/>
      <c r="OCH34" s="191"/>
      <c r="OCI34" s="191"/>
      <c r="OCJ34" s="191"/>
      <c r="OCK34" s="191"/>
      <c r="OCL34" s="191"/>
      <c r="OCM34" s="191"/>
      <c r="OCN34" s="191"/>
      <c r="OCO34" s="191"/>
      <c r="OCP34" s="191"/>
      <c r="OCQ34" s="191"/>
      <c r="OCR34" s="191"/>
      <c r="OCS34" s="191"/>
      <c r="OCT34" s="191"/>
      <c r="OCU34" s="191"/>
      <c r="OCV34" s="191"/>
      <c r="OCW34" s="191"/>
      <c r="OCX34" s="191"/>
      <c r="OCY34" s="191"/>
      <c r="OCZ34" s="191"/>
      <c r="ODA34" s="191"/>
      <c r="ODB34" s="191"/>
      <c r="ODC34" s="191"/>
      <c r="ODD34" s="191"/>
      <c r="ODE34" s="191"/>
      <c r="ODF34" s="191"/>
      <c r="ODG34" s="191"/>
      <c r="ODH34" s="191"/>
      <c r="ODI34" s="191"/>
      <c r="ODJ34" s="191"/>
      <c r="ODK34" s="191"/>
      <c r="ODL34" s="191"/>
      <c r="ODM34" s="191"/>
      <c r="ODN34" s="191"/>
      <c r="ODO34" s="191"/>
      <c r="ODP34" s="191"/>
      <c r="ODQ34" s="191"/>
      <c r="ODR34" s="191"/>
      <c r="ODS34" s="191"/>
      <c r="ODT34" s="191"/>
      <c r="ODU34" s="191"/>
      <c r="ODV34" s="191"/>
      <c r="ODW34" s="191"/>
      <c r="ODX34" s="191"/>
      <c r="ODY34" s="191"/>
      <c r="ODZ34" s="191"/>
      <c r="OEA34" s="191"/>
      <c r="OEB34" s="191"/>
      <c r="OEC34" s="191"/>
      <c r="OED34" s="191"/>
      <c r="OEE34" s="191"/>
      <c r="OEF34" s="191"/>
      <c r="OEG34" s="191"/>
      <c r="OEH34" s="191"/>
      <c r="OEI34" s="191"/>
      <c r="OEJ34" s="191"/>
      <c r="OEK34" s="191"/>
      <c r="OEL34" s="191"/>
      <c r="OEM34" s="191"/>
      <c r="OEN34" s="191"/>
      <c r="OEO34" s="191"/>
      <c r="OEP34" s="191"/>
      <c r="OEQ34" s="191"/>
      <c r="OER34" s="191"/>
      <c r="OES34" s="191"/>
      <c r="OET34" s="191"/>
      <c r="OEU34" s="191"/>
      <c r="OEV34" s="191"/>
      <c r="OEW34" s="191"/>
      <c r="OEX34" s="191"/>
      <c r="OEY34" s="191"/>
      <c r="OEZ34" s="191"/>
      <c r="OFA34" s="191"/>
      <c r="OFB34" s="191"/>
      <c r="OFC34" s="191"/>
      <c r="OFD34" s="191"/>
      <c r="OFE34" s="191"/>
      <c r="OFF34" s="191"/>
      <c r="OFG34" s="191"/>
      <c r="OFH34" s="191"/>
      <c r="OFI34" s="191"/>
      <c r="OFJ34" s="191"/>
      <c r="OFK34" s="191"/>
      <c r="OFL34" s="191"/>
      <c r="OFM34" s="191"/>
      <c r="OFN34" s="191"/>
      <c r="OFO34" s="191"/>
      <c r="OFP34" s="191"/>
      <c r="OFQ34" s="191"/>
      <c r="OFR34" s="191"/>
      <c r="OFS34" s="191"/>
      <c r="OFT34" s="191"/>
      <c r="OFU34" s="191"/>
      <c r="OFV34" s="191"/>
      <c r="OFW34" s="191"/>
      <c r="OFX34" s="191"/>
      <c r="OFY34" s="191"/>
      <c r="OFZ34" s="191"/>
      <c r="OGA34" s="191"/>
      <c r="OGB34" s="191"/>
      <c r="OGC34" s="191"/>
      <c r="OGD34" s="191"/>
      <c r="OGE34" s="191"/>
      <c r="OGF34" s="191"/>
      <c r="OGG34" s="191"/>
      <c r="OGH34" s="191"/>
      <c r="OGI34" s="191"/>
      <c r="OGJ34" s="191"/>
      <c r="OGK34" s="191"/>
      <c r="OGL34" s="191"/>
      <c r="OGM34" s="191"/>
      <c r="OGN34" s="191"/>
      <c r="OGO34" s="191"/>
      <c r="OGP34" s="191"/>
      <c r="OGQ34" s="191"/>
      <c r="OGR34" s="191"/>
      <c r="OGS34" s="191"/>
      <c r="OGT34" s="191"/>
      <c r="OGU34" s="191"/>
      <c r="OGV34" s="191"/>
      <c r="OGW34" s="191"/>
      <c r="OGX34" s="191"/>
      <c r="OGY34" s="191"/>
      <c r="OGZ34" s="191"/>
      <c r="OHA34" s="191"/>
      <c r="OHB34" s="191"/>
      <c r="OHC34" s="191"/>
      <c r="OHD34" s="191"/>
      <c r="OHE34" s="191"/>
      <c r="OHF34" s="191"/>
      <c r="OHG34" s="191"/>
      <c r="OHH34" s="191"/>
      <c r="OHI34" s="191"/>
      <c r="OHJ34" s="191"/>
      <c r="OHK34" s="191"/>
      <c r="OHL34" s="191"/>
      <c r="OHM34" s="191"/>
      <c r="OHN34" s="191"/>
      <c r="OHO34" s="191"/>
      <c r="OHP34" s="191"/>
      <c r="OHQ34" s="191"/>
      <c r="OHR34" s="191"/>
      <c r="OHS34" s="191"/>
      <c r="OHT34" s="191"/>
      <c r="OHU34" s="191"/>
      <c r="OHV34" s="191"/>
      <c r="OHW34" s="191"/>
      <c r="OHX34" s="191"/>
      <c r="OHY34" s="191"/>
      <c r="OHZ34" s="191"/>
      <c r="OIA34" s="191"/>
      <c r="OIB34" s="191"/>
      <c r="OIC34" s="191"/>
      <c r="OID34" s="191"/>
      <c r="OIE34" s="191"/>
      <c r="OIF34" s="191"/>
      <c r="OIG34" s="191"/>
      <c r="OIH34" s="191"/>
      <c r="OII34" s="191"/>
      <c r="OIJ34" s="191"/>
      <c r="OIK34" s="191"/>
      <c r="OIL34" s="191"/>
      <c r="OIM34" s="191"/>
      <c r="OIN34" s="191"/>
      <c r="OIO34" s="191"/>
      <c r="OIP34" s="191"/>
      <c r="OIQ34" s="191"/>
      <c r="OIR34" s="191"/>
      <c r="OIS34" s="191"/>
      <c r="OIT34" s="191"/>
      <c r="OIU34" s="191"/>
      <c r="OIV34" s="191"/>
      <c r="OIW34" s="191"/>
      <c r="OIX34" s="191"/>
      <c r="OIY34" s="191"/>
      <c r="OIZ34" s="191"/>
      <c r="OJA34" s="191"/>
      <c r="OJB34" s="191"/>
      <c r="OJC34" s="191"/>
      <c r="OJD34" s="191"/>
      <c r="OJE34" s="191"/>
      <c r="OJF34" s="191"/>
      <c r="OJG34" s="191"/>
      <c r="OJH34" s="191"/>
      <c r="OJI34" s="191"/>
      <c r="OJJ34" s="191"/>
      <c r="OJK34" s="191"/>
      <c r="OJL34" s="191"/>
      <c r="OJM34" s="191"/>
      <c r="OJN34" s="191"/>
      <c r="OJO34" s="191"/>
      <c r="OJP34" s="191"/>
      <c r="OJQ34" s="191"/>
      <c r="OJR34" s="191"/>
      <c r="OJS34" s="191"/>
      <c r="OJT34" s="191"/>
      <c r="OJU34" s="191"/>
      <c r="OJV34" s="191"/>
      <c r="OJW34" s="191"/>
      <c r="OJX34" s="191"/>
      <c r="OJY34" s="191"/>
      <c r="OJZ34" s="191"/>
      <c r="OKA34" s="191"/>
      <c r="OKB34" s="191"/>
      <c r="OKC34" s="191"/>
      <c r="OKD34" s="191"/>
      <c r="OKE34" s="191"/>
      <c r="OKF34" s="191"/>
      <c r="OKG34" s="191"/>
      <c r="OKH34" s="191"/>
      <c r="OKI34" s="191"/>
      <c r="OKJ34" s="191"/>
      <c r="OKK34" s="191"/>
      <c r="OKL34" s="191"/>
      <c r="OKM34" s="191"/>
      <c r="OKN34" s="191"/>
      <c r="OKO34" s="191"/>
      <c r="OKP34" s="191"/>
      <c r="OKQ34" s="191"/>
      <c r="OKR34" s="191"/>
      <c r="OKS34" s="191"/>
      <c r="OKT34" s="191"/>
      <c r="OKU34" s="191"/>
      <c r="OKV34" s="191"/>
      <c r="OKW34" s="191"/>
      <c r="OKX34" s="191"/>
      <c r="OKY34" s="191"/>
      <c r="OKZ34" s="191"/>
      <c r="OLA34" s="191"/>
      <c r="OLB34" s="191"/>
      <c r="OLC34" s="191"/>
      <c r="OLD34" s="191"/>
      <c r="OLE34" s="191"/>
      <c r="OLF34" s="191"/>
      <c r="OLG34" s="191"/>
      <c r="OLH34" s="191"/>
      <c r="OLI34" s="191"/>
      <c r="OLJ34" s="191"/>
      <c r="OLK34" s="191"/>
      <c r="OLL34" s="191"/>
      <c r="OLM34" s="191"/>
      <c r="OLN34" s="191"/>
      <c r="OLO34" s="191"/>
      <c r="OLP34" s="191"/>
      <c r="OLQ34" s="191"/>
      <c r="OLR34" s="191"/>
      <c r="OLS34" s="191"/>
      <c r="OLT34" s="191"/>
      <c r="OLU34" s="191"/>
      <c r="OLV34" s="191"/>
      <c r="OLW34" s="191"/>
      <c r="OLX34" s="191"/>
      <c r="OLY34" s="191"/>
      <c r="OLZ34" s="191"/>
      <c r="OMA34" s="191"/>
      <c r="OMB34" s="191"/>
      <c r="OMC34" s="191"/>
      <c r="OMD34" s="191"/>
      <c r="OME34" s="191"/>
      <c r="OMF34" s="191"/>
      <c r="OMG34" s="191"/>
      <c r="OMH34" s="191"/>
      <c r="OMI34" s="191"/>
      <c r="OMJ34" s="191"/>
      <c r="OMK34" s="191"/>
      <c r="OML34" s="191"/>
      <c r="OMM34" s="191"/>
      <c r="OMN34" s="191"/>
      <c r="OMO34" s="191"/>
      <c r="OMP34" s="191"/>
      <c r="OMQ34" s="191"/>
      <c r="OMR34" s="191"/>
      <c r="OMS34" s="191"/>
      <c r="OMT34" s="191"/>
      <c r="OMU34" s="191"/>
      <c r="OMV34" s="191"/>
      <c r="OMW34" s="191"/>
      <c r="OMX34" s="191"/>
      <c r="OMY34" s="191"/>
      <c r="OMZ34" s="191"/>
      <c r="ONA34" s="191"/>
      <c r="ONB34" s="191"/>
      <c r="ONC34" s="191"/>
      <c r="OND34" s="191"/>
      <c r="ONE34" s="191"/>
      <c r="ONF34" s="191"/>
      <c r="ONG34" s="191"/>
      <c r="ONH34" s="191"/>
      <c r="ONI34" s="191"/>
      <c r="ONJ34" s="191"/>
      <c r="ONK34" s="191"/>
      <c r="ONL34" s="191"/>
      <c r="ONM34" s="191"/>
      <c r="ONN34" s="191"/>
      <c r="ONO34" s="191"/>
      <c r="ONP34" s="191"/>
      <c r="ONQ34" s="191"/>
      <c r="ONR34" s="191"/>
      <c r="ONS34" s="191"/>
      <c r="ONT34" s="191"/>
      <c r="ONU34" s="191"/>
      <c r="ONV34" s="191"/>
      <c r="ONW34" s="191"/>
      <c r="ONX34" s="191"/>
      <c r="ONY34" s="191"/>
      <c r="ONZ34" s="191"/>
      <c r="OOA34" s="191"/>
      <c r="OOB34" s="191"/>
      <c r="OOC34" s="191"/>
      <c r="OOD34" s="191"/>
      <c r="OOE34" s="191"/>
      <c r="OOF34" s="191"/>
      <c r="OOG34" s="191"/>
      <c r="OOH34" s="191"/>
      <c r="OOI34" s="191"/>
      <c r="OOJ34" s="191"/>
      <c r="OOK34" s="191"/>
      <c r="OOL34" s="191"/>
      <c r="OOM34" s="191"/>
      <c r="OON34" s="191"/>
      <c r="OOO34" s="191"/>
      <c r="OOP34" s="191"/>
      <c r="OOQ34" s="191"/>
      <c r="OOR34" s="191"/>
      <c r="OOS34" s="191"/>
      <c r="OOT34" s="191"/>
      <c r="OOU34" s="191"/>
      <c r="OOV34" s="191"/>
      <c r="OOW34" s="191"/>
      <c r="OOX34" s="191"/>
      <c r="OOY34" s="191"/>
      <c r="OOZ34" s="191"/>
      <c r="OPA34" s="191"/>
      <c r="OPB34" s="191"/>
      <c r="OPC34" s="191"/>
      <c r="OPD34" s="191"/>
      <c r="OPE34" s="191"/>
      <c r="OPF34" s="191"/>
      <c r="OPG34" s="191"/>
      <c r="OPH34" s="191"/>
      <c r="OPI34" s="191"/>
      <c r="OPJ34" s="191"/>
      <c r="OPK34" s="191"/>
      <c r="OPL34" s="191"/>
      <c r="OPM34" s="191"/>
      <c r="OPN34" s="191"/>
      <c r="OPO34" s="191"/>
      <c r="OPP34" s="191"/>
      <c r="OPQ34" s="191"/>
      <c r="OPR34" s="191"/>
      <c r="OPS34" s="191"/>
      <c r="OPT34" s="191"/>
      <c r="OPU34" s="191"/>
      <c r="OPV34" s="191"/>
      <c r="OPW34" s="191"/>
      <c r="OPX34" s="191"/>
      <c r="OPY34" s="191"/>
      <c r="OPZ34" s="191"/>
      <c r="OQA34" s="191"/>
      <c r="OQB34" s="191"/>
      <c r="OQC34" s="191"/>
      <c r="OQD34" s="191"/>
      <c r="OQE34" s="191"/>
      <c r="OQF34" s="191"/>
      <c r="OQG34" s="191"/>
      <c r="OQH34" s="191"/>
      <c r="OQI34" s="191"/>
      <c r="OQJ34" s="191"/>
      <c r="OQK34" s="191"/>
      <c r="OQL34" s="191"/>
      <c r="OQM34" s="191"/>
      <c r="OQN34" s="191"/>
      <c r="OQO34" s="191"/>
      <c r="OQP34" s="191"/>
      <c r="OQQ34" s="191"/>
      <c r="OQR34" s="191"/>
      <c r="OQS34" s="191"/>
      <c r="OQT34" s="191"/>
      <c r="OQU34" s="191"/>
      <c r="OQV34" s="191"/>
      <c r="OQW34" s="191"/>
      <c r="OQX34" s="191"/>
      <c r="OQY34" s="191"/>
      <c r="OQZ34" s="191"/>
      <c r="ORA34" s="191"/>
      <c r="ORB34" s="191"/>
      <c r="ORC34" s="191"/>
      <c r="ORD34" s="191"/>
      <c r="ORE34" s="191"/>
      <c r="ORF34" s="191"/>
      <c r="ORG34" s="191"/>
      <c r="ORH34" s="191"/>
      <c r="ORI34" s="191"/>
      <c r="ORJ34" s="191"/>
      <c r="ORK34" s="191"/>
      <c r="ORL34" s="191"/>
      <c r="ORM34" s="191"/>
      <c r="ORN34" s="191"/>
      <c r="ORO34" s="191"/>
      <c r="ORP34" s="191"/>
      <c r="ORQ34" s="191"/>
      <c r="ORR34" s="191"/>
      <c r="ORS34" s="191"/>
      <c r="ORT34" s="191"/>
      <c r="ORU34" s="191"/>
      <c r="ORV34" s="191"/>
      <c r="ORW34" s="191"/>
      <c r="ORX34" s="191"/>
      <c r="ORY34" s="191"/>
      <c r="ORZ34" s="191"/>
      <c r="OSA34" s="191"/>
      <c r="OSB34" s="191"/>
      <c r="OSC34" s="191"/>
      <c r="OSD34" s="191"/>
      <c r="OSE34" s="191"/>
      <c r="OSF34" s="191"/>
      <c r="OSG34" s="191"/>
      <c r="OSH34" s="191"/>
      <c r="OSI34" s="191"/>
      <c r="OSJ34" s="191"/>
      <c r="OSK34" s="191"/>
      <c r="OSL34" s="191"/>
      <c r="OSM34" s="191"/>
      <c r="OSN34" s="191"/>
      <c r="OSO34" s="191"/>
      <c r="OSP34" s="191"/>
      <c r="OSQ34" s="191"/>
      <c r="OSR34" s="191"/>
      <c r="OSS34" s="191"/>
      <c r="OST34" s="191"/>
      <c r="OSU34" s="191"/>
      <c r="OSV34" s="191"/>
      <c r="OSW34" s="191"/>
      <c r="OSX34" s="191"/>
      <c r="OSY34" s="191"/>
      <c r="OSZ34" s="191"/>
      <c r="OTA34" s="191"/>
      <c r="OTB34" s="191"/>
      <c r="OTC34" s="191"/>
      <c r="OTD34" s="191"/>
      <c r="OTE34" s="191"/>
      <c r="OTF34" s="191"/>
      <c r="OTG34" s="191"/>
      <c r="OTH34" s="191"/>
      <c r="OTI34" s="191"/>
      <c r="OTJ34" s="191"/>
      <c r="OTK34" s="191"/>
      <c r="OTL34" s="191"/>
      <c r="OTM34" s="191"/>
      <c r="OTN34" s="191"/>
      <c r="OTO34" s="191"/>
      <c r="OTP34" s="191"/>
      <c r="OTQ34" s="191"/>
      <c r="OTR34" s="191"/>
      <c r="OTS34" s="191"/>
      <c r="OTT34" s="191"/>
      <c r="OTU34" s="191"/>
      <c r="OTV34" s="191"/>
      <c r="OTW34" s="191"/>
      <c r="OTX34" s="191"/>
      <c r="OTY34" s="191"/>
      <c r="OTZ34" s="191"/>
      <c r="OUA34" s="191"/>
      <c r="OUB34" s="191"/>
      <c r="OUC34" s="191"/>
      <c r="OUD34" s="191"/>
      <c r="OUE34" s="191"/>
      <c r="OUF34" s="191"/>
      <c r="OUG34" s="191"/>
      <c r="OUH34" s="191"/>
      <c r="OUI34" s="191"/>
      <c r="OUJ34" s="191"/>
      <c r="OUK34" s="191"/>
      <c r="OUL34" s="191"/>
      <c r="OUM34" s="191"/>
      <c r="OUN34" s="191"/>
      <c r="OUO34" s="191"/>
      <c r="OUP34" s="191"/>
      <c r="OUQ34" s="191"/>
      <c r="OUR34" s="191"/>
      <c r="OUS34" s="191"/>
      <c r="OUT34" s="191"/>
      <c r="OUU34" s="191"/>
      <c r="OUV34" s="191"/>
      <c r="OUW34" s="191"/>
      <c r="OUX34" s="191"/>
      <c r="OUY34" s="191"/>
      <c r="OUZ34" s="191"/>
      <c r="OVA34" s="191"/>
      <c r="OVB34" s="191"/>
      <c r="OVC34" s="191"/>
      <c r="OVD34" s="191"/>
      <c r="OVE34" s="191"/>
      <c r="OVF34" s="191"/>
      <c r="OVG34" s="191"/>
      <c r="OVH34" s="191"/>
      <c r="OVI34" s="191"/>
      <c r="OVJ34" s="191"/>
      <c r="OVK34" s="191"/>
      <c r="OVL34" s="191"/>
      <c r="OVM34" s="191"/>
      <c r="OVN34" s="191"/>
      <c r="OVO34" s="191"/>
      <c r="OVP34" s="191"/>
      <c r="OVQ34" s="191"/>
      <c r="OVR34" s="191"/>
      <c r="OVS34" s="191"/>
      <c r="OVT34" s="191"/>
      <c r="OVU34" s="191"/>
      <c r="OVV34" s="191"/>
      <c r="OVW34" s="191"/>
      <c r="OVX34" s="191"/>
      <c r="OVY34" s="191"/>
      <c r="OVZ34" s="191"/>
      <c r="OWA34" s="191"/>
      <c r="OWB34" s="191"/>
      <c r="OWC34" s="191"/>
      <c r="OWD34" s="191"/>
      <c r="OWE34" s="191"/>
      <c r="OWF34" s="191"/>
      <c r="OWG34" s="191"/>
      <c r="OWH34" s="191"/>
      <c r="OWI34" s="191"/>
      <c r="OWJ34" s="191"/>
      <c r="OWK34" s="191"/>
      <c r="OWL34" s="191"/>
      <c r="OWM34" s="191"/>
      <c r="OWN34" s="191"/>
      <c r="OWO34" s="191"/>
      <c r="OWP34" s="191"/>
      <c r="OWQ34" s="191"/>
      <c r="OWR34" s="191"/>
      <c r="OWS34" s="191"/>
      <c r="OWT34" s="191"/>
      <c r="OWU34" s="191"/>
      <c r="OWV34" s="191"/>
      <c r="OWW34" s="191"/>
      <c r="OWX34" s="191"/>
      <c r="OWY34" s="191"/>
      <c r="OWZ34" s="191"/>
      <c r="OXA34" s="191"/>
      <c r="OXB34" s="191"/>
      <c r="OXC34" s="191"/>
      <c r="OXD34" s="191"/>
      <c r="OXE34" s="191"/>
      <c r="OXF34" s="191"/>
      <c r="OXG34" s="191"/>
      <c r="OXH34" s="191"/>
      <c r="OXI34" s="191"/>
      <c r="OXJ34" s="191"/>
      <c r="OXK34" s="191"/>
      <c r="OXL34" s="191"/>
      <c r="OXM34" s="191"/>
      <c r="OXN34" s="191"/>
      <c r="OXO34" s="191"/>
      <c r="OXP34" s="191"/>
      <c r="OXQ34" s="191"/>
      <c r="OXR34" s="191"/>
      <c r="OXS34" s="191"/>
      <c r="OXT34" s="191"/>
      <c r="OXU34" s="191"/>
      <c r="OXV34" s="191"/>
      <c r="OXW34" s="191"/>
      <c r="OXX34" s="191"/>
      <c r="OXY34" s="191"/>
      <c r="OXZ34" s="191"/>
      <c r="OYA34" s="191"/>
      <c r="OYB34" s="191"/>
      <c r="OYC34" s="191"/>
      <c r="OYD34" s="191"/>
      <c r="OYE34" s="191"/>
      <c r="OYF34" s="191"/>
      <c r="OYG34" s="191"/>
      <c r="OYH34" s="191"/>
      <c r="OYI34" s="191"/>
      <c r="OYJ34" s="191"/>
      <c r="OYK34" s="191"/>
      <c r="OYL34" s="191"/>
      <c r="OYM34" s="191"/>
      <c r="OYN34" s="191"/>
      <c r="OYO34" s="191"/>
      <c r="OYP34" s="191"/>
      <c r="OYQ34" s="191"/>
      <c r="OYR34" s="191"/>
      <c r="OYS34" s="191"/>
      <c r="OYT34" s="191"/>
      <c r="OYU34" s="191"/>
      <c r="OYV34" s="191"/>
      <c r="OYW34" s="191"/>
      <c r="OYX34" s="191"/>
      <c r="OYY34" s="191"/>
      <c r="OYZ34" s="191"/>
      <c r="OZA34" s="191"/>
      <c r="OZB34" s="191"/>
      <c r="OZC34" s="191"/>
      <c r="OZD34" s="191"/>
      <c r="OZE34" s="191"/>
      <c r="OZF34" s="191"/>
      <c r="OZG34" s="191"/>
      <c r="OZH34" s="191"/>
      <c r="OZI34" s="191"/>
      <c r="OZJ34" s="191"/>
      <c r="OZK34" s="191"/>
      <c r="OZL34" s="191"/>
      <c r="OZM34" s="191"/>
      <c r="OZN34" s="191"/>
      <c r="OZO34" s="191"/>
      <c r="OZP34" s="191"/>
      <c r="OZQ34" s="191"/>
      <c r="OZR34" s="191"/>
      <c r="OZS34" s="191"/>
      <c r="OZT34" s="191"/>
      <c r="OZU34" s="191"/>
      <c r="OZV34" s="191"/>
      <c r="OZW34" s="191"/>
      <c r="OZX34" s="191"/>
      <c r="OZY34" s="191"/>
      <c r="OZZ34" s="191"/>
      <c r="PAA34" s="191"/>
      <c r="PAB34" s="191"/>
      <c r="PAC34" s="191"/>
      <c r="PAD34" s="191"/>
      <c r="PAE34" s="191"/>
      <c r="PAF34" s="191"/>
      <c r="PAG34" s="191"/>
      <c r="PAH34" s="191"/>
      <c r="PAI34" s="191"/>
      <c r="PAJ34" s="191"/>
      <c r="PAK34" s="191"/>
      <c r="PAL34" s="191"/>
      <c r="PAM34" s="191"/>
      <c r="PAN34" s="191"/>
      <c r="PAO34" s="191"/>
      <c r="PAP34" s="191"/>
      <c r="PAQ34" s="191"/>
      <c r="PAR34" s="191"/>
      <c r="PAS34" s="191"/>
      <c r="PAT34" s="191"/>
      <c r="PAU34" s="191"/>
      <c r="PAV34" s="191"/>
      <c r="PAW34" s="191"/>
      <c r="PAX34" s="191"/>
      <c r="PAY34" s="191"/>
      <c r="PAZ34" s="191"/>
      <c r="PBA34" s="191"/>
      <c r="PBB34" s="191"/>
      <c r="PBC34" s="191"/>
      <c r="PBD34" s="191"/>
      <c r="PBE34" s="191"/>
      <c r="PBF34" s="191"/>
      <c r="PBG34" s="191"/>
      <c r="PBH34" s="191"/>
      <c r="PBI34" s="191"/>
      <c r="PBJ34" s="191"/>
      <c r="PBK34" s="191"/>
      <c r="PBL34" s="191"/>
      <c r="PBM34" s="191"/>
      <c r="PBN34" s="191"/>
      <c r="PBO34" s="191"/>
      <c r="PBP34" s="191"/>
      <c r="PBQ34" s="191"/>
      <c r="PBR34" s="191"/>
      <c r="PBS34" s="191"/>
      <c r="PBT34" s="191"/>
      <c r="PBU34" s="191"/>
      <c r="PBV34" s="191"/>
      <c r="PBW34" s="191"/>
      <c r="PBX34" s="191"/>
      <c r="PBY34" s="191"/>
      <c r="PBZ34" s="191"/>
      <c r="PCA34" s="191"/>
      <c r="PCB34" s="191"/>
      <c r="PCC34" s="191"/>
      <c r="PCD34" s="191"/>
      <c r="PCE34" s="191"/>
      <c r="PCF34" s="191"/>
      <c r="PCG34" s="191"/>
      <c r="PCH34" s="191"/>
      <c r="PCI34" s="191"/>
      <c r="PCJ34" s="191"/>
      <c r="PCK34" s="191"/>
      <c r="PCL34" s="191"/>
      <c r="PCM34" s="191"/>
      <c r="PCN34" s="191"/>
      <c r="PCO34" s="191"/>
      <c r="PCP34" s="191"/>
      <c r="PCQ34" s="191"/>
      <c r="PCR34" s="191"/>
      <c r="PCS34" s="191"/>
      <c r="PCT34" s="191"/>
      <c r="PCU34" s="191"/>
      <c r="PCV34" s="191"/>
      <c r="PCW34" s="191"/>
      <c r="PCX34" s="191"/>
      <c r="PCY34" s="191"/>
      <c r="PCZ34" s="191"/>
      <c r="PDA34" s="191"/>
      <c r="PDB34" s="191"/>
      <c r="PDC34" s="191"/>
      <c r="PDD34" s="191"/>
      <c r="PDE34" s="191"/>
      <c r="PDF34" s="191"/>
      <c r="PDG34" s="191"/>
      <c r="PDH34" s="191"/>
      <c r="PDI34" s="191"/>
      <c r="PDJ34" s="191"/>
      <c r="PDK34" s="191"/>
      <c r="PDL34" s="191"/>
      <c r="PDM34" s="191"/>
      <c r="PDN34" s="191"/>
      <c r="PDO34" s="191"/>
      <c r="PDP34" s="191"/>
      <c r="PDQ34" s="191"/>
      <c r="PDR34" s="191"/>
      <c r="PDS34" s="191"/>
      <c r="PDT34" s="191"/>
      <c r="PDU34" s="191"/>
      <c r="PDV34" s="191"/>
      <c r="PDW34" s="191"/>
      <c r="PDX34" s="191"/>
      <c r="PDY34" s="191"/>
      <c r="PDZ34" s="191"/>
      <c r="PEA34" s="191"/>
      <c r="PEB34" s="191"/>
      <c r="PEC34" s="191"/>
      <c r="PED34" s="191"/>
      <c r="PEE34" s="191"/>
      <c r="PEF34" s="191"/>
      <c r="PEG34" s="191"/>
      <c r="PEH34" s="191"/>
      <c r="PEI34" s="191"/>
      <c r="PEJ34" s="191"/>
      <c r="PEK34" s="191"/>
      <c r="PEL34" s="191"/>
      <c r="PEM34" s="191"/>
      <c r="PEN34" s="191"/>
      <c r="PEO34" s="191"/>
      <c r="PEP34" s="191"/>
      <c r="PEQ34" s="191"/>
      <c r="PER34" s="191"/>
      <c r="PES34" s="191"/>
      <c r="PET34" s="191"/>
      <c r="PEU34" s="191"/>
      <c r="PEV34" s="191"/>
      <c r="PEW34" s="191"/>
      <c r="PEX34" s="191"/>
      <c r="PEY34" s="191"/>
      <c r="PEZ34" s="191"/>
      <c r="PFA34" s="191"/>
      <c r="PFB34" s="191"/>
      <c r="PFC34" s="191"/>
      <c r="PFD34" s="191"/>
      <c r="PFE34" s="191"/>
      <c r="PFF34" s="191"/>
      <c r="PFG34" s="191"/>
      <c r="PFH34" s="191"/>
      <c r="PFI34" s="191"/>
      <c r="PFJ34" s="191"/>
      <c r="PFK34" s="191"/>
      <c r="PFL34" s="191"/>
      <c r="PFM34" s="191"/>
      <c r="PFN34" s="191"/>
      <c r="PFO34" s="191"/>
      <c r="PFP34" s="191"/>
      <c r="PFQ34" s="191"/>
      <c r="PFR34" s="191"/>
      <c r="PFS34" s="191"/>
      <c r="PFT34" s="191"/>
      <c r="PFU34" s="191"/>
      <c r="PFV34" s="191"/>
      <c r="PFW34" s="191"/>
      <c r="PFX34" s="191"/>
      <c r="PFY34" s="191"/>
      <c r="PFZ34" s="191"/>
      <c r="PGA34" s="191"/>
      <c r="PGB34" s="191"/>
      <c r="PGC34" s="191"/>
      <c r="PGD34" s="191"/>
      <c r="PGE34" s="191"/>
      <c r="PGF34" s="191"/>
      <c r="PGG34" s="191"/>
      <c r="PGH34" s="191"/>
      <c r="PGI34" s="191"/>
      <c r="PGJ34" s="191"/>
      <c r="PGK34" s="191"/>
      <c r="PGL34" s="191"/>
      <c r="PGM34" s="191"/>
      <c r="PGN34" s="191"/>
      <c r="PGO34" s="191"/>
      <c r="PGP34" s="191"/>
      <c r="PGQ34" s="191"/>
      <c r="PGR34" s="191"/>
      <c r="PGS34" s="191"/>
      <c r="PGT34" s="191"/>
      <c r="PGU34" s="191"/>
      <c r="PGV34" s="191"/>
      <c r="PGW34" s="191"/>
      <c r="PGX34" s="191"/>
      <c r="PGY34" s="191"/>
      <c r="PGZ34" s="191"/>
      <c r="PHA34" s="191"/>
      <c r="PHB34" s="191"/>
      <c r="PHC34" s="191"/>
      <c r="PHD34" s="191"/>
      <c r="PHE34" s="191"/>
      <c r="PHF34" s="191"/>
      <c r="PHG34" s="191"/>
      <c r="PHH34" s="191"/>
      <c r="PHI34" s="191"/>
      <c r="PHJ34" s="191"/>
      <c r="PHK34" s="191"/>
      <c r="PHL34" s="191"/>
      <c r="PHM34" s="191"/>
      <c r="PHN34" s="191"/>
      <c r="PHO34" s="191"/>
      <c r="PHP34" s="191"/>
      <c r="PHQ34" s="191"/>
      <c r="PHR34" s="191"/>
      <c r="PHS34" s="191"/>
      <c r="PHT34" s="191"/>
      <c r="PHU34" s="191"/>
      <c r="PHV34" s="191"/>
      <c r="PHW34" s="191"/>
      <c r="PHX34" s="191"/>
      <c r="PHY34" s="191"/>
      <c r="PHZ34" s="191"/>
      <c r="PIA34" s="191"/>
      <c r="PIB34" s="191"/>
      <c r="PIC34" s="191"/>
      <c r="PID34" s="191"/>
      <c r="PIE34" s="191"/>
      <c r="PIF34" s="191"/>
      <c r="PIG34" s="191"/>
      <c r="PIH34" s="191"/>
      <c r="PII34" s="191"/>
      <c r="PIJ34" s="191"/>
      <c r="PIK34" s="191"/>
      <c r="PIL34" s="191"/>
      <c r="PIM34" s="191"/>
      <c r="PIN34" s="191"/>
      <c r="PIO34" s="191"/>
      <c r="PIP34" s="191"/>
      <c r="PIQ34" s="191"/>
      <c r="PIR34" s="191"/>
      <c r="PIS34" s="191"/>
      <c r="PIT34" s="191"/>
      <c r="PIU34" s="191"/>
      <c r="PIV34" s="191"/>
      <c r="PIW34" s="191"/>
      <c r="PIX34" s="191"/>
      <c r="PIY34" s="191"/>
      <c r="PIZ34" s="191"/>
      <c r="PJA34" s="191"/>
      <c r="PJB34" s="191"/>
      <c r="PJC34" s="191"/>
      <c r="PJD34" s="191"/>
      <c r="PJE34" s="191"/>
      <c r="PJF34" s="191"/>
      <c r="PJG34" s="191"/>
      <c r="PJH34" s="191"/>
      <c r="PJI34" s="191"/>
      <c r="PJJ34" s="191"/>
      <c r="PJK34" s="191"/>
      <c r="PJL34" s="191"/>
      <c r="PJM34" s="191"/>
      <c r="PJN34" s="191"/>
      <c r="PJO34" s="191"/>
      <c r="PJP34" s="191"/>
      <c r="PJQ34" s="191"/>
      <c r="PJR34" s="191"/>
      <c r="PJS34" s="191"/>
      <c r="PJT34" s="191"/>
      <c r="PJU34" s="191"/>
      <c r="PJV34" s="191"/>
      <c r="PJW34" s="191"/>
      <c r="PJX34" s="191"/>
      <c r="PJY34" s="191"/>
      <c r="PJZ34" s="191"/>
      <c r="PKA34" s="191"/>
      <c r="PKB34" s="191"/>
      <c r="PKC34" s="191"/>
      <c r="PKD34" s="191"/>
      <c r="PKE34" s="191"/>
      <c r="PKF34" s="191"/>
      <c r="PKG34" s="191"/>
      <c r="PKH34" s="191"/>
      <c r="PKI34" s="191"/>
      <c r="PKJ34" s="191"/>
      <c r="PKK34" s="191"/>
      <c r="PKL34" s="191"/>
      <c r="PKM34" s="191"/>
      <c r="PKN34" s="191"/>
      <c r="PKO34" s="191"/>
      <c r="PKP34" s="191"/>
      <c r="PKQ34" s="191"/>
      <c r="PKR34" s="191"/>
      <c r="PKS34" s="191"/>
      <c r="PKT34" s="191"/>
      <c r="PKU34" s="191"/>
      <c r="PKV34" s="191"/>
      <c r="PKW34" s="191"/>
      <c r="PKX34" s="191"/>
      <c r="PKY34" s="191"/>
      <c r="PKZ34" s="191"/>
      <c r="PLA34" s="191"/>
      <c r="PLB34" s="191"/>
      <c r="PLC34" s="191"/>
      <c r="PLD34" s="191"/>
      <c r="PLE34" s="191"/>
      <c r="PLF34" s="191"/>
      <c r="PLG34" s="191"/>
      <c r="PLH34" s="191"/>
      <c r="PLI34" s="191"/>
      <c r="PLJ34" s="191"/>
      <c r="PLK34" s="191"/>
      <c r="PLL34" s="191"/>
      <c r="PLM34" s="191"/>
      <c r="PLN34" s="191"/>
      <c r="PLO34" s="191"/>
      <c r="PLP34" s="191"/>
      <c r="PLQ34" s="191"/>
      <c r="PLR34" s="191"/>
      <c r="PLS34" s="191"/>
      <c r="PLT34" s="191"/>
      <c r="PLU34" s="191"/>
      <c r="PLV34" s="191"/>
      <c r="PLW34" s="191"/>
      <c r="PLX34" s="191"/>
      <c r="PLY34" s="191"/>
      <c r="PLZ34" s="191"/>
      <c r="PMA34" s="191"/>
      <c r="PMB34" s="191"/>
      <c r="PMC34" s="191"/>
      <c r="PMD34" s="191"/>
      <c r="PME34" s="191"/>
      <c r="PMF34" s="191"/>
      <c r="PMG34" s="191"/>
      <c r="PMH34" s="191"/>
      <c r="PMI34" s="191"/>
      <c r="PMJ34" s="191"/>
      <c r="PMK34" s="191"/>
      <c r="PML34" s="191"/>
      <c r="PMM34" s="191"/>
      <c r="PMN34" s="191"/>
      <c r="PMO34" s="191"/>
      <c r="PMP34" s="191"/>
      <c r="PMQ34" s="191"/>
      <c r="PMR34" s="191"/>
      <c r="PMS34" s="191"/>
      <c r="PMT34" s="191"/>
      <c r="PMU34" s="191"/>
      <c r="PMV34" s="191"/>
      <c r="PMW34" s="191"/>
      <c r="PMX34" s="191"/>
      <c r="PMY34" s="191"/>
      <c r="PMZ34" s="191"/>
      <c r="PNA34" s="191"/>
      <c r="PNB34" s="191"/>
      <c r="PNC34" s="191"/>
      <c r="PND34" s="191"/>
      <c r="PNE34" s="191"/>
      <c r="PNF34" s="191"/>
      <c r="PNG34" s="191"/>
      <c r="PNH34" s="191"/>
      <c r="PNI34" s="191"/>
      <c r="PNJ34" s="191"/>
      <c r="PNK34" s="191"/>
      <c r="PNL34" s="191"/>
      <c r="PNM34" s="191"/>
      <c r="PNN34" s="191"/>
      <c r="PNO34" s="191"/>
      <c r="PNP34" s="191"/>
      <c r="PNQ34" s="191"/>
      <c r="PNR34" s="191"/>
      <c r="PNS34" s="191"/>
      <c r="PNT34" s="191"/>
      <c r="PNU34" s="191"/>
      <c r="PNV34" s="191"/>
      <c r="PNW34" s="191"/>
      <c r="PNX34" s="191"/>
      <c r="PNY34" s="191"/>
      <c r="PNZ34" s="191"/>
      <c r="POA34" s="191"/>
      <c r="POB34" s="191"/>
      <c r="POC34" s="191"/>
      <c r="POD34" s="191"/>
      <c r="POE34" s="191"/>
      <c r="POF34" s="191"/>
      <c r="POG34" s="191"/>
      <c r="POH34" s="191"/>
      <c r="POI34" s="191"/>
      <c r="POJ34" s="191"/>
      <c r="POK34" s="191"/>
      <c r="POL34" s="191"/>
      <c r="POM34" s="191"/>
      <c r="PON34" s="191"/>
      <c r="POO34" s="191"/>
      <c r="POP34" s="191"/>
      <c r="POQ34" s="191"/>
      <c r="POR34" s="191"/>
      <c r="POS34" s="191"/>
      <c r="POT34" s="191"/>
      <c r="POU34" s="191"/>
      <c r="POV34" s="191"/>
      <c r="POW34" s="191"/>
      <c r="POX34" s="191"/>
      <c r="POY34" s="191"/>
      <c r="POZ34" s="191"/>
      <c r="PPA34" s="191"/>
      <c r="PPB34" s="191"/>
      <c r="PPC34" s="191"/>
      <c r="PPD34" s="191"/>
      <c r="PPE34" s="191"/>
      <c r="PPF34" s="191"/>
      <c r="PPG34" s="191"/>
      <c r="PPH34" s="191"/>
      <c r="PPI34" s="191"/>
      <c r="PPJ34" s="191"/>
      <c r="PPK34" s="191"/>
      <c r="PPL34" s="191"/>
      <c r="PPM34" s="191"/>
      <c r="PPN34" s="191"/>
      <c r="PPO34" s="191"/>
      <c r="PPP34" s="191"/>
      <c r="PPQ34" s="191"/>
      <c r="PPR34" s="191"/>
      <c r="PPS34" s="191"/>
      <c r="PPT34" s="191"/>
      <c r="PPU34" s="191"/>
      <c r="PPV34" s="191"/>
      <c r="PPW34" s="191"/>
      <c r="PPX34" s="191"/>
      <c r="PPY34" s="191"/>
      <c r="PPZ34" s="191"/>
      <c r="PQA34" s="191"/>
      <c r="PQB34" s="191"/>
      <c r="PQC34" s="191"/>
      <c r="PQD34" s="191"/>
      <c r="PQE34" s="191"/>
      <c r="PQF34" s="191"/>
      <c r="PQG34" s="191"/>
      <c r="PQH34" s="191"/>
      <c r="PQI34" s="191"/>
      <c r="PQJ34" s="191"/>
      <c r="PQK34" s="191"/>
      <c r="PQL34" s="191"/>
      <c r="PQM34" s="191"/>
      <c r="PQN34" s="191"/>
      <c r="PQO34" s="191"/>
      <c r="PQP34" s="191"/>
      <c r="PQQ34" s="191"/>
      <c r="PQR34" s="191"/>
      <c r="PQS34" s="191"/>
      <c r="PQT34" s="191"/>
      <c r="PQU34" s="191"/>
      <c r="PQV34" s="191"/>
      <c r="PQW34" s="191"/>
      <c r="PQX34" s="191"/>
      <c r="PQY34" s="191"/>
      <c r="PQZ34" s="191"/>
      <c r="PRA34" s="191"/>
      <c r="PRB34" s="191"/>
      <c r="PRC34" s="191"/>
      <c r="PRD34" s="191"/>
      <c r="PRE34" s="191"/>
      <c r="PRF34" s="191"/>
      <c r="PRG34" s="191"/>
      <c r="PRH34" s="191"/>
      <c r="PRI34" s="191"/>
      <c r="PRJ34" s="191"/>
      <c r="PRK34" s="191"/>
      <c r="PRL34" s="191"/>
      <c r="PRM34" s="191"/>
      <c r="PRN34" s="191"/>
      <c r="PRO34" s="191"/>
      <c r="PRP34" s="191"/>
      <c r="PRQ34" s="191"/>
      <c r="PRR34" s="191"/>
      <c r="PRS34" s="191"/>
      <c r="PRT34" s="191"/>
      <c r="PRU34" s="191"/>
      <c r="PRV34" s="191"/>
      <c r="PRW34" s="191"/>
      <c r="PRX34" s="191"/>
      <c r="PRY34" s="191"/>
      <c r="PRZ34" s="191"/>
      <c r="PSA34" s="191"/>
      <c r="PSB34" s="191"/>
      <c r="PSC34" s="191"/>
      <c r="PSD34" s="191"/>
      <c r="PSE34" s="191"/>
      <c r="PSF34" s="191"/>
      <c r="PSG34" s="191"/>
      <c r="PSH34" s="191"/>
      <c r="PSI34" s="191"/>
      <c r="PSJ34" s="191"/>
      <c r="PSK34" s="191"/>
      <c r="PSL34" s="191"/>
      <c r="PSM34" s="191"/>
      <c r="PSN34" s="191"/>
      <c r="PSO34" s="191"/>
      <c r="PSP34" s="191"/>
      <c r="PSQ34" s="191"/>
      <c r="PSR34" s="191"/>
      <c r="PSS34" s="191"/>
      <c r="PST34" s="191"/>
      <c r="PSU34" s="191"/>
      <c r="PSV34" s="191"/>
      <c r="PSW34" s="191"/>
      <c r="PSX34" s="191"/>
      <c r="PSY34" s="191"/>
      <c r="PSZ34" s="191"/>
      <c r="PTA34" s="191"/>
      <c r="PTB34" s="191"/>
      <c r="PTC34" s="191"/>
      <c r="PTD34" s="191"/>
      <c r="PTE34" s="191"/>
      <c r="PTF34" s="191"/>
      <c r="PTG34" s="191"/>
      <c r="PTH34" s="191"/>
      <c r="PTI34" s="191"/>
      <c r="PTJ34" s="191"/>
      <c r="PTK34" s="191"/>
      <c r="PTL34" s="191"/>
      <c r="PTM34" s="191"/>
      <c r="PTN34" s="191"/>
      <c r="PTO34" s="191"/>
      <c r="PTP34" s="191"/>
      <c r="PTQ34" s="191"/>
      <c r="PTR34" s="191"/>
      <c r="PTS34" s="191"/>
      <c r="PTT34" s="191"/>
      <c r="PTU34" s="191"/>
      <c r="PTV34" s="191"/>
      <c r="PTW34" s="191"/>
      <c r="PTX34" s="191"/>
      <c r="PTY34" s="191"/>
      <c r="PTZ34" s="191"/>
      <c r="PUA34" s="191"/>
      <c r="PUB34" s="191"/>
      <c r="PUC34" s="191"/>
      <c r="PUD34" s="191"/>
      <c r="PUE34" s="191"/>
      <c r="PUF34" s="191"/>
      <c r="PUG34" s="191"/>
      <c r="PUH34" s="191"/>
      <c r="PUI34" s="191"/>
      <c r="PUJ34" s="191"/>
      <c r="PUK34" s="191"/>
      <c r="PUL34" s="191"/>
      <c r="PUM34" s="191"/>
      <c r="PUN34" s="191"/>
      <c r="PUO34" s="191"/>
      <c r="PUP34" s="191"/>
      <c r="PUQ34" s="191"/>
      <c r="PUR34" s="191"/>
      <c r="PUS34" s="191"/>
      <c r="PUT34" s="191"/>
      <c r="PUU34" s="191"/>
      <c r="PUV34" s="191"/>
      <c r="PUW34" s="191"/>
      <c r="PUX34" s="191"/>
      <c r="PUY34" s="191"/>
      <c r="PUZ34" s="191"/>
      <c r="PVA34" s="191"/>
      <c r="PVB34" s="191"/>
      <c r="PVC34" s="191"/>
      <c r="PVD34" s="191"/>
      <c r="PVE34" s="191"/>
      <c r="PVF34" s="191"/>
      <c r="PVG34" s="191"/>
      <c r="PVH34" s="191"/>
      <c r="PVI34" s="191"/>
      <c r="PVJ34" s="191"/>
      <c r="PVK34" s="191"/>
      <c r="PVL34" s="191"/>
      <c r="PVM34" s="191"/>
      <c r="PVN34" s="191"/>
      <c r="PVO34" s="191"/>
      <c r="PVP34" s="191"/>
      <c r="PVQ34" s="191"/>
      <c r="PVR34" s="191"/>
      <c r="PVS34" s="191"/>
      <c r="PVT34" s="191"/>
      <c r="PVU34" s="191"/>
      <c r="PVV34" s="191"/>
      <c r="PVW34" s="191"/>
      <c r="PVX34" s="191"/>
      <c r="PVY34" s="191"/>
      <c r="PVZ34" s="191"/>
      <c r="PWA34" s="191"/>
      <c r="PWB34" s="191"/>
      <c r="PWC34" s="191"/>
      <c r="PWD34" s="191"/>
      <c r="PWE34" s="191"/>
      <c r="PWF34" s="191"/>
      <c r="PWG34" s="191"/>
      <c r="PWH34" s="191"/>
      <c r="PWI34" s="191"/>
      <c r="PWJ34" s="191"/>
      <c r="PWK34" s="191"/>
      <c r="PWL34" s="191"/>
      <c r="PWM34" s="191"/>
      <c r="PWN34" s="191"/>
      <c r="PWO34" s="191"/>
      <c r="PWP34" s="191"/>
      <c r="PWQ34" s="191"/>
      <c r="PWR34" s="191"/>
      <c r="PWS34" s="191"/>
      <c r="PWT34" s="191"/>
      <c r="PWU34" s="191"/>
      <c r="PWV34" s="191"/>
      <c r="PWW34" s="191"/>
      <c r="PWX34" s="191"/>
      <c r="PWY34" s="191"/>
      <c r="PWZ34" s="191"/>
      <c r="PXA34" s="191"/>
      <c r="PXB34" s="191"/>
      <c r="PXC34" s="191"/>
      <c r="PXD34" s="191"/>
      <c r="PXE34" s="191"/>
      <c r="PXF34" s="191"/>
      <c r="PXG34" s="191"/>
      <c r="PXH34" s="191"/>
      <c r="PXI34" s="191"/>
      <c r="PXJ34" s="191"/>
      <c r="PXK34" s="191"/>
      <c r="PXL34" s="191"/>
      <c r="PXM34" s="191"/>
      <c r="PXN34" s="191"/>
      <c r="PXO34" s="191"/>
      <c r="PXP34" s="191"/>
      <c r="PXQ34" s="191"/>
      <c r="PXR34" s="191"/>
      <c r="PXS34" s="191"/>
      <c r="PXT34" s="191"/>
      <c r="PXU34" s="191"/>
      <c r="PXV34" s="191"/>
      <c r="PXW34" s="191"/>
      <c r="PXX34" s="191"/>
      <c r="PXY34" s="191"/>
      <c r="PXZ34" s="191"/>
      <c r="PYA34" s="191"/>
      <c r="PYB34" s="191"/>
      <c r="PYC34" s="191"/>
      <c r="PYD34" s="191"/>
      <c r="PYE34" s="191"/>
      <c r="PYF34" s="191"/>
      <c r="PYG34" s="191"/>
      <c r="PYH34" s="191"/>
      <c r="PYI34" s="191"/>
      <c r="PYJ34" s="191"/>
      <c r="PYK34" s="191"/>
      <c r="PYL34" s="191"/>
      <c r="PYM34" s="191"/>
      <c r="PYN34" s="191"/>
      <c r="PYO34" s="191"/>
      <c r="PYP34" s="191"/>
      <c r="PYQ34" s="191"/>
      <c r="PYR34" s="191"/>
      <c r="PYS34" s="191"/>
      <c r="PYT34" s="191"/>
      <c r="PYU34" s="191"/>
      <c r="PYV34" s="191"/>
      <c r="PYW34" s="191"/>
      <c r="PYX34" s="191"/>
      <c r="PYY34" s="191"/>
      <c r="PYZ34" s="191"/>
      <c r="PZA34" s="191"/>
      <c r="PZB34" s="191"/>
      <c r="PZC34" s="191"/>
      <c r="PZD34" s="191"/>
      <c r="PZE34" s="191"/>
      <c r="PZF34" s="191"/>
      <c r="PZG34" s="191"/>
      <c r="PZH34" s="191"/>
      <c r="PZI34" s="191"/>
      <c r="PZJ34" s="191"/>
      <c r="PZK34" s="191"/>
      <c r="PZL34" s="191"/>
      <c r="PZM34" s="191"/>
      <c r="PZN34" s="191"/>
      <c r="PZO34" s="191"/>
      <c r="PZP34" s="191"/>
      <c r="PZQ34" s="191"/>
      <c r="PZR34" s="191"/>
      <c r="PZS34" s="191"/>
      <c r="PZT34" s="191"/>
      <c r="PZU34" s="191"/>
      <c r="PZV34" s="191"/>
      <c r="PZW34" s="191"/>
      <c r="PZX34" s="191"/>
      <c r="PZY34" s="191"/>
      <c r="PZZ34" s="191"/>
      <c r="QAA34" s="191"/>
      <c r="QAB34" s="191"/>
      <c r="QAC34" s="191"/>
      <c r="QAD34" s="191"/>
      <c r="QAE34" s="191"/>
      <c r="QAF34" s="191"/>
      <c r="QAG34" s="191"/>
      <c r="QAH34" s="191"/>
      <c r="QAI34" s="191"/>
      <c r="QAJ34" s="191"/>
      <c r="QAK34" s="191"/>
      <c r="QAL34" s="191"/>
      <c r="QAM34" s="191"/>
      <c r="QAN34" s="191"/>
      <c r="QAO34" s="191"/>
      <c r="QAP34" s="191"/>
      <c r="QAQ34" s="191"/>
      <c r="QAR34" s="191"/>
      <c r="QAS34" s="191"/>
      <c r="QAT34" s="191"/>
      <c r="QAU34" s="191"/>
      <c r="QAV34" s="191"/>
      <c r="QAW34" s="191"/>
      <c r="QAX34" s="191"/>
      <c r="QAY34" s="191"/>
      <c r="QAZ34" s="191"/>
      <c r="QBA34" s="191"/>
      <c r="QBB34" s="191"/>
      <c r="QBC34" s="191"/>
      <c r="QBD34" s="191"/>
      <c r="QBE34" s="191"/>
      <c r="QBF34" s="191"/>
      <c r="QBG34" s="191"/>
      <c r="QBH34" s="191"/>
      <c r="QBI34" s="191"/>
      <c r="QBJ34" s="191"/>
      <c r="QBK34" s="191"/>
      <c r="QBL34" s="191"/>
      <c r="QBM34" s="191"/>
      <c r="QBN34" s="191"/>
      <c r="QBO34" s="191"/>
      <c r="QBP34" s="191"/>
      <c r="QBQ34" s="191"/>
      <c r="QBR34" s="191"/>
      <c r="QBS34" s="191"/>
      <c r="QBT34" s="191"/>
      <c r="QBU34" s="191"/>
      <c r="QBV34" s="191"/>
      <c r="QBW34" s="191"/>
      <c r="QBX34" s="191"/>
      <c r="QBY34" s="191"/>
      <c r="QBZ34" s="191"/>
      <c r="QCA34" s="191"/>
      <c r="QCB34" s="191"/>
      <c r="QCC34" s="191"/>
      <c r="QCD34" s="191"/>
      <c r="QCE34" s="191"/>
      <c r="QCF34" s="191"/>
      <c r="QCG34" s="191"/>
      <c r="QCH34" s="191"/>
      <c r="QCI34" s="191"/>
      <c r="QCJ34" s="191"/>
      <c r="QCK34" s="191"/>
      <c r="QCL34" s="191"/>
      <c r="QCM34" s="191"/>
      <c r="QCN34" s="191"/>
      <c r="QCO34" s="191"/>
      <c r="QCP34" s="191"/>
      <c r="QCQ34" s="191"/>
      <c r="QCR34" s="191"/>
      <c r="QCS34" s="191"/>
      <c r="QCT34" s="191"/>
      <c r="QCU34" s="191"/>
      <c r="QCV34" s="191"/>
      <c r="QCW34" s="191"/>
      <c r="QCX34" s="191"/>
      <c r="QCY34" s="191"/>
      <c r="QCZ34" s="191"/>
      <c r="QDA34" s="191"/>
      <c r="QDB34" s="191"/>
      <c r="QDC34" s="191"/>
      <c r="QDD34" s="191"/>
      <c r="QDE34" s="191"/>
      <c r="QDF34" s="191"/>
      <c r="QDG34" s="191"/>
      <c r="QDH34" s="191"/>
      <c r="QDI34" s="191"/>
      <c r="QDJ34" s="191"/>
      <c r="QDK34" s="191"/>
      <c r="QDL34" s="191"/>
      <c r="QDM34" s="191"/>
      <c r="QDN34" s="191"/>
      <c r="QDO34" s="191"/>
      <c r="QDP34" s="191"/>
      <c r="QDQ34" s="191"/>
      <c r="QDR34" s="191"/>
      <c r="QDS34" s="191"/>
      <c r="QDT34" s="191"/>
      <c r="QDU34" s="191"/>
      <c r="QDV34" s="191"/>
      <c r="QDW34" s="191"/>
      <c r="QDX34" s="191"/>
      <c r="QDY34" s="191"/>
      <c r="QDZ34" s="191"/>
      <c r="QEA34" s="191"/>
      <c r="QEB34" s="191"/>
      <c r="QEC34" s="191"/>
      <c r="QED34" s="191"/>
      <c r="QEE34" s="191"/>
      <c r="QEF34" s="191"/>
      <c r="QEG34" s="191"/>
      <c r="QEH34" s="191"/>
      <c r="QEI34" s="191"/>
      <c r="QEJ34" s="191"/>
      <c r="QEK34" s="191"/>
      <c r="QEL34" s="191"/>
      <c r="QEM34" s="191"/>
      <c r="QEN34" s="191"/>
      <c r="QEO34" s="191"/>
      <c r="QEP34" s="191"/>
      <c r="QEQ34" s="191"/>
      <c r="QER34" s="191"/>
      <c r="QES34" s="191"/>
      <c r="QET34" s="191"/>
      <c r="QEU34" s="191"/>
      <c r="QEV34" s="191"/>
      <c r="QEW34" s="191"/>
      <c r="QEX34" s="191"/>
      <c r="QEY34" s="191"/>
      <c r="QEZ34" s="191"/>
      <c r="QFA34" s="191"/>
      <c r="QFB34" s="191"/>
      <c r="QFC34" s="191"/>
      <c r="QFD34" s="191"/>
      <c r="QFE34" s="191"/>
      <c r="QFF34" s="191"/>
      <c r="QFG34" s="191"/>
      <c r="QFH34" s="191"/>
      <c r="QFI34" s="191"/>
      <c r="QFJ34" s="191"/>
      <c r="QFK34" s="191"/>
      <c r="QFL34" s="191"/>
      <c r="QFM34" s="191"/>
      <c r="QFN34" s="191"/>
      <c r="QFO34" s="191"/>
      <c r="QFP34" s="191"/>
      <c r="QFQ34" s="191"/>
      <c r="QFR34" s="191"/>
      <c r="QFS34" s="191"/>
      <c r="QFT34" s="191"/>
      <c r="QFU34" s="191"/>
      <c r="QFV34" s="191"/>
      <c r="QFW34" s="191"/>
      <c r="QFX34" s="191"/>
      <c r="QFY34" s="191"/>
      <c r="QFZ34" s="191"/>
      <c r="QGA34" s="191"/>
      <c r="QGB34" s="191"/>
      <c r="QGC34" s="191"/>
      <c r="QGD34" s="191"/>
      <c r="QGE34" s="191"/>
      <c r="QGF34" s="191"/>
      <c r="QGG34" s="191"/>
      <c r="QGH34" s="191"/>
      <c r="QGI34" s="191"/>
      <c r="QGJ34" s="191"/>
      <c r="QGK34" s="191"/>
      <c r="QGL34" s="191"/>
      <c r="QGM34" s="191"/>
      <c r="QGN34" s="191"/>
      <c r="QGO34" s="191"/>
      <c r="QGP34" s="191"/>
      <c r="QGQ34" s="191"/>
      <c r="QGR34" s="191"/>
      <c r="QGS34" s="191"/>
      <c r="QGT34" s="191"/>
      <c r="QGU34" s="191"/>
      <c r="QGV34" s="191"/>
      <c r="QGW34" s="191"/>
      <c r="QGX34" s="191"/>
      <c r="QGY34" s="191"/>
      <c r="QGZ34" s="191"/>
      <c r="QHA34" s="191"/>
      <c r="QHB34" s="191"/>
      <c r="QHC34" s="191"/>
      <c r="QHD34" s="191"/>
      <c r="QHE34" s="191"/>
      <c r="QHF34" s="191"/>
      <c r="QHG34" s="191"/>
      <c r="QHH34" s="191"/>
      <c r="QHI34" s="191"/>
      <c r="QHJ34" s="191"/>
      <c r="QHK34" s="191"/>
      <c r="QHL34" s="191"/>
      <c r="QHM34" s="191"/>
      <c r="QHN34" s="191"/>
      <c r="QHO34" s="191"/>
      <c r="QHP34" s="191"/>
      <c r="QHQ34" s="191"/>
      <c r="QHR34" s="191"/>
      <c r="QHS34" s="191"/>
      <c r="QHT34" s="191"/>
      <c r="QHU34" s="191"/>
      <c r="QHV34" s="191"/>
      <c r="QHW34" s="191"/>
      <c r="QHX34" s="191"/>
      <c r="QHY34" s="191"/>
      <c r="QHZ34" s="191"/>
      <c r="QIA34" s="191"/>
      <c r="QIB34" s="191"/>
      <c r="QIC34" s="191"/>
      <c r="QID34" s="191"/>
      <c r="QIE34" s="191"/>
      <c r="QIF34" s="191"/>
      <c r="QIG34" s="191"/>
      <c r="QIH34" s="191"/>
      <c r="QII34" s="191"/>
      <c r="QIJ34" s="191"/>
      <c r="QIK34" s="191"/>
      <c r="QIL34" s="191"/>
      <c r="QIM34" s="191"/>
      <c r="QIN34" s="191"/>
      <c r="QIO34" s="191"/>
      <c r="QIP34" s="191"/>
      <c r="QIQ34" s="191"/>
      <c r="QIR34" s="191"/>
      <c r="QIS34" s="191"/>
      <c r="QIT34" s="191"/>
      <c r="QIU34" s="191"/>
      <c r="QIV34" s="191"/>
      <c r="QIW34" s="191"/>
      <c r="QIX34" s="191"/>
      <c r="QIY34" s="191"/>
      <c r="QIZ34" s="191"/>
      <c r="QJA34" s="191"/>
      <c r="QJB34" s="191"/>
      <c r="QJC34" s="191"/>
      <c r="QJD34" s="191"/>
      <c r="QJE34" s="191"/>
      <c r="QJF34" s="191"/>
      <c r="QJG34" s="191"/>
      <c r="QJH34" s="191"/>
      <c r="QJI34" s="191"/>
      <c r="QJJ34" s="191"/>
      <c r="QJK34" s="191"/>
      <c r="QJL34" s="191"/>
      <c r="QJM34" s="191"/>
      <c r="QJN34" s="191"/>
      <c r="QJO34" s="191"/>
      <c r="QJP34" s="191"/>
      <c r="QJQ34" s="191"/>
      <c r="QJR34" s="191"/>
      <c r="QJS34" s="191"/>
      <c r="QJT34" s="191"/>
      <c r="QJU34" s="191"/>
      <c r="QJV34" s="191"/>
      <c r="QJW34" s="191"/>
      <c r="QJX34" s="191"/>
      <c r="QJY34" s="191"/>
      <c r="QJZ34" s="191"/>
      <c r="QKA34" s="191"/>
      <c r="QKB34" s="191"/>
      <c r="QKC34" s="191"/>
      <c r="QKD34" s="191"/>
      <c r="QKE34" s="191"/>
      <c r="QKF34" s="191"/>
      <c r="QKG34" s="191"/>
      <c r="QKH34" s="191"/>
      <c r="QKI34" s="191"/>
      <c r="QKJ34" s="191"/>
      <c r="QKK34" s="191"/>
      <c r="QKL34" s="191"/>
      <c r="QKM34" s="191"/>
      <c r="QKN34" s="191"/>
      <c r="QKO34" s="191"/>
      <c r="QKP34" s="191"/>
      <c r="QKQ34" s="191"/>
      <c r="QKR34" s="191"/>
      <c r="QKS34" s="191"/>
      <c r="QKT34" s="191"/>
      <c r="QKU34" s="191"/>
      <c r="QKV34" s="191"/>
      <c r="QKW34" s="191"/>
      <c r="QKX34" s="191"/>
      <c r="QKY34" s="191"/>
      <c r="QKZ34" s="191"/>
      <c r="QLA34" s="191"/>
      <c r="QLB34" s="191"/>
      <c r="QLC34" s="191"/>
      <c r="QLD34" s="191"/>
      <c r="QLE34" s="191"/>
      <c r="QLF34" s="191"/>
      <c r="QLG34" s="191"/>
      <c r="QLH34" s="191"/>
      <c r="QLI34" s="191"/>
      <c r="QLJ34" s="191"/>
      <c r="QLK34" s="191"/>
      <c r="QLL34" s="191"/>
      <c r="QLM34" s="191"/>
      <c r="QLN34" s="191"/>
      <c r="QLO34" s="191"/>
      <c r="QLP34" s="191"/>
      <c r="QLQ34" s="191"/>
      <c r="QLR34" s="191"/>
      <c r="QLS34" s="191"/>
      <c r="QLT34" s="191"/>
      <c r="QLU34" s="191"/>
      <c r="QLV34" s="191"/>
      <c r="QLW34" s="191"/>
      <c r="QLX34" s="191"/>
      <c r="QLY34" s="191"/>
      <c r="QLZ34" s="191"/>
      <c r="QMA34" s="191"/>
      <c r="QMB34" s="191"/>
      <c r="QMC34" s="191"/>
      <c r="QMD34" s="191"/>
      <c r="QME34" s="191"/>
      <c r="QMF34" s="191"/>
      <c r="QMG34" s="191"/>
      <c r="QMH34" s="191"/>
      <c r="QMI34" s="191"/>
      <c r="QMJ34" s="191"/>
      <c r="QMK34" s="191"/>
      <c r="QML34" s="191"/>
      <c r="QMM34" s="191"/>
      <c r="QMN34" s="191"/>
      <c r="QMO34" s="191"/>
      <c r="QMP34" s="191"/>
      <c r="QMQ34" s="191"/>
      <c r="QMR34" s="191"/>
      <c r="QMS34" s="191"/>
      <c r="QMT34" s="191"/>
      <c r="QMU34" s="191"/>
      <c r="QMV34" s="191"/>
      <c r="QMW34" s="191"/>
      <c r="QMX34" s="191"/>
      <c r="QMY34" s="191"/>
      <c r="QMZ34" s="191"/>
      <c r="QNA34" s="191"/>
      <c r="QNB34" s="191"/>
      <c r="QNC34" s="191"/>
      <c r="QND34" s="191"/>
      <c r="QNE34" s="191"/>
      <c r="QNF34" s="191"/>
      <c r="QNG34" s="191"/>
      <c r="QNH34" s="191"/>
      <c r="QNI34" s="191"/>
      <c r="QNJ34" s="191"/>
      <c r="QNK34" s="191"/>
      <c r="QNL34" s="191"/>
      <c r="QNM34" s="191"/>
      <c r="QNN34" s="191"/>
      <c r="QNO34" s="191"/>
      <c r="QNP34" s="191"/>
      <c r="QNQ34" s="191"/>
      <c r="QNR34" s="191"/>
      <c r="QNS34" s="191"/>
      <c r="QNT34" s="191"/>
      <c r="QNU34" s="191"/>
      <c r="QNV34" s="191"/>
      <c r="QNW34" s="191"/>
      <c r="QNX34" s="191"/>
      <c r="QNY34" s="191"/>
      <c r="QNZ34" s="191"/>
      <c r="QOA34" s="191"/>
      <c r="QOB34" s="191"/>
      <c r="QOC34" s="191"/>
      <c r="QOD34" s="191"/>
      <c r="QOE34" s="191"/>
      <c r="QOF34" s="191"/>
      <c r="QOG34" s="191"/>
      <c r="QOH34" s="191"/>
      <c r="QOI34" s="191"/>
      <c r="QOJ34" s="191"/>
      <c r="QOK34" s="191"/>
      <c r="QOL34" s="191"/>
      <c r="QOM34" s="191"/>
      <c r="QON34" s="191"/>
      <c r="QOO34" s="191"/>
      <c r="QOP34" s="191"/>
      <c r="QOQ34" s="191"/>
      <c r="QOR34" s="191"/>
      <c r="QOS34" s="191"/>
      <c r="QOT34" s="191"/>
      <c r="QOU34" s="191"/>
      <c r="QOV34" s="191"/>
      <c r="QOW34" s="191"/>
      <c r="QOX34" s="191"/>
      <c r="QOY34" s="191"/>
      <c r="QOZ34" s="191"/>
      <c r="QPA34" s="191"/>
      <c r="QPB34" s="191"/>
      <c r="QPC34" s="191"/>
      <c r="QPD34" s="191"/>
      <c r="QPE34" s="191"/>
      <c r="QPF34" s="191"/>
      <c r="QPG34" s="191"/>
      <c r="QPH34" s="191"/>
      <c r="QPI34" s="191"/>
      <c r="QPJ34" s="191"/>
      <c r="QPK34" s="191"/>
      <c r="QPL34" s="191"/>
      <c r="QPM34" s="191"/>
      <c r="QPN34" s="191"/>
      <c r="QPO34" s="191"/>
      <c r="QPP34" s="191"/>
      <c r="QPQ34" s="191"/>
      <c r="QPR34" s="191"/>
      <c r="QPS34" s="191"/>
      <c r="QPT34" s="191"/>
      <c r="QPU34" s="191"/>
      <c r="QPV34" s="191"/>
      <c r="QPW34" s="191"/>
      <c r="QPX34" s="191"/>
      <c r="QPY34" s="191"/>
      <c r="QPZ34" s="191"/>
      <c r="QQA34" s="191"/>
      <c r="QQB34" s="191"/>
      <c r="QQC34" s="191"/>
      <c r="QQD34" s="191"/>
      <c r="QQE34" s="191"/>
      <c r="QQF34" s="191"/>
      <c r="QQG34" s="191"/>
      <c r="QQH34" s="191"/>
      <c r="QQI34" s="191"/>
      <c r="QQJ34" s="191"/>
      <c r="QQK34" s="191"/>
      <c r="QQL34" s="191"/>
      <c r="QQM34" s="191"/>
      <c r="QQN34" s="191"/>
      <c r="QQO34" s="191"/>
      <c r="QQP34" s="191"/>
      <c r="QQQ34" s="191"/>
      <c r="QQR34" s="191"/>
      <c r="QQS34" s="191"/>
      <c r="QQT34" s="191"/>
      <c r="QQU34" s="191"/>
      <c r="QQV34" s="191"/>
      <c r="QQW34" s="191"/>
      <c r="QQX34" s="191"/>
      <c r="QQY34" s="191"/>
      <c r="QQZ34" s="191"/>
      <c r="QRA34" s="191"/>
      <c r="QRB34" s="191"/>
      <c r="QRC34" s="191"/>
      <c r="QRD34" s="191"/>
      <c r="QRE34" s="191"/>
      <c r="QRF34" s="191"/>
      <c r="QRG34" s="191"/>
      <c r="QRH34" s="191"/>
      <c r="QRI34" s="191"/>
      <c r="QRJ34" s="191"/>
      <c r="QRK34" s="191"/>
      <c r="QRL34" s="191"/>
      <c r="QRM34" s="191"/>
      <c r="QRN34" s="191"/>
      <c r="QRO34" s="191"/>
      <c r="QRP34" s="191"/>
      <c r="QRQ34" s="191"/>
      <c r="QRR34" s="191"/>
      <c r="QRS34" s="191"/>
      <c r="QRT34" s="191"/>
      <c r="QRU34" s="191"/>
      <c r="QRV34" s="191"/>
      <c r="QRW34" s="191"/>
      <c r="QRX34" s="191"/>
      <c r="QRY34" s="191"/>
      <c r="QRZ34" s="191"/>
      <c r="QSA34" s="191"/>
      <c r="QSB34" s="191"/>
      <c r="QSC34" s="191"/>
      <c r="QSD34" s="191"/>
      <c r="QSE34" s="191"/>
      <c r="QSF34" s="191"/>
      <c r="QSG34" s="191"/>
      <c r="QSH34" s="191"/>
      <c r="QSI34" s="191"/>
      <c r="QSJ34" s="191"/>
      <c r="QSK34" s="191"/>
      <c r="QSL34" s="191"/>
      <c r="QSM34" s="191"/>
      <c r="QSN34" s="191"/>
      <c r="QSO34" s="191"/>
      <c r="QSP34" s="191"/>
      <c r="QSQ34" s="191"/>
      <c r="QSR34" s="191"/>
      <c r="QSS34" s="191"/>
      <c r="QST34" s="191"/>
      <c r="QSU34" s="191"/>
      <c r="QSV34" s="191"/>
      <c r="QSW34" s="191"/>
      <c r="QSX34" s="191"/>
      <c r="QSY34" s="191"/>
      <c r="QSZ34" s="191"/>
      <c r="QTA34" s="191"/>
      <c r="QTB34" s="191"/>
      <c r="QTC34" s="191"/>
      <c r="QTD34" s="191"/>
      <c r="QTE34" s="191"/>
      <c r="QTF34" s="191"/>
      <c r="QTG34" s="191"/>
      <c r="QTH34" s="191"/>
      <c r="QTI34" s="191"/>
      <c r="QTJ34" s="191"/>
      <c r="QTK34" s="191"/>
      <c r="QTL34" s="191"/>
      <c r="QTM34" s="191"/>
      <c r="QTN34" s="191"/>
      <c r="QTO34" s="191"/>
      <c r="QTP34" s="191"/>
      <c r="QTQ34" s="191"/>
      <c r="QTR34" s="191"/>
      <c r="QTS34" s="191"/>
      <c r="QTT34" s="191"/>
      <c r="QTU34" s="191"/>
      <c r="QTV34" s="191"/>
      <c r="QTW34" s="191"/>
      <c r="QTX34" s="191"/>
      <c r="QTY34" s="191"/>
      <c r="QTZ34" s="191"/>
      <c r="QUA34" s="191"/>
      <c r="QUB34" s="191"/>
      <c r="QUC34" s="191"/>
      <c r="QUD34" s="191"/>
      <c r="QUE34" s="191"/>
      <c r="QUF34" s="191"/>
      <c r="QUG34" s="191"/>
      <c r="QUH34" s="191"/>
      <c r="QUI34" s="191"/>
      <c r="QUJ34" s="191"/>
      <c r="QUK34" s="191"/>
      <c r="QUL34" s="191"/>
      <c r="QUM34" s="191"/>
      <c r="QUN34" s="191"/>
      <c r="QUO34" s="191"/>
      <c r="QUP34" s="191"/>
      <c r="QUQ34" s="191"/>
      <c r="QUR34" s="191"/>
      <c r="QUS34" s="191"/>
      <c r="QUT34" s="191"/>
      <c r="QUU34" s="191"/>
      <c r="QUV34" s="191"/>
      <c r="QUW34" s="191"/>
      <c r="QUX34" s="191"/>
      <c r="QUY34" s="191"/>
      <c r="QUZ34" s="191"/>
      <c r="QVA34" s="191"/>
      <c r="QVB34" s="191"/>
      <c r="QVC34" s="191"/>
      <c r="QVD34" s="191"/>
      <c r="QVE34" s="191"/>
      <c r="QVF34" s="191"/>
      <c r="QVG34" s="191"/>
      <c r="QVH34" s="191"/>
      <c r="QVI34" s="191"/>
      <c r="QVJ34" s="191"/>
      <c r="QVK34" s="191"/>
      <c r="QVL34" s="191"/>
      <c r="QVM34" s="191"/>
      <c r="QVN34" s="191"/>
      <c r="QVO34" s="191"/>
      <c r="QVP34" s="191"/>
      <c r="QVQ34" s="191"/>
      <c r="QVR34" s="191"/>
      <c r="QVS34" s="191"/>
      <c r="QVT34" s="191"/>
      <c r="QVU34" s="191"/>
      <c r="QVV34" s="191"/>
      <c r="QVW34" s="191"/>
      <c r="QVX34" s="191"/>
      <c r="QVY34" s="191"/>
      <c r="QVZ34" s="191"/>
      <c r="QWA34" s="191"/>
      <c r="QWB34" s="191"/>
      <c r="QWC34" s="191"/>
      <c r="QWD34" s="191"/>
      <c r="QWE34" s="191"/>
      <c r="QWF34" s="191"/>
      <c r="QWG34" s="191"/>
      <c r="QWH34" s="191"/>
      <c r="QWI34" s="191"/>
      <c r="QWJ34" s="191"/>
      <c r="QWK34" s="191"/>
      <c r="QWL34" s="191"/>
      <c r="QWM34" s="191"/>
      <c r="QWN34" s="191"/>
      <c r="QWO34" s="191"/>
      <c r="QWP34" s="191"/>
      <c r="QWQ34" s="191"/>
      <c r="QWR34" s="191"/>
      <c r="QWS34" s="191"/>
      <c r="QWT34" s="191"/>
      <c r="QWU34" s="191"/>
      <c r="QWV34" s="191"/>
      <c r="QWW34" s="191"/>
      <c r="QWX34" s="191"/>
      <c r="QWY34" s="191"/>
      <c r="QWZ34" s="191"/>
      <c r="QXA34" s="191"/>
      <c r="QXB34" s="191"/>
      <c r="QXC34" s="191"/>
      <c r="QXD34" s="191"/>
      <c r="QXE34" s="191"/>
      <c r="QXF34" s="191"/>
      <c r="QXG34" s="191"/>
      <c r="QXH34" s="191"/>
      <c r="QXI34" s="191"/>
      <c r="QXJ34" s="191"/>
      <c r="QXK34" s="191"/>
      <c r="QXL34" s="191"/>
      <c r="QXM34" s="191"/>
      <c r="QXN34" s="191"/>
      <c r="QXO34" s="191"/>
      <c r="QXP34" s="191"/>
      <c r="QXQ34" s="191"/>
      <c r="QXR34" s="191"/>
      <c r="QXS34" s="191"/>
      <c r="QXT34" s="191"/>
      <c r="QXU34" s="191"/>
      <c r="QXV34" s="191"/>
      <c r="QXW34" s="191"/>
      <c r="QXX34" s="191"/>
      <c r="QXY34" s="191"/>
      <c r="QXZ34" s="191"/>
      <c r="QYA34" s="191"/>
      <c r="QYB34" s="191"/>
      <c r="QYC34" s="191"/>
      <c r="QYD34" s="191"/>
      <c r="QYE34" s="191"/>
      <c r="QYF34" s="191"/>
      <c r="QYG34" s="191"/>
      <c r="QYH34" s="191"/>
      <c r="QYI34" s="191"/>
      <c r="QYJ34" s="191"/>
      <c r="QYK34" s="191"/>
      <c r="QYL34" s="191"/>
      <c r="QYM34" s="191"/>
      <c r="QYN34" s="191"/>
      <c r="QYO34" s="191"/>
      <c r="QYP34" s="191"/>
      <c r="QYQ34" s="191"/>
      <c r="QYR34" s="191"/>
      <c r="QYS34" s="191"/>
      <c r="QYT34" s="191"/>
      <c r="QYU34" s="191"/>
      <c r="QYV34" s="191"/>
      <c r="QYW34" s="191"/>
      <c r="QYX34" s="191"/>
      <c r="QYY34" s="191"/>
      <c r="QYZ34" s="191"/>
      <c r="QZA34" s="191"/>
      <c r="QZB34" s="191"/>
      <c r="QZC34" s="191"/>
      <c r="QZD34" s="191"/>
      <c r="QZE34" s="191"/>
      <c r="QZF34" s="191"/>
      <c r="QZG34" s="191"/>
      <c r="QZH34" s="191"/>
      <c r="QZI34" s="191"/>
      <c r="QZJ34" s="191"/>
      <c r="QZK34" s="191"/>
      <c r="QZL34" s="191"/>
      <c r="QZM34" s="191"/>
      <c r="QZN34" s="191"/>
      <c r="QZO34" s="191"/>
      <c r="QZP34" s="191"/>
      <c r="QZQ34" s="191"/>
      <c r="QZR34" s="191"/>
      <c r="QZS34" s="191"/>
      <c r="QZT34" s="191"/>
      <c r="QZU34" s="191"/>
      <c r="QZV34" s="191"/>
      <c r="QZW34" s="191"/>
      <c r="QZX34" s="191"/>
      <c r="QZY34" s="191"/>
      <c r="QZZ34" s="191"/>
      <c r="RAA34" s="191"/>
      <c r="RAB34" s="191"/>
      <c r="RAC34" s="191"/>
      <c r="RAD34" s="191"/>
      <c r="RAE34" s="191"/>
      <c r="RAF34" s="191"/>
      <c r="RAG34" s="191"/>
      <c r="RAH34" s="191"/>
      <c r="RAI34" s="191"/>
      <c r="RAJ34" s="191"/>
      <c r="RAK34" s="191"/>
      <c r="RAL34" s="191"/>
      <c r="RAM34" s="191"/>
      <c r="RAN34" s="191"/>
      <c r="RAO34" s="191"/>
      <c r="RAP34" s="191"/>
      <c r="RAQ34" s="191"/>
      <c r="RAR34" s="191"/>
      <c r="RAS34" s="191"/>
      <c r="RAT34" s="191"/>
      <c r="RAU34" s="191"/>
      <c r="RAV34" s="191"/>
      <c r="RAW34" s="191"/>
      <c r="RAX34" s="191"/>
      <c r="RAY34" s="191"/>
      <c r="RAZ34" s="191"/>
      <c r="RBA34" s="191"/>
      <c r="RBB34" s="191"/>
      <c r="RBC34" s="191"/>
      <c r="RBD34" s="191"/>
      <c r="RBE34" s="191"/>
      <c r="RBF34" s="191"/>
      <c r="RBG34" s="191"/>
      <c r="RBH34" s="191"/>
      <c r="RBI34" s="191"/>
      <c r="RBJ34" s="191"/>
      <c r="RBK34" s="191"/>
      <c r="RBL34" s="191"/>
      <c r="RBM34" s="191"/>
      <c r="RBN34" s="191"/>
      <c r="RBO34" s="191"/>
      <c r="RBP34" s="191"/>
      <c r="RBQ34" s="191"/>
      <c r="RBR34" s="191"/>
      <c r="RBS34" s="191"/>
      <c r="RBT34" s="191"/>
      <c r="RBU34" s="191"/>
      <c r="RBV34" s="191"/>
      <c r="RBW34" s="191"/>
      <c r="RBX34" s="191"/>
      <c r="RBY34" s="191"/>
      <c r="RBZ34" s="191"/>
      <c r="RCA34" s="191"/>
      <c r="RCB34" s="191"/>
      <c r="RCC34" s="191"/>
      <c r="RCD34" s="191"/>
      <c r="RCE34" s="191"/>
      <c r="RCF34" s="191"/>
      <c r="RCG34" s="191"/>
      <c r="RCH34" s="191"/>
      <c r="RCI34" s="191"/>
      <c r="RCJ34" s="191"/>
      <c r="RCK34" s="191"/>
      <c r="RCL34" s="191"/>
      <c r="RCM34" s="191"/>
      <c r="RCN34" s="191"/>
      <c r="RCO34" s="191"/>
      <c r="RCP34" s="191"/>
      <c r="RCQ34" s="191"/>
      <c r="RCR34" s="191"/>
      <c r="RCS34" s="191"/>
      <c r="RCT34" s="191"/>
      <c r="RCU34" s="191"/>
      <c r="RCV34" s="191"/>
      <c r="RCW34" s="191"/>
      <c r="RCX34" s="191"/>
      <c r="RCY34" s="191"/>
      <c r="RCZ34" s="191"/>
      <c r="RDA34" s="191"/>
      <c r="RDB34" s="191"/>
      <c r="RDC34" s="191"/>
      <c r="RDD34" s="191"/>
      <c r="RDE34" s="191"/>
      <c r="RDF34" s="191"/>
      <c r="RDG34" s="191"/>
      <c r="RDH34" s="191"/>
      <c r="RDI34" s="191"/>
      <c r="RDJ34" s="191"/>
      <c r="RDK34" s="191"/>
      <c r="RDL34" s="191"/>
      <c r="RDM34" s="191"/>
      <c r="RDN34" s="191"/>
      <c r="RDO34" s="191"/>
      <c r="RDP34" s="191"/>
      <c r="RDQ34" s="191"/>
      <c r="RDR34" s="191"/>
      <c r="RDS34" s="191"/>
      <c r="RDT34" s="191"/>
      <c r="RDU34" s="191"/>
      <c r="RDV34" s="191"/>
      <c r="RDW34" s="191"/>
      <c r="RDX34" s="191"/>
      <c r="RDY34" s="191"/>
      <c r="RDZ34" s="191"/>
      <c r="REA34" s="191"/>
      <c r="REB34" s="191"/>
      <c r="REC34" s="191"/>
      <c r="RED34" s="191"/>
      <c r="REE34" s="191"/>
      <c r="REF34" s="191"/>
      <c r="REG34" s="191"/>
      <c r="REH34" s="191"/>
      <c r="REI34" s="191"/>
      <c r="REJ34" s="191"/>
      <c r="REK34" s="191"/>
      <c r="REL34" s="191"/>
      <c r="REM34" s="191"/>
      <c r="REN34" s="191"/>
      <c r="REO34" s="191"/>
      <c r="REP34" s="191"/>
      <c r="REQ34" s="191"/>
      <c r="RER34" s="191"/>
      <c r="RES34" s="191"/>
      <c r="RET34" s="191"/>
      <c r="REU34" s="191"/>
      <c r="REV34" s="191"/>
      <c r="REW34" s="191"/>
      <c r="REX34" s="191"/>
      <c r="REY34" s="191"/>
      <c r="REZ34" s="191"/>
      <c r="RFA34" s="191"/>
      <c r="RFB34" s="191"/>
      <c r="RFC34" s="191"/>
      <c r="RFD34" s="191"/>
      <c r="RFE34" s="191"/>
      <c r="RFF34" s="191"/>
      <c r="RFG34" s="191"/>
      <c r="RFH34" s="191"/>
      <c r="RFI34" s="191"/>
      <c r="RFJ34" s="191"/>
      <c r="RFK34" s="191"/>
      <c r="RFL34" s="191"/>
      <c r="RFM34" s="191"/>
      <c r="RFN34" s="191"/>
      <c r="RFO34" s="191"/>
      <c r="RFP34" s="191"/>
      <c r="RFQ34" s="191"/>
      <c r="RFR34" s="191"/>
      <c r="RFS34" s="191"/>
      <c r="RFT34" s="191"/>
      <c r="RFU34" s="191"/>
      <c r="RFV34" s="191"/>
      <c r="RFW34" s="191"/>
      <c r="RFX34" s="191"/>
      <c r="RFY34" s="191"/>
      <c r="RFZ34" s="191"/>
      <c r="RGA34" s="191"/>
      <c r="RGB34" s="191"/>
      <c r="RGC34" s="191"/>
      <c r="RGD34" s="191"/>
      <c r="RGE34" s="191"/>
      <c r="RGF34" s="191"/>
      <c r="RGG34" s="191"/>
      <c r="RGH34" s="191"/>
      <c r="RGI34" s="191"/>
      <c r="RGJ34" s="191"/>
      <c r="RGK34" s="191"/>
      <c r="RGL34" s="191"/>
      <c r="RGM34" s="191"/>
      <c r="RGN34" s="191"/>
      <c r="RGO34" s="191"/>
      <c r="RGP34" s="191"/>
      <c r="RGQ34" s="191"/>
      <c r="RGR34" s="191"/>
      <c r="RGS34" s="191"/>
      <c r="RGT34" s="191"/>
      <c r="RGU34" s="191"/>
      <c r="RGV34" s="191"/>
      <c r="RGW34" s="191"/>
      <c r="RGX34" s="191"/>
      <c r="RGY34" s="191"/>
      <c r="RGZ34" s="191"/>
      <c r="RHA34" s="191"/>
      <c r="RHB34" s="191"/>
      <c r="RHC34" s="191"/>
      <c r="RHD34" s="191"/>
      <c r="RHE34" s="191"/>
      <c r="RHF34" s="191"/>
      <c r="RHG34" s="191"/>
      <c r="RHH34" s="191"/>
      <c r="RHI34" s="191"/>
      <c r="RHJ34" s="191"/>
      <c r="RHK34" s="191"/>
      <c r="RHL34" s="191"/>
      <c r="RHM34" s="191"/>
      <c r="RHN34" s="191"/>
      <c r="RHO34" s="191"/>
      <c r="RHP34" s="191"/>
      <c r="RHQ34" s="191"/>
      <c r="RHR34" s="191"/>
      <c r="RHS34" s="191"/>
      <c r="RHT34" s="191"/>
      <c r="RHU34" s="191"/>
      <c r="RHV34" s="191"/>
      <c r="RHW34" s="191"/>
      <c r="RHX34" s="191"/>
      <c r="RHY34" s="191"/>
      <c r="RHZ34" s="191"/>
      <c r="RIA34" s="191"/>
      <c r="RIB34" s="191"/>
      <c r="RIC34" s="191"/>
      <c r="RID34" s="191"/>
      <c r="RIE34" s="191"/>
      <c r="RIF34" s="191"/>
      <c r="RIG34" s="191"/>
      <c r="RIH34" s="191"/>
      <c r="RII34" s="191"/>
      <c r="RIJ34" s="191"/>
      <c r="RIK34" s="191"/>
      <c r="RIL34" s="191"/>
      <c r="RIM34" s="191"/>
      <c r="RIN34" s="191"/>
      <c r="RIO34" s="191"/>
      <c r="RIP34" s="191"/>
      <c r="RIQ34" s="191"/>
      <c r="RIR34" s="191"/>
      <c r="RIS34" s="191"/>
      <c r="RIT34" s="191"/>
      <c r="RIU34" s="191"/>
      <c r="RIV34" s="191"/>
      <c r="RIW34" s="191"/>
      <c r="RIX34" s="191"/>
      <c r="RIY34" s="191"/>
      <c r="RIZ34" s="191"/>
      <c r="RJA34" s="191"/>
      <c r="RJB34" s="191"/>
      <c r="RJC34" s="191"/>
      <c r="RJD34" s="191"/>
      <c r="RJE34" s="191"/>
      <c r="RJF34" s="191"/>
      <c r="RJG34" s="191"/>
      <c r="RJH34" s="191"/>
      <c r="RJI34" s="191"/>
      <c r="RJJ34" s="191"/>
      <c r="RJK34" s="191"/>
      <c r="RJL34" s="191"/>
      <c r="RJM34" s="191"/>
      <c r="RJN34" s="191"/>
      <c r="RJO34" s="191"/>
      <c r="RJP34" s="191"/>
      <c r="RJQ34" s="191"/>
      <c r="RJR34" s="191"/>
      <c r="RJS34" s="191"/>
      <c r="RJT34" s="191"/>
      <c r="RJU34" s="191"/>
      <c r="RJV34" s="191"/>
      <c r="RJW34" s="191"/>
      <c r="RJX34" s="191"/>
      <c r="RJY34" s="191"/>
      <c r="RJZ34" s="191"/>
      <c r="RKA34" s="191"/>
      <c r="RKB34" s="191"/>
      <c r="RKC34" s="191"/>
      <c r="RKD34" s="191"/>
      <c r="RKE34" s="191"/>
      <c r="RKF34" s="191"/>
      <c r="RKG34" s="191"/>
      <c r="RKH34" s="191"/>
      <c r="RKI34" s="191"/>
      <c r="RKJ34" s="191"/>
      <c r="RKK34" s="191"/>
      <c r="RKL34" s="191"/>
      <c r="RKM34" s="191"/>
      <c r="RKN34" s="191"/>
      <c r="RKO34" s="191"/>
      <c r="RKP34" s="191"/>
      <c r="RKQ34" s="191"/>
      <c r="RKR34" s="191"/>
      <c r="RKS34" s="191"/>
      <c r="RKT34" s="191"/>
      <c r="RKU34" s="191"/>
      <c r="RKV34" s="191"/>
      <c r="RKW34" s="191"/>
      <c r="RKX34" s="191"/>
      <c r="RKY34" s="191"/>
      <c r="RKZ34" s="191"/>
      <c r="RLA34" s="191"/>
      <c r="RLB34" s="191"/>
      <c r="RLC34" s="191"/>
      <c r="RLD34" s="191"/>
      <c r="RLE34" s="191"/>
      <c r="RLF34" s="191"/>
      <c r="RLG34" s="191"/>
      <c r="RLH34" s="191"/>
      <c r="RLI34" s="191"/>
      <c r="RLJ34" s="191"/>
      <c r="RLK34" s="191"/>
      <c r="RLL34" s="191"/>
      <c r="RLM34" s="191"/>
      <c r="RLN34" s="191"/>
      <c r="RLO34" s="191"/>
      <c r="RLP34" s="191"/>
      <c r="RLQ34" s="191"/>
      <c r="RLR34" s="191"/>
      <c r="RLS34" s="191"/>
      <c r="RLT34" s="191"/>
      <c r="RLU34" s="191"/>
      <c r="RLV34" s="191"/>
      <c r="RLW34" s="191"/>
      <c r="RLX34" s="191"/>
      <c r="RLY34" s="191"/>
      <c r="RLZ34" s="191"/>
      <c r="RMA34" s="191"/>
      <c r="RMB34" s="191"/>
      <c r="RMC34" s="191"/>
      <c r="RMD34" s="191"/>
      <c r="RME34" s="191"/>
      <c r="RMF34" s="191"/>
      <c r="RMG34" s="191"/>
      <c r="RMH34" s="191"/>
      <c r="RMI34" s="191"/>
      <c r="RMJ34" s="191"/>
      <c r="RMK34" s="191"/>
      <c r="RML34" s="191"/>
      <c r="RMM34" s="191"/>
      <c r="RMN34" s="191"/>
      <c r="RMO34" s="191"/>
      <c r="RMP34" s="191"/>
      <c r="RMQ34" s="191"/>
      <c r="RMR34" s="191"/>
      <c r="RMS34" s="191"/>
      <c r="RMT34" s="191"/>
      <c r="RMU34" s="191"/>
      <c r="RMV34" s="191"/>
      <c r="RMW34" s="191"/>
      <c r="RMX34" s="191"/>
      <c r="RMY34" s="191"/>
      <c r="RMZ34" s="191"/>
      <c r="RNA34" s="191"/>
      <c r="RNB34" s="191"/>
      <c r="RNC34" s="191"/>
      <c r="RND34" s="191"/>
      <c r="RNE34" s="191"/>
      <c r="RNF34" s="191"/>
      <c r="RNG34" s="191"/>
      <c r="RNH34" s="191"/>
      <c r="RNI34" s="191"/>
      <c r="RNJ34" s="191"/>
      <c r="RNK34" s="191"/>
      <c r="RNL34" s="191"/>
      <c r="RNM34" s="191"/>
      <c r="RNN34" s="191"/>
      <c r="RNO34" s="191"/>
      <c r="RNP34" s="191"/>
      <c r="RNQ34" s="191"/>
      <c r="RNR34" s="191"/>
      <c r="RNS34" s="191"/>
      <c r="RNT34" s="191"/>
      <c r="RNU34" s="191"/>
      <c r="RNV34" s="191"/>
      <c r="RNW34" s="191"/>
      <c r="RNX34" s="191"/>
      <c r="RNY34" s="191"/>
      <c r="RNZ34" s="191"/>
      <c r="ROA34" s="191"/>
      <c r="ROB34" s="191"/>
      <c r="ROC34" s="191"/>
      <c r="ROD34" s="191"/>
      <c r="ROE34" s="191"/>
      <c r="ROF34" s="191"/>
      <c r="ROG34" s="191"/>
      <c r="ROH34" s="191"/>
      <c r="ROI34" s="191"/>
      <c r="ROJ34" s="191"/>
      <c r="ROK34" s="191"/>
      <c r="ROL34" s="191"/>
      <c r="ROM34" s="191"/>
      <c r="RON34" s="191"/>
      <c r="ROO34" s="191"/>
      <c r="ROP34" s="191"/>
      <c r="ROQ34" s="191"/>
      <c r="ROR34" s="191"/>
      <c r="ROS34" s="191"/>
      <c r="ROT34" s="191"/>
      <c r="ROU34" s="191"/>
      <c r="ROV34" s="191"/>
      <c r="ROW34" s="191"/>
      <c r="ROX34" s="191"/>
      <c r="ROY34" s="191"/>
      <c r="ROZ34" s="191"/>
      <c r="RPA34" s="191"/>
      <c r="RPB34" s="191"/>
      <c r="RPC34" s="191"/>
      <c r="RPD34" s="191"/>
      <c r="RPE34" s="191"/>
      <c r="RPF34" s="191"/>
      <c r="RPG34" s="191"/>
      <c r="RPH34" s="191"/>
      <c r="RPI34" s="191"/>
      <c r="RPJ34" s="191"/>
      <c r="RPK34" s="191"/>
      <c r="RPL34" s="191"/>
      <c r="RPM34" s="191"/>
      <c r="RPN34" s="191"/>
      <c r="RPO34" s="191"/>
      <c r="RPP34" s="191"/>
      <c r="RPQ34" s="191"/>
      <c r="RPR34" s="191"/>
      <c r="RPS34" s="191"/>
      <c r="RPT34" s="191"/>
      <c r="RPU34" s="191"/>
      <c r="RPV34" s="191"/>
      <c r="RPW34" s="191"/>
      <c r="RPX34" s="191"/>
      <c r="RPY34" s="191"/>
      <c r="RPZ34" s="191"/>
      <c r="RQA34" s="191"/>
      <c r="RQB34" s="191"/>
      <c r="RQC34" s="191"/>
      <c r="RQD34" s="191"/>
      <c r="RQE34" s="191"/>
      <c r="RQF34" s="191"/>
      <c r="RQG34" s="191"/>
      <c r="RQH34" s="191"/>
      <c r="RQI34" s="191"/>
      <c r="RQJ34" s="191"/>
      <c r="RQK34" s="191"/>
      <c r="RQL34" s="191"/>
      <c r="RQM34" s="191"/>
      <c r="RQN34" s="191"/>
      <c r="RQO34" s="191"/>
      <c r="RQP34" s="191"/>
      <c r="RQQ34" s="191"/>
      <c r="RQR34" s="191"/>
      <c r="RQS34" s="191"/>
      <c r="RQT34" s="191"/>
      <c r="RQU34" s="191"/>
      <c r="RQV34" s="191"/>
      <c r="RQW34" s="191"/>
      <c r="RQX34" s="191"/>
      <c r="RQY34" s="191"/>
      <c r="RQZ34" s="191"/>
      <c r="RRA34" s="191"/>
      <c r="RRB34" s="191"/>
      <c r="RRC34" s="191"/>
      <c r="RRD34" s="191"/>
      <c r="RRE34" s="191"/>
      <c r="RRF34" s="191"/>
      <c r="RRG34" s="191"/>
      <c r="RRH34" s="191"/>
      <c r="RRI34" s="191"/>
      <c r="RRJ34" s="191"/>
      <c r="RRK34" s="191"/>
      <c r="RRL34" s="191"/>
      <c r="RRM34" s="191"/>
      <c r="RRN34" s="191"/>
      <c r="RRO34" s="191"/>
      <c r="RRP34" s="191"/>
      <c r="RRQ34" s="191"/>
      <c r="RRR34" s="191"/>
      <c r="RRS34" s="191"/>
      <c r="RRT34" s="191"/>
      <c r="RRU34" s="191"/>
      <c r="RRV34" s="191"/>
      <c r="RRW34" s="191"/>
      <c r="RRX34" s="191"/>
      <c r="RRY34" s="191"/>
      <c r="RRZ34" s="191"/>
      <c r="RSA34" s="191"/>
      <c r="RSB34" s="191"/>
      <c r="RSC34" s="191"/>
      <c r="RSD34" s="191"/>
      <c r="RSE34" s="191"/>
      <c r="RSF34" s="191"/>
      <c r="RSG34" s="191"/>
      <c r="RSH34" s="191"/>
      <c r="RSI34" s="191"/>
      <c r="RSJ34" s="191"/>
      <c r="RSK34" s="191"/>
      <c r="RSL34" s="191"/>
      <c r="RSM34" s="191"/>
      <c r="RSN34" s="191"/>
      <c r="RSO34" s="191"/>
      <c r="RSP34" s="191"/>
      <c r="RSQ34" s="191"/>
      <c r="RSR34" s="191"/>
      <c r="RSS34" s="191"/>
      <c r="RST34" s="191"/>
      <c r="RSU34" s="191"/>
      <c r="RSV34" s="191"/>
      <c r="RSW34" s="191"/>
      <c r="RSX34" s="191"/>
      <c r="RSY34" s="191"/>
      <c r="RSZ34" s="191"/>
      <c r="RTA34" s="191"/>
      <c r="RTB34" s="191"/>
      <c r="RTC34" s="191"/>
      <c r="RTD34" s="191"/>
      <c r="RTE34" s="191"/>
      <c r="RTF34" s="191"/>
      <c r="RTG34" s="191"/>
      <c r="RTH34" s="191"/>
      <c r="RTI34" s="191"/>
      <c r="RTJ34" s="191"/>
      <c r="RTK34" s="191"/>
      <c r="RTL34" s="191"/>
      <c r="RTM34" s="191"/>
      <c r="RTN34" s="191"/>
      <c r="RTO34" s="191"/>
      <c r="RTP34" s="191"/>
      <c r="RTQ34" s="191"/>
      <c r="RTR34" s="191"/>
      <c r="RTS34" s="191"/>
      <c r="RTT34" s="191"/>
      <c r="RTU34" s="191"/>
      <c r="RTV34" s="191"/>
      <c r="RTW34" s="191"/>
      <c r="RTX34" s="191"/>
      <c r="RTY34" s="191"/>
      <c r="RTZ34" s="191"/>
      <c r="RUA34" s="191"/>
      <c r="RUB34" s="191"/>
      <c r="RUC34" s="191"/>
      <c r="RUD34" s="191"/>
      <c r="RUE34" s="191"/>
      <c r="RUF34" s="191"/>
      <c r="RUG34" s="191"/>
      <c r="RUH34" s="191"/>
      <c r="RUI34" s="191"/>
      <c r="RUJ34" s="191"/>
      <c r="RUK34" s="191"/>
      <c r="RUL34" s="191"/>
      <c r="RUM34" s="191"/>
      <c r="RUN34" s="191"/>
      <c r="RUO34" s="191"/>
      <c r="RUP34" s="191"/>
      <c r="RUQ34" s="191"/>
      <c r="RUR34" s="191"/>
      <c r="RUS34" s="191"/>
      <c r="RUT34" s="191"/>
      <c r="RUU34" s="191"/>
      <c r="RUV34" s="191"/>
      <c r="RUW34" s="191"/>
      <c r="RUX34" s="191"/>
      <c r="RUY34" s="191"/>
      <c r="RUZ34" s="191"/>
      <c r="RVA34" s="191"/>
      <c r="RVB34" s="191"/>
      <c r="RVC34" s="191"/>
      <c r="RVD34" s="191"/>
      <c r="RVE34" s="191"/>
      <c r="RVF34" s="191"/>
      <c r="RVG34" s="191"/>
      <c r="RVH34" s="191"/>
      <c r="RVI34" s="191"/>
      <c r="RVJ34" s="191"/>
      <c r="RVK34" s="191"/>
      <c r="RVL34" s="191"/>
      <c r="RVM34" s="191"/>
      <c r="RVN34" s="191"/>
      <c r="RVO34" s="191"/>
      <c r="RVP34" s="191"/>
      <c r="RVQ34" s="191"/>
      <c r="RVR34" s="191"/>
      <c r="RVS34" s="191"/>
      <c r="RVT34" s="191"/>
      <c r="RVU34" s="191"/>
      <c r="RVV34" s="191"/>
      <c r="RVW34" s="191"/>
      <c r="RVX34" s="191"/>
      <c r="RVY34" s="191"/>
      <c r="RVZ34" s="191"/>
      <c r="RWA34" s="191"/>
      <c r="RWB34" s="191"/>
      <c r="RWC34" s="191"/>
      <c r="RWD34" s="191"/>
      <c r="RWE34" s="191"/>
      <c r="RWF34" s="191"/>
      <c r="RWG34" s="191"/>
      <c r="RWH34" s="191"/>
      <c r="RWI34" s="191"/>
      <c r="RWJ34" s="191"/>
      <c r="RWK34" s="191"/>
      <c r="RWL34" s="191"/>
      <c r="RWM34" s="191"/>
      <c r="RWN34" s="191"/>
      <c r="RWO34" s="191"/>
      <c r="RWP34" s="191"/>
      <c r="RWQ34" s="191"/>
      <c r="RWR34" s="191"/>
      <c r="RWS34" s="191"/>
      <c r="RWT34" s="191"/>
      <c r="RWU34" s="191"/>
      <c r="RWV34" s="191"/>
      <c r="RWW34" s="191"/>
      <c r="RWX34" s="191"/>
      <c r="RWY34" s="191"/>
      <c r="RWZ34" s="191"/>
      <c r="RXA34" s="191"/>
      <c r="RXB34" s="191"/>
      <c r="RXC34" s="191"/>
      <c r="RXD34" s="191"/>
      <c r="RXE34" s="191"/>
      <c r="RXF34" s="191"/>
      <c r="RXG34" s="191"/>
      <c r="RXH34" s="191"/>
      <c r="RXI34" s="191"/>
      <c r="RXJ34" s="191"/>
      <c r="RXK34" s="191"/>
      <c r="RXL34" s="191"/>
      <c r="RXM34" s="191"/>
      <c r="RXN34" s="191"/>
      <c r="RXO34" s="191"/>
      <c r="RXP34" s="191"/>
      <c r="RXQ34" s="191"/>
      <c r="RXR34" s="191"/>
      <c r="RXS34" s="191"/>
      <c r="RXT34" s="191"/>
      <c r="RXU34" s="191"/>
      <c r="RXV34" s="191"/>
      <c r="RXW34" s="191"/>
      <c r="RXX34" s="191"/>
      <c r="RXY34" s="191"/>
      <c r="RXZ34" s="191"/>
      <c r="RYA34" s="191"/>
      <c r="RYB34" s="191"/>
      <c r="RYC34" s="191"/>
      <c r="RYD34" s="191"/>
      <c r="RYE34" s="191"/>
      <c r="RYF34" s="191"/>
      <c r="RYG34" s="191"/>
      <c r="RYH34" s="191"/>
      <c r="RYI34" s="191"/>
      <c r="RYJ34" s="191"/>
      <c r="RYK34" s="191"/>
      <c r="RYL34" s="191"/>
      <c r="RYM34" s="191"/>
      <c r="RYN34" s="191"/>
      <c r="RYO34" s="191"/>
      <c r="RYP34" s="191"/>
      <c r="RYQ34" s="191"/>
      <c r="RYR34" s="191"/>
      <c r="RYS34" s="191"/>
      <c r="RYT34" s="191"/>
      <c r="RYU34" s="191"/>
      <c r="RYV34" s="191"/>
      <c r="RYW34" s="191"/>
      <c r="RYX34" s="191"/>
      <c r="RYY34" s="191"/>
      <c r="RYZ34" s="191"/>
      <c r="RZA34" s="191"/>
      <c r="RZB34" s="191"/>
      <c r="RZC34" s="191"/>
      <c r="RZD34" s="191"/>
      <c r="RZE34" s="191"/>
      <c r="RZF34" s="191"/>
      <c r="RZG34" s="191"/>
      <c r="RZH34" s="191"/>
      <c r="RZI34" s="191"/>
      <c r="RZJ34" s="191"/>
      <c r="RZK34" s="191"/>
      <c r="RZL34" s="191"/>
      <c r="RZM34" s="191"/>
      <c r="RZN34" s="191"/>
      <c r="RZO34" s="191"/>
      <c r="RZP34" s="191"/>
      <c r="RZQ34" s="191"/>
      <c r="RZR34" s="191"/>
      <c r="RZS34" s="191"/>
      <c r="RZT34" s="191"/>
      <c r="RZU34" s="191"/>
      <c r="RZV34" s="191"/>
      <c r="RZW34" s="191"/>
      <c r="RZX34" s="191"/>
      <c r="RZY34" s="191"/>
      <c r="RZZ34" s="191"/>
      <c r="SAA34" s="191"/>
      <c r="SAB34" s="191"/>
      <c r="SAC34" s="191"/>
      <c r="SAD34" s="191"/>
      <c r="SAE34" s="191"/>
      <c r="SAF34" s="191"/>
      <c r="SAG34" s="191"/>
      <c r="SAH34" s="191"/>
      <c r="SAI34" s="191"/>
      <c r="SAJ34" s="191"/>
      <c r="SAK34" s="191"/>
      <c r="SAL34" s="191"/>
      <c r="SAM34" s="191"/>
      <c r="SAN34" s="191"/>
      <c r="SAO34" s="191"/>
      <c r="SAP34" s="191"/>
      <c r="SAQ34" s="191"/>
      <c r="SAR34" s="191"/>
      <c r="SAS34" s="191"/>
      <c r="SAT34" s="191"/>
      <c r="SAU34" s="191"/>
      <c r="SAV34" s="191"/>
      <c r="SAW34" s="191"/>
      <c r="SAX34" s="191"/>
      <c r="SAY34" s="191"/>
      <c r="SAZ34" s="191"/>
      <c r="SBA34" s="191"/>
      <c r="SBB34" s="191"/>
      <c r="SBC34" s="191"/>
      <c r="SBD34" s="191"/>
      <c r="SBE34" s="191"/>
      <c r="SBF34" s="191"/>
      <c r="SBG34" s="191"/>
      <c r="SBH34" s="191"/>
      <c r="SBI34" s="191"/>
      <c r="SBJ34" s="191"/>
      <c r="SBK34" s="191"/>
      <c r="SBL34" s="191"/>
      <c r="SBM34" s="191"/>
      <c r="SBN34" s="191"/>
      <c r="SBO34" s="191"/>
      <c r="SBP34" s="191"/>
      <c r="SBQ34" s="191"/>
      <c r="SBR34" s="191"/>
      <c r="SBS34" s="191"/>
      <c r="SBT34" s="191"/>
      <c r="SBU34" s="191"/>
      <c r="SBV34" s="191"/>
      <c r="SBW34" s="191"/>
      <c r="SBX34" s="191"/>
      <c r="SBY34" s="191"/>
      <c r="SBZ34" s="191"/>
      <c r="SCA34" s="191"/>
      <c r="SCB34" s="191"/>
      <c r="SCC34" s="191"/>
      <c r="SCD34" s="191"/>
      <c r="SCE34" s="191"/>
      <c r="SCF34" s="191"/>
      <c r="SCG34" s="191"/>
      <c r="SCH34" s="191"/>
      <c r="SCI34" s="191"/>
      <c r="SCJ34" s="191"/>
      <c r="SCK34" s="191"/>
      <c r="SCL34" s="191"/>
      <c r="SCM34" s="191"/>
      <c r="SCN34" s="191"/>
      <c r="SCO34" s="191"/>
      <c r="SCP34" s="191"/>
      <c r="SCQ34" s="191"/>
      <c r="SCR34" s="191"/>
      <c r="SCS34" s="191"/>
      <c r="SCT34" s="191"/>
      <c r="SCU34" s="191"/>
      <c r="SCV34" s="191"/>
      <c r="SCW34" s="191"/>
      <c r="SCX34" s="191"/>
      <c r="SCY34" s="191"/>
      <c r="SCZ34" s="191"/>
      <c r="SDA34" s="191"/>
      <c r="SDB34" s="191"/>
      <c r="SDC34" s="191"/>
      <c r="SDD34" s="191"/>
      <c r="SDE34" s="191"/>
      <c r="SDF34" s="191"/>
      <c r="SDG34" s="191"/>
      <c r="SDH34" s="191"/>
      <c r="SDI34" s="191"/>
      <c r="SDJ34" s="191"/>
      <c r="SDK34" s="191"/>
      <c r="SDL34" s="191"/>
      <c r="SDM34" s="191"/>
      <c r="SDN34" s="191"/>
      <c r="SDO34" s="191"/>
      <c r="SDP34" s="191"/>
      <c r="SDQ34" s="191"/>
      <c r="SDR34" s="191"/>
      <c r="SDS34" s="191"/>
      <c r="SDT34" s="191"/>
      <c r="SDU34" s="191"/>
      <c r="SDV34" s="191"/>
      <c r="SDW34" s="191"/>
      <c r="SDX34" s="191"/>
      <c r="SDY34" s="191"/>
      <c r="SDZ34" s="191"/>
      <c r="SEA34" s="191"/>
      <c r="SEB34" s="191"/>
      <c r="SEC34" s="191"/>
      <c r="SED34" s="191"/>
      <c r="SEE34" s="191"/>
      <c r="SEF34" s="191"/>
      <c r="SEG34" s="191"/>
      <c r="SEH34" s="191"/>
      <c r="SEI34" s="191"/>
      <c r="SEJ34" s="191"/>
      <c r="SEK34" s="191"/>
      <c r="SEL34" s="191"/>
      <c r="SEM34" s="191"/>
      <c r="SEN34" s="191"/>
      <c r="SEO34" s="191"/>
      <c r="SEP34" s="191"/>
      <c r="SEQ34" s="191"/>
      <c r="SER34" s="191"/>
      <c r="SES34" s="191"/>
      <c r="SET34" s="191"/>
      <c r="SEU34" s="191"/>
      <c r="SEV34" s="191"/>
      <c r="SEW34" s="191"/>
      <c r="SEX34" s="191"/>
      <c r="SEY34" s="191"/>
      <c r="SEZ34" s="191"/>
      <c r="SFA34" s="191"/>
      <c r="SFB34" s="191"/>
      <c r="SFC34" s="191"/>
      <c r="SFD34" s="191"/>
      <c r="SFE34" s="191"/>
      <c r="SFF34" s="191"/>
      <c r="SFG34" s="191"/>
      <c r="SFH34" s="191"/>
      <c r="SFI34" s="191"/>
      <c r="SFJ34" s="191"/>
      <c r="SFK34" s="191"/>
      <c r="SFL34" s="191"/>
      <c r="SFM34" s="191"/>
      <c r="SFN34" s="191"/>
      <c r="SFO34" s="191"/>
      <c r="SFP34" s="191"/>
      <c r="SFQ34" s="191"/>
      <c r="SFR34" s="191"/>
      <c r="SFS34" s="191"/>
      <c r="SFT34" s="191"/>
      <c r="SFU34" s="191"/>
      <c r="SFV34" s="191"/>
      <c r="SFW34" s="191"/>
      <c r="SFX34" s="191"/>
      <c r="SFY34" s="191"/>
      <c r="SFZ34" s="191"/>
      <c r="SGA34" s="191"/>
      <c r="SGB34" s="191"/>
      <c r="SGC34" s="191"/>
      <c r="SGD34" s="191"/>
      <c r="SGE34" s="191"/>
      <c r="SGF34" s="191"/>
      <c r="SGG34" s="191"/>
      <c r="SGH34" s="191"/>
      <c r="SGI34" s="191"/>
      <c r="SGJ34" s="191"/>
      <c r="SGK34" s="191"/>
      <c r="SGL34" s="191"/>
      <c r="SGM34" s="191"/>
      <c r="SGN34" s="191"/>
      <c r="SGO34" s="191"/>
      <c r="SGP34" s="191"/>
      <c r="SGQ34" s="191"/>
      <c r="SGR34" s="191"/>
      <c r="SGS34" s="191"/>
      <c r="SGT34" s="191"/>
      <c r="SGU34" s="191"/>
      <c r="SGV34" s="191"/>
      <c r="SGW34" s="191"/>
      <c r="SGX34" s="191"/>
      <c r="SGY34" s="191"/>
      <c r="SGZ34" s="191"/>
      <c r="SHA34" s="191"/>
      <c r="SHB34" s="191"/>
      <c r="SHC34" s="191"/>
      <c r="SHD34" s="191"/>
      <c r="SHE34" s="191"/>
      <c r="SHF34" s="191"/>
      <c r="SHG34" s="191"/>
      <c r="SHH34" s="191"/>
      <c r="SHI34" s="191"/>
      <c r="SHJ34" s="191"/>
      <c r="SHK34" s="191"/>
      <c r="SHL34" s="191"/>
      <c r="SHM34" s="191"/>
      <c r="SHN34" s="191"/>
      <c r="SHO34" s="191"/>
      <c r="SHP34" s="191"/>
      <c r="SHQ34" s="191"/>
      <c r="SHR34" s="191"/>
      <c r="SHS34" s="191"/>
      <c r="SHT34" s="191"/>
      <c r="SHU34" s="191"/>
      <c r="SHV34" s="191"/>
      <c r="SHW34" s="191"/>
      <c r="SHX34" s="191"/>
      <c r="SHY34" s="191"/>
      <c r="SHZ34" s="191"/>
      <c r="SIA34" s="191"/>
      <c r="SIB34" s="191"/>
      <c r="SIC34" s="191"/>
      <c r="SID34" s="191"/>
      <c r="SIE34" s="191"/>
      <c r="SIF34" s="191"/>
      <c r="SIG34" s="191"/>
      <c r="SIH34" s="191"/>
      <c r="SII34" s="191"/>
      <c r="SIJ34" s="191"/>
      <c r="SIK34" s="191"/>
      <c r="SIL34" s="191"/>
      <c r="SIM34" s="191"/>
      <c r="SIN34" s="191"/>
      <c r="SIO34" s="191"/>
      <c r="SIP34" s="191"/>
      <c r="SIQ34" s="191"/>
      <c r="SIR34" s="191"/>
      <c r="SIS34" s="191"/>
      <c r="SIT34" s="191"/>
      <c r="SIU34" s="191"/>
      <c r="SIV34" s="191"/>
      <c r="SIW34" s="191"/>
      <c r="SIX34" s="191"/>
      <c r="SIY34" s="191"/>
      <c r="SIZ34" s="191"/>
      <c r="SJA34" s="191"/>
      <c r="SJB34" s="191"/>
      <c r="SJC34" s="191"/>
      <c r="SJD34" s="191"/>
      <c r="SJE34" s="191"/>
      <c r="SJF34" s="191"/>
      <c r="SJG34" s="191"/>
      <c r="SJH34" s="191"/>
      <c r="SJI34" s="191"/>
      <c r="SJJ34" s="191"/>
      <c r="SJK34" s="191"/>
      <c r="SJL34" s="191"/>
      <c r="SJM34" s="191"/>
      <c r="SJN34" s="191"/>
      <c r="SJO34" s="191"/>
      <c r="SJP34" s="191"/>
      <c r="SJQ34" s="191"/>
      <c r="SJR34" s="191"/>
      <c r="SJS34" s="191"/>
      <c r="SJT34" s="191"/>
      <c r="SJU34" s="191"/>
      <c r="SJV34" s="191"/>
      <c r="SJW34" s="191"/>
      <c r="SJX34" s="191"/>
      <c r="SJY34" s="191"/>
      <c r="SJZ34" s="191"/>
      <c r="SKA34" s="191"/>
      <c r="SKB34" s="191"/>
      <c r="SKC34" s="191"/>
      <c r="SKD34" s="191"/>
      <c r="SKE34" s="191"/>
      <c r="SKF34" s="191"/>
      <c r="SKG34" s="191"/>
      <c r="SKH34" s="191"/>
      <c r="SKI34" s="191"/>
      <c r="SKJ34" s="191"/>
      <c r="SKK34" s="191"/>
      <c r="SKL34" s="191"/>
      <c r="SKM34" s="191"/>
      <c r="SKN34" s="191"/>
      <c r="SKO34" s="191"/>
      <c r="SKP34" s="191"/>
      <c r="SKQ34" s="191"/>
      <c r="SKR34" s="191"/>
      <c r="SKS34" s="191"/>
      <c r="SKT34" s="191"/>
      <c r="SKU34" s="191"/>
      <c r="SKV34" s="191"/>
      <c r="SKW34" s="191"/>
      <c r="SKX34" s="191"/>
      <c r="SKY34" s="191"/>
      <c r="SKZ34" s="191"/>
      <c r="SLA34" s="191"/>
      <c r="SLB34" s="191"/>
      <c r="SLC34" s="191"/>
      <c r="SLD34" s="191"/>
      <c r="SLE34" s="191"/>
      <c r="SLF34" s="191"/>
      <c r="SLG34" s="191"/>
      <c r="SLH34" s="191"/>
      <c r="SLI34" s="191"/>
      <c r="SLJ34" s="191"/>
      <c r="SLK34" s="191"/>
      <c r="SLL34" s="191"/>
      <c r="SLM34" s="191"/>
      <c r="SLN34" s="191"/>
      <c r="SLO34" s="191"/>
      <c r="SLP34" s="191"/>
      <c r="SLQ34" s="191"/>
      <c r="SLR34" s="191"/>
      <c r="SLS34" s="191"/>
      <c r="SLT34" s="191"/>
      <c r="SLU34" s="191"/>
      <c r="SLV34" s="191"/>
      <c r="SLW34" s="191"/>
      <c r="SLX34" s="191"/>
      <c r="SLY34" s="191"/>
      <c r="SLZ34" s="191"/>
      <c r="SMA34" s="191"/>
      <c r="SMB34" s="191"/>
      <c r="SMC34" s="191"/>
      <c r="SMD34" s="191"/>
      <c r="SME34" s="191"/>
      <c r="SMF34" s="191"/>
      <c r="SMG34" s="191"/>
      <c r="SMH34" s="191"/>
      <c r="SMI34" s="191"/>
      <c r="SMJ34" s="191"/>
      <c r="SMK34" s="191"/>
      <c r="SML34" s="191"/>
      <c r="SMM34" s="191"/>
      <c r="SMN34" s="191"/>
      <c r="SMO34" s="191"/>
      <c r="SMP34" s="191"/>
      <c r="SMQ34" s="191"/>
      <c r="SMR34" s="191"/>
      <c r="SMS34" s="191"/>
      <c r="SMT34" s="191"/>
      <c r="SMU34" s="191"/>
      <c r="SMV34" s="191"/>
      <c r="SMW34" s="191"/>
      <c r="SMX34" s="191"/>
      <c r="SMY34" s="191"/>
      <c r="SMZ34" s="191"/>
      <c r="SNA34" s="191"/>
      <c r="SNB34" s="191"/>
      <c r="SNC34" s="191"/>
      <c r="SND34" s="191"/>
      <c r="SNE34" s="191"/>
      <c r="SNF34" s="191"/>
      <c r="SNG34" s="191"/>
      <c r="SNH34" s="191"/>
      <c r="SNI34" s="191"/>
      <c r="SNJ34" s="191"/>
      <c r="SNK34" s="191"/>
      <c r="SNL34" s="191"/>
      <c r="SNM34" s="191"/>
      <c r="SNN34" s="191"/>
      <c r="SNO34" s="191"/>
      <c r="SNP34" s="191"/>
      <c r="SNQ34" s="191"/>
      <c r="SNR34" s="191"/>
      <c r="SNS34" s="191"/>
      <c r="SNT34" s="191"/>
      <c r="SNU34" s="191"/>
      <c r="SNV34" s="191"/>
      <c r="SNW34" s="191"/>
      <c r="SNX34" s="191"/>
      <c r="SNY34" s="191"/>
      <c r="SNZ34" s="191"/>
      <c r="SOA34" s="191"/>
      <c r="SOB34" s="191"/>
      <c r="SOC34" s="191"/>
      <c r="SOD34" s="191"/>
      <c r="SOE34" s="191"/>
      <c r="SOF34" s="191"/>
      <c r="SOG34" s="191"/>
      <c r="SOH34" s="191"/>
      <c r="SOI34" s="191"/>
      <c r="SOJ34" s="191"/>
      <c r="SOK34" s="191"/>
      <c r="SOL34" s="191"/>
      <c r="SOM34" s="191"/>
      <c r="SON34" s="191"/>
      <c r="SOO34" s="191"/>
      <c r="SOP34" s="191"/>
      <c r="SOQ34" s="191"/>
      <c r="SOR34" s="191"/>
      <c r="SOS34" s="191"/>
      <c r="SOT34" s="191"/>
      <c r="SOU34" s="191"/>
      <c r="SOV34" s="191"/>
      <c r="SOW34" s="191"/>
      <c r="SOX34" s="191"/>
      <c r="SOY34" s="191"/>
      <c r="SOZ34" s="191"/>
      <c r="SPA34" s="191"/>
      <c r="SPB34" s="191"/>
      <c r="SPC34" s="191"/>
      <c r="SPD34" s="191"/>
      <c r="SPE34" s="191"/>
      <c r="SPF34" s="191"/>
      <c r="SPG34" s="191"/>
      <c r="SPH34" s="191"/>
      <c r="SPI34" s="191"/>
      <c r="SPJ34" s="191"/>
      <c r="SPK34" s="191"/>
      <c r="SPL34" s="191"/>
      <c r="SPM34" s="191"/>
      <c r="SPN34" s="191"/>
      <c r="SPO34" s="191"/>
      <c r="SPP34" s="191"/>
      <c r="SPQ34" s="191"/>
      <c r="SPR34" s="191"/>
      <c r="SPS34" s="191"/>
      <c r="SPT34" s="191"/>
      <c r="SPU34" s="191"/>
      <c r="SPV34" s="191"/>
      <c r="SPW34" s="191"/>
      <c r="SPX34" s="191"/>
      <c r="SPY34" s="191"/>
      <c r="SPZ34" s="191"/>
      <c r="SQA34" s="191"/>
      <c r="SQB34" s="191"/>
      <c r="SQC34" s="191"/>
      <c r="SQD34" s="191"/>
      <c r="SQE34" s="191"/>
      <c r="SQF34" s="191"/>
      <c r="SQG34" s="191"/>
      <c r="SQH34" s="191"/>
      <c r="SQI34" s="191"/>
      <c r="SQJ34" s="191"/>
      <c r="SQK34" s="191"/>
      <c r="SQL34" s="191"/>
      <c r="SQM34" s="191"/>
      <c r="SQN34" s="191"/>
      <c r="SQO34" s="191"/>
      <c r="SQP34" s="191"/>
      <c r="SQQ34" s="191"/>
      <c r="SQR34" s="191"/>
      <c r="SQS34" s="191"/>
      <c r="SQT34" s="191"/>
      <c r="SQU34" s="191"/>
      <c r="SQV34" s="191"/>
      <c r="SQW34" s="191"/>
      <c r="SQX34" s="191"/>
      <c r="SQY34" s="191"/>
      <c r="SQZ34" s="191"/>
      <c r="SRA34" s="191"/>
      <c r="SRB34" s="191"/>
      <c r="SRC34" s="191"/>
      <c r="SRD34" s="191"/>
      <c r="SRE34" s="191"/>
      <c r="SRF34" s="191"/>
      <c r="SRG34" s="191"/>
      <c r="SRH34" s="191"/>
      <c r="SRI34" s="191"/>
      <c r="SRJ34" s="191"/>
      <c r="SRK34" s="191"/>
      <c r="SRL34" s="191"/>
      <c r="SRM34" s="191"/>
      <c r="SRN34" s="191"/>
      <c r="SRO34" s="191"/>
      <c r="SRP34" s="191"/>
      <c r="SRQ34" s="191"/>
      <c r="SRR34" s="191"/>
      <c r="SRS34" s="191"/>
      <c r="SRT34" s="191"/>
      <c r="SRU34" s="191"/>
      <c r="SRV34" s="191"/>
      <c r="SRW34" s="191"/>
      <c r="SRX34" s="191"/>
      <c r="SRY34" s="191"/>
      <c r="SRZ34" s="191"/>
      <c r="SSA34" s="191"/>
      <c r="SSB34" s="191"/>
      <c r="SSC34" s="191"/>
      <c r="SSD34" s="191"/>
      <c r="SSE34" s="191"/>
      <c r="SSF34" s="191"/>
      <c r="SSG34" s="191"/>
      <c r="SSH34" s="191"/>
      <c r="SSI34" s="191"/>
      <c r="SSJ34" s="191"/>
      <c r="SSK34" s="191"/>
      <c r="SSL34" s="191"/>
      <c r="SSM34" s="191"/>
      <c r="SSN34" s="191"/>
      <c r="SSO34" s="191"/>
      <c r="SSP34" s="191"/>
      <c r="SSQ34" s="191"/>
      <c r="SSR34" s="191"/>
      <c r="SSS34" s="191"/>
      <c r="SST34" s="191"/>
      <c r="SSU34" s="191"/>
      <c r="SSV34" s="191"/>
      <c r="SSW34" s="191"/>
      <c r="SSX34" s="191"/>
      <c r="SSY34" s="191"/>
      <c r="SSZ34" s="191"/>
      <c r="STA34" s="191"/>
      <c r="STB34" s="191"/>
      <c r="STC34" s="191"/>
      <c r="STD34" s="191"/>
      <c r="STE34" s="191"/>
      <c r="STF34" s="191"/>
      <c r="STG34" s="191"/>
      <c r="STH34" s="191"/>
      <c r="STI34" s="191"/>
      <c r="STJ34" s="191"/>
      <c r="STK34" s="191"/>
      <c r="STL34" s="191"/>
      <c r="STM34" s="191"/>
      <c r="STN34" s="191"/>
      <c r="STO34" s="191"/>
      <c r="STP34" s="191"/>
      <c r="STQ34" s="191"/>
      <c r="STR34" s="191"/>
      <c r="STS34" s="191"/>
      <c r="STT34" s="191"/>
      <c r="STU34" s="191"/>
      <c r="STV34" s="191"/>
      <c r="STW34" s="191"/>
      <c r="STX34" s="191"/>
      <c r="STY34" s="191"/>
      <c r="STZ34" s="191"/>
      <c r="SUA34" s="191"/>
      <c r="SUB34" s="191"/>
      <c r="SUC34" s="191"/>
      <c r="SUD34" s="191"/>
      <c r="SUE34" s="191"/>
      <c r="SUF34" s="191"/>
      <c r="SUG34" s="191"/>
      <c r="SUH34" s="191"/>
      <c r="SUI34" s="191"/>
      <c r="SUJ34" s="191"/>
      <c r="SUK34" s="191"/>
      <c r="SUL34" s="191"/>
      <c r="SUM34" s="191"/>
      <c r="SUN34" s="191"/>
      <c r="SUO34" s="191"/>
      <c r="SUP34" s="191"/>
      <c r="SUQ34" s="191"/>
      <c r="SUR34" s="191"/>
      <c r="SUS34" s="191"/>
      <c r="SUT34" s="191"/>
      <c r="SUU34" s="191"/>
      <c r="SUV34" s="191"/>
      <c r="SUW34" s="191"/>
      <c r="SUX34" s="191"/>
      <c r="SUY34" s="191"/>
      <c r="SUZ34" s="191"/>
      <c r="SVA34" s="191"/>
      <c r="SVB34" s="191"/>
      <c r="SVC34" s="191"/>
      <c r="SVD34" s="191"/>
      <c r="SVE34" s="191"/>
      <c r="SVF34" s="191"/>
      <c r="SVG34" s="191"/>
      <c r="SVH34" s="191"/>
      <c r="SVI34" s="191"/>
      <c r="SVJ34" s="191"/>
      <c r="SVK34" s="191"/>
      <c r="SVL34" s="191"/>
      <c r="SVM34" s="191"/>
      <c r="SVN34" s="191"/>
      <c r="SVO34" s="191"/>
      <c r="SVP34" s="191"/>
      <c r="SVQ34" s="191"/>
      <c r="SVR34" s="191"/>
      <c r="SVS34" s="191"/>
      <c r="SVT34" s="191"/>
      <c r="SVU34" s="191"/>
      <c r="SVV34" s="191"/>
      <c r="SVW34" s="191"/>
      <c r="SVX34" s="191"/>
      <c r="SVY34" s="191"/>
      <c r="SVZ34" s="191"/>
      <c r="SWA34" s="191"/>
      <c r="SWB34" s="191"/>
      <c r="SWC34" s="191"/>
      <c r="SWD34" s="191"/>
      <c r="SWE34" s="191"/>
      <c r="SWF34" s="191"/>
      <c r="SWG34" s="191"/>
      <c r="SWH34" s="191"/>
      <c r="SWI34" s="191"/>
      <c r="SWJ34" s="191"/>
      <c r="SWK34" s="191"/>
      <c r="SWL34" s="191"/>
      <c r="SWM34" s="191"/>
      <c r="SWN34" s="191"/>
      <c r="SWO34" s="191"/>
      <c r="SWP34" s="191"/>
      <c r="SWQ34" s="191"/>
      <c r="SWR34" s="191"/>
      <c r="SWS34" s="191"/>
      <c r="SWT34" s="191"/>
      <c r="SWU34" s="191"/>
      <c r="SWV34" s="191"/>
      <c r="SWW34" s="191"/>
      <c r="SWX34" s="191"/>
      <c r="SWY34" s="191"/>
      <c r="SWZ34" s="191"/>
      <c r="SXA34" s="191"/>
      <c r="SXB34" s="191"/>
      <c r="SXC34" s="191"/>
      <c r="SXD34" s="191"/>
      <c r="SXE34" s="191"/>
      <c r="SXF34" s="191"/>
      <c r="SXG34" s="191"/>
      <c r="SXH34" s="191"/>
      <c r="SXI34" s="191"/>
      <c r="SXJ34" s="191"/>
      <c r="SXK34" s="191"/>
      <c r="SXL34" s="191"/>
      <c r="SXM34" s="191"/>
      <c r="SXN34" s="191"/>
      <c r="SXO34" s="191"/>
      <c r="SXP34" s="191"/>
      <c r="SXQ34" s="191"/>
      <c r="SXR34" s="191"/>
      <c r="SXS34" s="191"/>
      <c r="SXT34" s="191"/>
      <c r="SXU34" s="191"/>
      <c r="SXV34" s="191"/>
      <c r="SXW34" s="191"/>
      <c r="SXX34" s="191"/>
      <c r="SXY34" s="191"/>
      <c r="SXZ34" s="191"/>
      <c r="SYA34" s="191"/>
      <c r="SYB34" s="191"/>
      <c r="SYC34" s="191"/>
      <c r="SYD34" s="191"/>
      <c r="SYE34" s="191"/>
      <c r="SYF34" s="191"/>
      <c r="SYG34" s="191"/>
      <c r="SYH34" s="191"/>
      <c r="SYI34" s="191"/>
      <c r="SYJ34" s="191"/>
      <c r="SYK34" s="191"/>
      <c r="SYL34" s="191"/>
      <c r="SYM34" s="191"/>
      <c r="SYN34" s="191"/>
      <c r="SYO34" s="191"/>
      <c r="SYP34" s="191"/>
      <c r="SYQ34" s="191"/>
      <c r="SYR34" s="191"/>
      <c r="SYS34" s="191"/>
      <c r="SYT34" s="191"/>
      <c r="SYU34" s="191"/>
      <c r="SYV34" s="191"/>
      <c r="SYW34" s="191"/>
      <c r="SYX34" s="191"/>
      <c r="SYY34" s="191"/>
      <c r="SYZ34" s="191"/>
      <c r="SZA34" s="191"/>
      <c r="SZB34" s="191"/>
      <c r="SZC34" s="191"/>
      <c r="SZD34" s="191"/>
      <c r="SZE34" s="191"/>
      <c r="SZF34" s="191"/>
      <c r="SZG34" s="191"/>
      <c r="SZH34" s="191"/>
      <c r="SZI34" s="191"/>
      <c r="SZJ34" s="191"/>
      <c r="SZK34" s="191"/>
      <c r="SZL34" s="191"/>
      <c r="SZM34" s="191"/>
      <c r="SZN34" s="191"/>
      <c r="SZO34" s="191"/>
      <c r="SZP34" s="191"/>
      <c r="SZQ34" s="191"/>
      <c r="SZR34" s="191"/>
      <c r="SZS34" s="191"/>
      <c r="SZT34" s="191"/>
      <c r="SZU34" s="191"/>
      <c r="SZV34" s="191"/>
      <c r="SZW34" s="191"/>
      <c r="SZX34" s="191"/>
      <c r="SZY34" s="191"/>
      <c r="SZZ34" s="191"/>
      <c r="TAA34" s="191"/>
      <c r="TAB34" s="191"/>
      <c r="TAC34" s="191"/>
      <c r="TAD34" s="191"/>
      <c r="TAE34" s="191"/>
      <c r="TAF34" s="191"/>
      <c r="TAG34" s="191"/>
      <c r="TAH34" s="191"/>
      <c r="TAI34" s="191"/>
      <c r="TAJ34" s="191"/>
      <c r="TAK34" s="191"/>
      <c r="TAL34" s="191"/>
      <c r="TAM34" s="191"/>
      <c r="TAN34" s="191"/>
      <c r="TAO34" s="191"/>
      <c r="TAP34" s="191"/>
      <c r="TAQ34" s="191"/>
      <c r="TAR34" s="191"/>
      <c r="TAS34" s="191"/>
      <c r="TAT34" s="191"/>
      <c r="TAU34" s="191"/>
      <c r="TAV34" s="191"/>
      <c r="TAW34" s="191"/>
      <c r="TAX34" s="191"/>
      <c r="TAY34" s="191"/>
      <c r="TAZ34" s="191"/>
      <c r="TBA34" s="191"/>
      <c r="TBB34" s="191"/>
      <c r="TBC34" s="191"/>
      <c r="TBD34" s="191"/>
      <c r="TBE34" s="191"/>
      <c r="TBF34" s="191"/>
      <c r="TBG34" s="191"/>
      <c r="TBH34" s="191"/>
      <c r="TBI34" s="191"/>
      <c r="TBJ34" s="191"/>
      <c r="TBK34" s="191"/>
      <c r="TBL34" s="191"/>
      <c r="TBM34" s="191"/>
      <c r="TBN34" s="191"/>
      <c r="TBO34" s="191"/>
      <c r="TBP34" s="191"/>
      <c r="TBQ34" s="191"/>
      <c r="TBR34" s="191"/>
      <c r="TBS34" s="191"/>
      <c r="TBT34" s="191"/>
      <c r="TBU34" s="191"/>
      <c r="TBV34" s="191"/>
      <c r="TBW34" s="191"/>
      <c r="TBX34" s="191"/>
      <c r="TBY34" s="191"/>
      <c r="TBZ34" s="191"/>
      <c r="TCA34" s="191"/>
      <c r="TCB34" s="191"/>
      <c r="TCC34" s="191"/>
      <c r="TCD34" s="191"/>
      <c r="TCE34" s="191"/>
      <c r="TCF34" s="191"/>
      <c r="TCG34" s="191"/>
      <c r="TCH34" s="191"/>
      <c r="TCI34" s="191"/>
      <c r="TCJ34" s="191"/>
      <c r="TCK34" s="191"/>
      <c r="TCL34" s="191"/>
      <c r="TCM34" s="191"/>
      <c r="TCN34" s="191"/>
      <c r="TCO34" s="191"/>
      <c r="TCP34" s="191"/>
      <c r="TCQ34" s="191"/>
      <c r="TCR34" s="191"/>
      <c r="TCS34" s="191"/>
      <c r="TCT34" s="191"/>
      <c r="TCU34" s="191"/>
      <c r="TCV34" s="191"/>
      <c r="TCW34" s="191"/>
      <c r="TCX34" s="191"/>
      <c r="TCY34" s="191"/>
      <c r="TCZ34" s="191"/>
      <c r="TDA34" s="191"/>
      <c r="TDB34" s="191"/>
      <c r="TDC34" s="191"/>
      <c r="TDD34" s="191"/>
      <c r="TDE34" s="191"/>
      <c r="TDF34" s="191"/>
      <c r="TDG34" s="191"/>
      <c r="TDH34" s="191"/>
      <c r="TDI34" s="191"/>
      <c r="TDJ34" s="191"/>
      <c r="TDK34" s="191"/>
      <c r="TDL34" s="191"/>
      <c r="TDM34" s="191"/>
      <c r="TDN34" s="191"/>
      <c r="TDO34" s="191"/>
      <c r="TDP34" s="191"/>
      <c r="TDQ34" s="191"/>
      <c r="TDR34" s="191"/>
      <c r="TDS34" s="191"/>
      <c r="TDT34" s="191"/>
      <c r="TDU34" s="191"/>
      <c r="TDV34" s="191"/>
      <c r="TDW34" s="191"/>
      <c r="TDX34" s="191"/>
      <c r="TDY34" s="191"/>
      <c r="TDZ34" s="191"/>
      <c r="TEA34" s="191"/>
      <c r="TEB34" s="191"/>
      <c r="TEC34" s="191"/>
      <c r="TED34" s="191"/>
      <c r="TEE34" s="191"/>
      <c r="TEF34" s="191"/>
      <c r="TEG34" s="191"/>
      <c r="TEH34" s="191"/>
      <c r="TEI34" s="191"/>
      <c r="TEJ34" s="191"/>
      <c r="TEK34" s="191"/>
      <c r="TEL34" s="191"/>
      <c r="TEM34" s="191"/>
      <c r="TEN34" s="191"/>
      <c r="TEO34" s="191"/>
      <c r="TEP34" s="191"/>
      <c r="TEQ34" s="191"/>
      <c r="TER34" s="191"/>
      <c r="TES34" s="191"/>
      <c r="TET34" s="191"/>
      <c r="TEU34" s="191"/>
      <c r="TEV34" s="191"/>
      <c r="TEW34" s="191"/>
      <c r="TEX34" s="191"/>
      <c r="TEY34" s="191"/>
      <c r="TEZ34" s="191"/>
      <c r="TFA34" s="191"/>
      <c r="TFB34" s="191"/>
      <c r="TFC34" s="191"/>
      <c r="TFD34" s="191"/>
      <c r="TFE34" s="191"/>
      <c r="TFF34" s="191"/>
      <c r="TFG34" s="191"/>
      <c r="TFH34" s="191"/>
      <c r="TFI34" s="191"/>
      <c r="TFJ34" s="191"/>
      <c r="TFK34" s="191"/>
      <c r="TFL34" s="191"/>
      <c r="TFM34" s="191"/>
      <c r="TFN34" s="191"/>
      <c r="TFO34" s="191"/>
      <c r="TFP34" s="191"/>
      <c r="TFQ34" s="191"/>
      <c r="TFR34" s="191"/>
      <c r="TFS34" s="191"/>
      <c r="TFT34" s="191"/>
      <c r="TFU34" s="191"/>
      <c r="TFV34" s="191"/>
      <c r="TFW34" s="191"/>
      <c r="TFX34" s="191"/>
      <c r="TFY34" s="191"/>
      <c r="TFZ34" s="191"/>
      <c r="TGA34" s="191"/>
      <c r="TGB34" s="191"/>
      <c r="TGC34" s="191"/>
      <c r="TGD34" s="191"/>
      <c r="TGE34" s="191"/>
      <c r="TGF34" s="191"/>
      <c r="TGG34" s="191"/>
      <c r="TGH34" s="191"/>
      <c r="TGI34" s="191"/>
      <c r="TGJ34" s="191"/>
      <c r="TGK34" s="191"/>
      <c r="TGL34" s="191"/>
      <c r="TGM34" s="191"/>
      <c r="TGN34" s="191"/>
      <c r="TGO34" s="191"/>
      <c r="TGP34" s="191"/>
      <c r="TGQ34" s="191"/>
      <c r="TGR34" s="191"/>
      <c r="TGS34" s="191"/>
      <c r="TGT34" s="191"/>
      <c r="TGU34" s="191"/>
      <c r="TGV34" s="191"/>
      <c r="TGW34" s="191"/>
      <c r="TGX34" s="191"/>
      <c r="TGY34" s="191"/>
      <c r="TGZ34" s="191"/>
      <c r="THA34" s="191"/>
      <c r="THB34" s="191"/>
      <c r="THC34" s="191"/>
      <c r="THD34" s="191"/>
      <c r="THE34" s="191"/>
      <c r="THF34" s="191"/>
      <c r="THG34" s="191"/>
      <c r="THH34" s="191"/>
      <c r="THI34" s="191"/>
      <c r="THJ34" s="191"/>
      <c r="THK34" s="191"/>
      <c r="THL34" s="191"/>
      <c r="THM34" s="191"/>
      <c r="THN34" s="191"/>
      <c r="THO34" s="191"/>
      <c r="THP34" s="191"/>
      <c r="THQ34" s="191"/>
      <c r="THR34" s="191"/>
      <c r="THS34" s="191"/>
      <c r="THT34" s="191"/>
      <c r="THU34" s="191"/>
      <c r="THV34" s="191"/>
      <c r="THW34" s="191"/>
      <c r="THX34" s="191"/>
      <c r="THY34" s="191"/>
      <c r="THZ34" s="191"/>
      <c r="TIA34" s="191"/>
      <c r="TIB34" s="191"/>
      <c r="TIC34" s="191"/>
      <c r="TID34" s="191"/>
      <c r="TIE34" s="191"/>
      <c r="TIF34" s="191"/>
      <c r="TIG34" s="191"/>
      <c r="TIH34" s="191"/>
      <c r="TII34" s="191"/>
      <c r="TIJ34" s="191"/>
      <c r="TIK34" s="191"/>
      <c r="TIL34" s="191"/>
      <c r="TIM34" s="191"/>
      <c r="TIN34" s="191"/>
      <c r="TIO34" s="191"/>
      <c r="TIP34" s="191"/>
      <c r="TIQ34" s="191"/>
      <c r="TIR34" s="191"/>
      <c r="TIS34" s="191"/>
      <c r="TIT34" s="191"/>
      <c r="TIU34" s="191"/>
      <c r="TIV34" s="191"/>
      <c r="TIW34" s="191"/>
      <c r="TIX34" s="191"/>
      <c r="TIY34" s="191"/>
      <c r="TIZ34" s="191"/>
      <c r="TJA34" s="191"/>
      <c r="TJB34" s="191"/>
      <c r="TJC34" s="191"/>
      <c r="TJD34" s="191"/>
      <c r="TJE34" s="191"/>
      <c r="TJF34" s="191"/>
      <c r="TJG34" s="191"/>
      <c r="TJH34" s="191"/>
      <c r="TJI34" s="191"/>
      <c r="TJJ34" s="191"/>
      <c r="TJK34" s="191"/>
      <c r="TJL34" s="191"/>
      <c r="TJM34" s="191"/>
      <c r="TJN34" s="191"/>
      <c r="TJO34" s="191"/>
      <c r="TJP34" s="191"/>
      <c r="TJQ34" s="191"/>
      <c r="TJR34" s="191"/>
      <c r="TJS34" s="191"/>
      <c r="TJT34" s="191"/>
      <c r="TJU34" s="191"/>
      <c r="TJV34" s="191"/>
      <c r="TJW34" s="191"/>
      <c r="TJX34" s="191"/>
      <c r="TJY34" s="191"/>
      <c r="TJZ34" s="191"/>
      <c r="TKA34" s="191"/>
      <c r="TKB34" s="191"/>
      <c r="TKC34" s="191"/>
      <c r="TKD34" s="191"/>
      <c r="TKE34" s="191"/>
      <c r="TKF34" s="191"/>
      <c r="TKG34" s="191"/>
      <c r="TKH34" s="191"/>
      <c r="TKI34" s="191"/>
      <c r="TKJ34" s="191"/>
      <c r="TKK34" s="191"/>
      <c r="TKL34" s="191"/>
      <c r="TKM34" s="191"/>
      <c r="TKN34" s="191"/>
      <c r="TKO34" s="191"/>
      <c r="TKP34" s="191"/>
      <c r="TKQ34" s="191"/>
      <c r="TKR34" s="191"/>
      <c r="TKS34" s="191"/>
      <c r="TKT34" s="191"/>
      <c r="TKU34" s="191"/>
      <c r="TKV34" s="191"/>
      <c r="TKW34" s="191"/>
      <c r="TKX34" s="191"/>
      <c r="TKY34" s="191"/>
      <c r="TKZ34" s="191"/>
      <c r="TLA34" s="191"/>
      <c r="TLB34" s="191"/>
      <c r="TLC34" s="191"/>
      <c r="TLD34" s="191"/>
      <c r="TLE34" s="191"/>
      <c r="TLF34" s="191"/>
      <c r="TLG34" s="191"/>
      <c r="TLH34" s="191"/>
      <c r="TLI34" s="191"/>
      <c r="TLJ34" s="191"/>
      <c r="TLK34" s="191"/>
      <c r="TLL34" s="191"/>
      <c r="TLM34" s="191"/>
      <c r="TLN34" s="191"/>
      <c r="TLO34" s="191"/>
      <c r="TLP34" s="191"/>
      <c r="TLQ34" s="191"/>
      <c r="TLR34" s="191"/>
      <c r="TLS34" s="191"/>
      <c r="TLT34" s="191"/>
      <c r="TLU34" s="191"/>
      <c r="TLV34" s="191"/>
      <c r="TLW34" s="191"/>
      <c r="TLX34" s="191"/>
      <c r="TLY34" s="191"/>
      <c r="TLZ34" s="191"/>
      <c r="TMA34" s="191"/>
      <c r="TMB34" s="191"/>
      <c r="TMC34" s="191"/>
      <c r="TMD34" s="191"/>
      <c r="TME34" s="191"/>
      <c r="TMF34" s="191"/>
      <c r="TMG34" s="191"/>
      <c r="TMH34" s="191"/>
      <c r="TMI34" s="191"/>
      <c r="TMJ34" s="191"/>
      <c r="TMK34" s="191"/>
      <c r="TML34" s="191"/>
      <c r="TMM34" s="191"/>
      <c r="TMN34" s="191"/>
      <c r="TMO34" s="191"/>
      <c r="TMP34" s="191"/>
      <c r="TMQ34" s="191"/>
      <c r="TMR34" s="191"/>
      <c r="TMS34" s="191"/>
      <c r="TMT34" s="191"/>
      <c r="TMU34" s="191"/>
      <c r="TMV34" s="191"/>
      <c r="TMW34" s="191"/>
      <c r="TMX34" s="191"/>
      <c r="TMY34" s="191"/>
      <c r="TMZ34" s="191"/>
      <c r="TNA34" s="191"/>
      <c r="TNB34" s="191"/>
      <c r="TNC34" s="191"/>
      <c r="TND34" s="191"/>
      <c r="TNE34" s="191"/>
      <c r="TNF34" s="191"/>
      <c r="TNG34" s="191"/>
      <c r="TNH34" s="191"/>
      <c r="TNI34" s="191"/>
      <c r="TNJ34" s="191"/>
      <c r="TNK34" s="191"/>
      <c r="TNL34" s="191"/>
      <c r="TNM34" s="191"/>
      <c r="TNN34" s="191"/>
      <c r="TNO34" s="191"/>
      <c r="TNP34" s="191"/>
      <c r="TNQ34" s="191"/>
      <c r="TNR34" s="191"/>
      <c r="TNS34" s="191"/>
      <c r="TNT34" s="191"/>
      <c r="TNU34" s="191"/>
      <c r="TNV34" s="191"/>
      <c r="TNW34" s="191"/>
      <c r="TNX34" s="191"/>
      <c r="TNY34" s="191"/>
      <c r="TNZ34" s="191"/>
      <c r="TOA34" s="191"/>
      <c r="TOB34" s="191"/>
      <c r="TOC34" s="191"/>
      <c r="TOD34" s="191"/>
      <c r="TOE34" s="191"/>
      <c r="TOF34" s="191"/>
      <c r="TOG34" s="191"/>
      <c r="TOH34" s="191"/>
      <c r="TOI34" s="191"/>
      <c r="TOJ34" s="191"/>
      <c r="TOK34" s="191"/>
      <c r="TOL34" s="191"/>
      <c r="TOM34" s="191"/>
      <c r="TON34" s="191"/>
      <c r="TOO34" s="191"/>
      <c r="TOP34" s="191"/>
      <c r="TOQ34" s="191"/>
      <c r="TOR34" s="191"/>
      <c r="TOS34" s="191"/>
      <c r="TOT34" s="191"/>
      <c r="TOU34" s="191"/>
      <c r="TOV34" s="191"/>
      <c r="TOW34" s="191"/>
      <c r="TOX34" s="191"/>
      <c r="TOY34" s="191"/>
      <c r="TOZ34" s="191"/>
      <c r="TPA34" s="191"/>
      <c r="TPB34" s="191"/>
      <c r="TPC34" s="191"/>
      <c r="TPD34" s="191"/>
      <c r="TPE34" s="191"/>
      <c r="TPF34" s="191"/>
      <c r="TPG34" s="191"/>
      <c r="TPH34" s="191"/>
      <c r="TPI34" s="191"/>
      <c r="TPJ34" s="191"/>
      <c r="TPK34" s="191"/>
      <c r="TPL34" s="191"/>
      <c r="TPM34" s="191"/>
      <c r="TPN34" s="191"/>
      <c r="TPO34" s="191"/>
      <c r="TPP34" s="191"/>
      <c r="TPQ34" s="191"/>
      <c r="TPR34" s="191"/>
      <c r="TPS34" s="191"/>
      <c r="TPT34" s="191"/>
      <c r="TPU34" s="191"/>
      <c r="TPV34" s="191"/>
      <c r="TPW34" s="191"/>
      <c r="TPX34" s="191"/>
      <c r="TPY34" s="191"/>
      <c r="TPZ34" s="191"/>
      <c r="TQA34" s="191"/>
      <c r="TQB34" s="191"/>
      <c r="TQC34" s="191"/>
      <c r="TQD34" s="191"/>
      <c r="TQE34" s="191"/>
      <c r="TQF34" s="191"/>
      <c r="TQG34" s="191"/>
      <c r="TQH34" s="191"/>
      <c r="TQI34" s="191"/>
      <c r="TQJ34" s="191"/>
      <c r="TQK34" s="191"/>
      <c r="TQL34" s="191"/>
      <c r="TQM34" s="191"/>
      <c r="TQN34" s="191"/>
      <c r="TQO34" s="191"/>
      <c r="TQP34" s="191"/>
      <c r="TQQ34" s="191"/>
      <c r="TQR34" s="191"/>
      <c r="TQS34" s="191"/>
      <c r="TQT34" s="191"/>
      <c r="TQU34" s="191"/>
      <c r="TQV34" s="191"/>
      <c r="TQW34" s="191"/>
      <c r="TQX34" s="191"/>
      <c r="TQY34" s="191"/>
      <c r="TQZ34" s="191"/>
      <c r="TRA34" s="191"/>
      <c r="TRB34" s="191"/>
      <c r="TRC34" s="191"/>
      <c r="TRD34" s="191"/>
      <c r="TRE34" s="191"/>
      <c r="TRF34" s="191"/>
      <c r="TRG34" s="191"/>
      <c r="TRH34" s="191"/>
      <c r="TRI34" s="191"/>
      <c r="TRJ34" s="191"/>
      <c r="TRK34" s="191"/>
      <c r="TRL34" s="191"/>
      <c r="TRM34" s="191"/>
      <c r="TRN34" s="191"/>
      <c r="TRO34" s="191"/>
      <c r="TRP34" s="191"/>
      <c r="TRQ34" s="191"/>
      <c r="TRR34" s="191"/>
      <c r="TRS34" s="191"/>
      <c r="TRT34" s="191"/>
      <c r="TRU34" s="191"/>
      <c r="TRV34" s="191"/>
      <c r="TRW34" s="191"/>
      <c r="TRX34" s="191"/>
      <c r="TRY34" s="191"/>
      <c r="TRZ34" s="191"/>
      <c r="TSA34" s="191"/>
      <c r="TSB34" s="191"/>
      <c r="TSC34" s="191"/>
      <c r="TSD34" s="191"/>
      <c r="TSE34" s="191"/>
      <c r="TSF34" s="191"/>
      <c r="TSG34" s="191"/>
      <c r="TSH34" s="191"/>
      <c r="TSI34" s="191"/>
      <c r="TSJ34" s="191"/>
      <c r="TSK34" s="191"/>
      <c r="TSL34" s="191"/>
      <c r="TSM34" s="191"/>
      <c r="TSN34" s="191"/>
      <c r="TSO34" s="191"/>
      <c r="TSP34" s="191"/>
      <c r="TSQ34" s="191"/>
      <c r="TSR34" s="191"/>
      <c r="TSS34" s="191"/>
      <c r="TST34" s="191"/>
      <c r="TSU34" s="191"/>
      <c r="TSV34" s="191"/>
      <c r="TSW34" s="191"/>
      <c r="TSX34" s="191"/>
      <c r="TSY34" s="191"/>
      <c r="TSZ34" s="191"/>
      <c r="TTA34" s="191"/>
      <c r="TTB34" s="191"/>
      <c r="TTC34" s="191"/>
      <c r="TTD34" s="191"/>
      <c r="TTE34" s="191"/>
      <c r="TTF34" s="191"/>
      <c r="TTG34" s="191"/>
      <c r="TTH34" s="191"/>
      <c r="TTI34" s="191"/>
      <c r="TTJ34" s="191"/>
      <c r="TTK34" s="191"/>
      <c r="TTL34" s="191"/>
      <c r="TTM34" s="191"/>
      <c r="TTN34" s="191"/>
      <c r="TTO34" s="191"/>
      <c r="TTP34" s="191"/>
      <c r="TTQ34" s="191"/>
      <c r="TTR34" s="191"/>
      <c r="TTS34" s="191"/>
      <c r="TTT34" s="191"/>
      <c r="TTU34" s="191"/>
      <c r="TTV34" s="191"/>
      <c r="TTW34" s="191"/>
      <c r="TTX34" s="191"/>
      <c r="TTY34" s="191"/>
      <c r="TTZ34" s="191"/>
      <c r="TUA34" s="191"/>
      <c r="TUB34" s="191"/>
      <c r="TUC34" s="191"/>
      <c r="TUD34" s="191"/>
      <c r="TUE34" s="191"/>
      <c r="TUF34" s="191"/>
      <c r="TUG34" s="191"/>
      <c r="TUH34" s="191"/>
      <c r="TUI34" s="191"/>
      <c r="TUJ34" s="191"/>
      <c r="TUK34" s="191"/>
      <c r="TUL34" s="191"/>
      <c r="TUM34" s="191"/>
      <c r="TUN34" s="191"/>
      <c r="TUO34" s="191"/>
      <c r="TUP34" s="191"/>
      <c r="TUQ34" s="191"/>
      <c r="TUR34" s="191"/>
      <c r="TUS34" s="191"/>
      <c r="TUT34" s="191"/>
      <c r="TUU34" s="191"/>
      <c r="TUV34" s="191"/>
      <c r="TUW34" s="191"/>
      <c r="TUX34" s="191"/>
      <c r="TUY34" s="191"/>
      <c r="TUZ34" s="191"/>
      <c r="TVA34" s="191"/>
      <c r="TVB34" s="191"/>
      <c r="TVC34" s="191"/>
      <c r="TVD34" s="191"/>
      <c r="TVE34" s="191"/>
      <c r="TVF34" s="191"/>
      <c r="TVG34" s="191"/>
      <c r="TVH34" s="191"/>
      <c r="TVI34" s="191"/>
      <c r="TVJ34" s="191"/>
      <c r="TVK34" s="191"/>
      <c r="TVL34" s="191"/>
      <c r="TVM34" s="191"/>
      <c r="TVN34" s="191"/>
      <c r="TVO34" s="191"/>
      <c r="TVP34" s="191"/>
      <c r="TVQ34" s="191"/>
      <c r="TVR34" s="191"/>
      <c r="TVS34" s="191"/>
      <c r="TVT34" s="191"/>
      <c r="TVU34" s="191"/>
      <c r="TVV34" s="191"/>
      <c r="TVW34" s="191"/>
      <c r="TVX34" s="191"/>
      <c r="TVY34" s="191"/>
      <c r="TVZ34" s="191"/>
      <c r="TWA34" s="191"/>
      <c r="TWB34" s="191"/>
      <c r="TWC34" s="191"/>
      <c r="TWD34" s="191"/>
      <c r="TWE34" s="191"/>
      <c r="TWF34" s="191"/>
      <c r="TWG34" s="191"/>
      <c r="TWH34" s="191"/>
      <c r="TWI34" s="191"/>
      <c r="TWJ34" s="191"/>
      <c r="TWK34" s="191"/>
      <c r="TWL34" s="191"/>
      <c r="TWM34" s="191"/>
      <c r="TWN34" s="191"/>
      <c r="TWO34" s="191"/>
      <c r="TWP34" s="191"/>
      <c r="TWQ34" s="191"/>
      <c r="TWR34" s="191"/>
      <c r="TWS34" s="191"/>
      <c r="TWT34" s="191"/>
      <c r="TWU34" s="191"/>
      <c r="TWV34" s="191"/>
      <c r="TWW34" s="191"/>
      <c r="TWX34" s="191"/>
      <c r="TWY34" s="191"/>
      <c r="TWZ34" s="191"/>
      <c r="TXA34" s="191"/>
      <c r="TXB34" s="191"/>
      <c r="TXC34" s="191"/>
      <c r="TXD34" s="191"/>
      <c r="TXE34" s="191"/>
      <c r="TXF34" s="191"/>
      <c r="TXG34" s="191"/>
      <c r="TXH34" s="191"/>
      <c r="TXI34" s="191"/>
      <c r="TXJ34" s="191"/>
      <c r="TXK34" s="191"/>
      <c r="TXL34" s="191"/>
      <c r="TXM34" s="191"/>
      <c r="TXN34" s="191"/>
      <c r="TXO34" s="191"/>
      <c r="TXP34" s="191"/>
      <c r="TXQ34" s="191"/>
      <c r="TXR34" s="191"/>
      <c r="TXS34" s="191"/>
      <c r="TXT34" s="191"/>
      <c r="TXU34" s="191"/>
      <c r="TXV34" s="191"/>
      <c r="TXW34" s="191"/>
      <c r="TXX34" s="191"/>
      <c r="TXY34" s="191"/>
      <c r="TXZ34" s="191"/>
      <c r="TYA34" s="191"/>
      <c r="TYB34" s="191"/>
      <c r="TYC34" s="191"/>
      <c r="TYD34" s="191"/>
      <c r="TYE34" s="191"/>
      <c r="TYF34" s="191"/>
      <c r="TYG34" s="191"/>
      <c r="TYH34" s="191"/>
      <c r="TYI34" s="191"/>
      <c r="TYJ34" s="191"/>
      <c r="TYK34" s="191"/>
      <c r="TYL34" s="191"/>
      <c r="TYM34" s="191"/>
      <c r="TYN34" s="191"/>
      <c r="TYO34" s="191"/>
      <c r="TYP34" s="191"/>
      <c r="TYQ34" s="191"/>
      <c r="TYR34" s="191"/>
      <c r="TYS34" s="191"/>
      <c r="TYT34" s="191"/>
      <c r="TYU34" s="191"/>
      <c r="TYV34" s="191"/>
      <c r="TYW34" s="191"/>
      <c r="TYX34" s="191"/>
      <c r="TYY34" s="191"/>
      <c r="TYZ34" s="191"/>
      <c r="TZA34" s="191"/>
      <c r="TZB34" s="191"/>
      <c r="TZC34" s="191"/>
      <c r="TZD34" s="191"/>
      <c r="TZE34" s="191"/>
      <c r="TZF34" s="191"/>
      <c r="TZG34" s="191"/>
      <c r="TZH34" s="191"/>
      <c r="TZI34" s="191"/>
      <c r="TZJ34" s="191"/>
      <c r="TZK34" s="191"/>
      <c r="TZL34" s="191"/>
      <c r="TZM34" s="191"/>
      <c r="TZN34" s="191"/>
      <c r="TZO34" s="191"/>
      <c r="TZP34" s="191"/>
      <c r="TZQ34" s="191"/>
      <c r="TZR34" s="191"/>
      <c r="TZS34" s="191"/>
      <c r="TZT34" s="191"/>
      <c r="TZU34" s="191"/>
      <c r="TZV34" s="191"/>
      <c r="TZW34" s="191"/>
      <c r="TZX34" s="191"/>
      <c r="TZY34" s="191"/>
      <c r="TZZ34" s="191"/>
      <c r="UAA34" s="191"/>
      <c r="UAB34" s="191"/>
      <c r="UAC34" s="191"/>
      <c r="UAD34" s="191"/>
      <c r="UAE34" s="191"/>
      <c r="UAF34" s="191"/>
      <c r="UAG34" s="191"/>
      <c r="UAH34" s="191"/>
      <c r="UAI34" s="191"/>
      <c r="UAJ34" s="191"/>
      <c r="UAK34" s="191"/>
      <c r="UAL34" s="191"/>
      <c r="UAM34" s="191"/>
      <c r="UAN34" s="191"/>
      <c r="UAO34" s="191"/>
      <c r="UAP34" s="191"/>
      <c r="UAQ34" s="191"/>
      <c r="UAR34" s="191"/>
      <c r="UAS34" s="191"/>
      <c r="UAT34" s="191"/>
      <c r="UAU34" s="191"/>
      <c r="UAV34" s="191"/>
      <c r="UAW34" s="191"/>
      <c r="UAX34" s="191"/>
      <c r="UAY34" s="191"/>
      <c r="UAZ34" s="191"/>
      <c r="UBA34" s="191"/>
      <c r="UBB34" s="191"/>
      <c r="UBC34" s="191"/>
      <c r="UBD34" s="191"/>
      <c r="UBE34" s="191"/>
      <c r="UBF34" s="191"/>
      <c r="UBG34" s="191"/>
      <c r="UBH34" s="191"/>
      <c r="UBI34" s="191"/>
      <c r="UBJ34" s="191"/>
      <c r="UBK34" s="191"/>
      <c r="UBL34" s="191"/>
      <c r="UBM34" s="191"/>
      <c r="UBN34" s="191"/>
      <c r="UBO34" s="191"/>
      <c r="UBP34" s="191"/>
      <c r="UBQ34" s="191"/>
      <c r="UBR34" s="191"/>
      <c r="UBS34" s="191"/>
      <c r="UBT34" s="191"/>
      <c r="UBU34" s="191"/>
      <c r="UBV34" s="191"/>
      <c r="UBW34" s="191"/>
      <c r="UBX34" s="191"/>
      <c r="UBY34" s="191"/>
      <c r="UBZ34" s="191"/>
      <c r="UCA34" s="191"/>
      <c r="UCB34" s="191"/>
      <c r="UCC34" s="191"/>
      <c r="UCD34" s="191"/>
      <c r="UCE34" s="191"/>
      <c r="UCF34" s="191"/>
      <c r="UCG34" s="191"/>
      <c r="UCH34" s="191"/>
      <c r="UCI34" s="191"/>
      <c r="UCJ34" s="191"/>
      <c r="UCK34" s="191"/>
      <c r="UCL34" s="191"/>
      <c r="UCM34" s="191"/>
      <c r="UCN34" s="191"/>
      <c r="UCO34" s="191"/>
      <c r="UCP34" s="191"/>
      <c r="UCQ34" s="191"/>
      <c r="UCR34" s="191"/>
      <c r="UCS34" s="191"/>
      <c r="UCT34" s="191"/>
      <c r="UCU34" s="191"/>
      <c r="UCV34" s="191"/>
      <c r="UCW34" s="191"/>
      <c r="UCX34" s="191"/>
      <c r="UCY34" s="191"/>
      <c r="UCZ34" s="191"/>
      <c r="UDA34" s="191"/>
      <c r="UDB34" s="191"/>
      <c r="UDC34" s="191"/>
      <c r="UDD34" s="191"/>
      <c r="UDE34" s="191"/>
      <c r="UDF34" s="191"/>
      <c r="UDG34" s="191"/>
      <c r="UDH34" s="191"/>
      <c r="UDI34" s="191"/>
      <c r="UDJ34" s="191"/>
      <c r="UDK34" s="191"/>
      <c r="UDL34" s="191"/>
      <c r="UDM34" s="191"/>
      <c r="UDN34" s="191"/>
      <c r="UDO34" s="191"/>
      <c r="UDP34" s="191"/>
      <c r="UDQ34" s="191"/>
      <c r="UDR34" s="191"/>
      <c r="UDS34" s="191"/>
      <c r="UDT34" s="191"/>
      <c r="UDU34" s="191"/>
      <c r="UDV34" s="191"/>
      <c r="UDW34" s="191"/>
      <c r="UDX34" s="191"/>
      <c r="UDY34" s="191"/>
      <c r="UDZ34" s="191"/>
      <c r="UEA34" s="191"/>
      <c r="UEB34" s="191"/>
      <c r="UEC34" s="191"/>
      <c r="UED34" s="191"/>
      <c r="UEE34" s="191"/>
      <c r="UEF34" s="191"/>
      <c r="UEG34" s="191"/>
      <c r="UEH34" s="191"/>
      <c r="UEI34" s="191"/>
      <c r="UEJ34" s="191"/>
      <c r="UEK34" s="191"/>
      <c r="UEL34" s="191"/>
      <c r="UEM34" s="191"/>
      <c r="UEN34" s="191"/>
      <c r="UEO34" s="191"/>
      <c r="UEP34" s="191"/>
      <c r="UEQ34" s="191"/>
      <c r="UER34" s="191"/>
      <c r="UES34" s="191"/>
      <c r="UET34" s="191"/>
      <c r="UEU34" s="191"/>
      <c r="UEV34" s="191"/>
      <c r="UEW34" s="191"/>
      <c r="UEX34" s="191"/>
      <c r="UEY34" s="191"/>
      <c r="UEZ34" s="191"/>
      <c r="UFA34" s="191"/>
      <c r="UFB34" s="191"/>
      <c r="UFC34" s="191"/>
      <c r="UFD34" s="191"/>
      <c r="UFE34" s="191"/>
      <c r="UFF34" s="191"/>
      <c r="UFG34" s="191"/>
      <c r="UFH34" s="191"/>
      <c r="UFI34" s="191"/>
      <c r="UFJ34" s="191"/>
      <c r="UFK34" s="191"/>
      <c r="UFL34" s="191"/>
      <c r="UFM34" s="191"/>
      <c r="UFN34" s="191"/>
      <c r="UFO34" s="191"/>
      <c r="UFP34" s="191"/>
      <c r="UFQ34" s="191"/>
      <c r="UFR34" s="191"/>
      <c r="UFS34" s="191"/>
      <c r="UFT34" s="191"/>
      <c r="UFU34" s="191"/>
      <c r="UFV34" s="191"/>
      <c r="UFW34" s="191"/>
      <c r="UFX34" s="191"/>
      <c r="UFY34" s="191"/>
      <c r="UFZ34" s="191"/>
      <c r="UGA34" s="191"/>
      <c r="UGB34" s="191"/>
      <c r="UGC34" s="191"/>
      <c r="UGD34" s="191"/>
      <c r="UGE34" s="191"/>
      <c r="UGF34" s="191"/>
      <c r="UGG34" s="191"/>
      <c r="UGH34" s="191"/>
      <c r="UGI34" s="191"/>
      <c r="UGJ34" s="191"/>
      <c r="UGK34" s="191"/>
      <c r="UGL34" s="191"/>
      <c r="UGM34" s="191"/>
      <c r="UGN34" s="191"/>
      <c r="UGO34" s="191"/>
      <c r="UGP34" s="191"/>
      <c r="UGQ34" s="191"/>
      <c r="UGR34" s="191"/>
      <c r="UGS34" s="191"/>
      <c r="UGT34" s="191"/>
      <c r="UGU34" s="191"/>
      <c r="UGV34" s="191"/>
      <c r="UGW34" s="191"/>
      <c r="UGX34" s="191"/>
      <c r="UGY34" s="191"/>
      <c r="UGZ34" s="191"/>
      <c r="UHA34" s="191"/>
      <c r="UHB34" s="191"/>
      <c r="UHC34" s="191"/>
      <c r="UHD34" s="191"/>
      <c r="UHE34" s="191"/>
      <c r="UHF34" s="191"/>
      <c r="UHG34" s="191"/>
      <c r="UHH34" s="191"/>
      <c r="UHI34" s="191"/>
      <c r="UHJ34" s="191"/>
      <c r="UHK34" s="191"/>
      <c r="UHL34" s="191"/>
      <c r="UHM34" s="191"/>
      <c r="UHN34" s="191"/>
      <c r="UHO34" s="191"/>
      <c r="UHP34" s="191"/>
      <c r="UHQ34" s="191"/>
      <c r="UHR34" s="191"/>
      <c r="UHS34" s="191"/>
      <c r="UHT34" s="191"/>
      <c r="UHU34" s="191"/>
      <c r="UHV34" s="191"/>
      <c r="UHW34" s="191"/>
      <c r="UHX34" s="191"/>
      <c r="UHY34" s="191"/>
      <c r="UHZ34" s="191"/>
      <c r="UIA34" s="191"/>
      <c r="UIB34" s="191"/>
      <c r="UIC34" s="191"/>
      <c r="UID34" s="191"/>
      <c r="UIE34" s="191"/>
      <c r="UIF34" s="191"/>
      <c r="UIG34" s="191"/>
      <c r="UIH34" s="191"/>
      <c r="UII34" s="191"/>
      <c r="UIJ34" s="191"/>
      <c r="UIK34" s="191"/>
      <c r="UIL34" s="191"/>
      <c r="UIM34" s="191"/>
      <c r="UIN34" s="191"/>
      <c r="UIO34" s="191"/>
      <c r="UIP34" s="191"/>
      <c r="UIQ34" s="191"/>
      <c r="UIR34" s="191"/>
      <c r="UIS34" s="191"/>
      <c r="UIT34" s="191"/>
      <c r="UIU34" s="191"/>
      <c r="UIV34" s="191"/>
      <c r="UIW34" s="191"/>
      <c r="UIX34" s="191"/>
      <c r="UIY34" s="191"/>
      <c r="UIZ34" s="191"/>
      <c r="UJA34" s="191"/>
      <c r="UJB34" s="191"/>
      <c r="UJC34" s="191"/>
      <c r="UJD34" s="191"/>
      <c r="UJE34" s="191"/>
      <c r="UJF34" s="191"/>
      <c r="UJG34" s="191"/>
      <c r="UJH34" s="191"/>
      <c r="UJI34" s="191"/>
      <c r="UJJ34" s="191"/>
      <c r="UJK34" s="191"/>
      <c r="UJL34" s="191"/>
      <c r="UJM34" s="191"/>
      <c r="UJN34" s="191"/>
      <c r="UJO34" s="191"/>
      <c r="UJP34" s="191"/>
      <c r="UJQ34" s="191"/>
      <c r="UJR34" s="191"/>
      <c r="UJS34" s="191"/>
      <c r="UJT34" s="191"/>
      <c r="UJU34" s="191"/>
      <c r="UJV34" s="191"/>
      <c r="UJW34" s="191"/>
      <c r="UJX34" s="191"/>
      <c r="UJY34" s="191"/>
      <c r="UJZ34" s="191"/>
      <c r="UKA34" s="191"/>
      <c r="UKB34" s="191"/>
      <c r="UKC34" s="191"/>
      <c r="UKD34" s="191"/>
      <c r="UKE34" s="191"/>
      <c r="UKF34" s="191"/>
      <c r="UKG34" s="191"/>
      <c r="UKH34" s="191"/>
      <c r="UKI34" s="191"/>
      <c r="UKJ34" s="191"/>
      <c r="UKK34" s="191"/>
      <c r="UKL34" s="191"/>
      <c r="UKM34" s="191"/>
      <c r="UKN34" s="191"/>
      <c r="UKO34" s="191"/>
      <c r="UKP34" s="191"/>
      <c r="UKQ34" s="191"/>
      <c r="UKR34" s="191"/>
      <c r="UKS34" s="191"/>
      <c r="UKT34" s="191"/>
      <c r="UKU34" s="191"/>
      <c r="UKV34" s="191"/>
      <c r="UKW34" s="191"/>
      <c r="UKX34" s="191"/>
      <c r="UKY34" s="191"/>
      <c r="UKZ34" s="191"/>
      <c r="ULA34" s="191"/>
      <c r="ULB34" s="191"/>
      <c r="ULC34" s="191"/>
      <c r="ULD34" s="191"/>
      <c r="ULE34" s="191"/>
      <c r="ULF34" s="191"/>
      <c r="ULG34" s="191"/>
      <c r="ULH34" s="191"/>
      <c r="ULI34" s="191"/>
      <c r="ULJ34" s="191"/>
      <c r="ULK34" s="191"/>
      <c r="ULL34" s="191"/>
      <c r="ULM34" s="191"/>
      <c r="ULN34" s="191"/>
      <c r="ULO34" s="191"/>
      <c r="ULP34" s="191"/>
      <c r="ULQ34" s="191"/>
      <c r="ULR34" s="191"/>
      <c r="ULS34" s="191"/>
      <c r="ULT34" s="191"/>
      <c r="ULU34" s="191"/>
      <c r="ULV34" s="191"/>
      <c r="ULW34" s="191"/>
      <c r="ULX34" s="191"/>
      <c r="ULY34" s="191"/>
      <c r="ULZ34" s="191"/>
      <c r="UMA34" s="191"/>
      <c r="UMB34" s="191"/>
      <c r="UMC34" s="191"/>
      <c r="UMD34" s="191"/>
      <c r="UME34" s="191"/>
      <c r="UMF34" s="191"/>
      <c r="UMG34" s="191"/>
      <c r="UMH34" s="191"/>
      <c r="UMI34" s="191"/>
      <c r="UMJ34" s="191"/>
      <c r="UMK34" s="191"/>
      <c r="UML34" s="191"/>
      <c r="UMM34" s="191"/>
      <c r="UMN34" s="191"/>
      <c r="UMO34" s="191"/>
      <c r="UMP34" s="191"/>
      <c r="UMQ34" s="191"/>
      <c r="UMR34" s="191"/>
      <c r="UMS34" s="191"/>
      <c r="UMT34" s="191"/>
      <c r="UMU34" s="191"/>
      <c r="UMV34" s="191"/>
      <c r="UMW34" s="191"/>
      <c r="UMX34" s="191"/>
      <c r="UMY34" s="191"/>
      <c r="UMZ34" s="191"/>
      <c r="UNA34" s="191"/>
      <c r="UNB34" s="191"/>
      <c r="UNC34" s="191"/>
      <c r="UND34" s="191"/>
      <c r="UNE34" s="191"/>
      <c r="UNF34" s="191"/>
      <c r="UNG34" s="191"/>
      <c r="UNH34" s="191"/>
      <c r="UNI34" s="191"/>
      <c r="UNJ34" s="191"/>
      <c r="UNK34" s="191"/>
      <c r="UNL34" s="191"/>
      <c r="UNM34" s="191"/>
      <c r="UNN34" s="191"/>
      <c r="UNO34" s="191"/>
      <c r="UNP34" s="191"/>
      <c r="UNQ34" s="191"/>
      <c r="UNR34" s="191"/>
      <c r="UNS34" s="191"/>
      <c r="UNT34" s="191"/>
      <c r="UNU34" s="191"/>
      <c r="UNV34" s="191"/>
      <c r="UNW34" s="191"/>
      <c r="UNX34" s="191"/>
      <c r="UNY34" s="191"/>
      <c r="UNZ34" s="191"/>
      <c r="UOA34" s="191"/>
      <c r="UOB34" s="191"/>
      <c r="UOC34" s="191"/>
      <c r="UOD34" s="191"/>
      <c r="UOE34" s="191"/>
      <c r="UOF34" s="191"/>
      <c r="UOG34" s="191"/>
      <c r="UOH34" s="191"/>
      <c r="UOI34" s="191"/>
      <c r="UOJ34" s="191"/>
      <c r="UOK34" s="191"/>
      <c r="UOL34" s="191"/>
      <c r="UOM34" s="191"/>
      <c r="UON34" s="191"/>
      <c r="UOO34" s="191"/>
      <c r="UOP34" s="191"/>
      <c r="UOQ34" s="191"/>
      <c r="UOR34" s="191"/>
      <c r="UOS34" s="191"/>
      <c r="UOT34" s="191"/>
      <c r="UOU34" s="191"/>
      <c r="UOV34" s="191"/>
      <c r="UOW34" s="191"/>
      <c r="UOX34" s="191"/>
      <c r="UOY34" s="191"/>
      <c r="UOZ34" s="191"/>
      <c r="UPA34" s="191"/>
      <c r="UPB34" s="191"/>
      <c r="UPC34" s="191"/>
      <c r="UPD34" s="191"/>
      <c r="UPE34" s="191"/>
      <c r="UPF34" s="191"/>
      <c r="UPG34" s="191"/>
      <c r="UPH34" s="191"/>
      <c r="UPI34" s="191"/>
      <c r="UPJ34" s="191"/>
      <c r="UPK34" s="191"/>
      <c r="UPL34" s="191"/>
      <c r="UPM34" s="191"/>
      <c r="UPN34" s="191"/>
      <c r="UPO34" s="191"/>
      <c r="UPP34" s="191"/>
      <c r="UPQ34" s="191"/>
      <c r="UPR34" s="191"/>
      <c r="UPS34" s="191"/>
      <c r="UPT34" s="191"/>
      <c r="UPU34" s="191"/>
      <c r="UPV34" s="191"/>
      <c r="UPW34" s="191"/>
      <c r="UPX34" s="191"/>
      <c r="UPY34" s="191"/>
      <c r="UPZ34" s="191"/>
      <c r="UQA34" s="191"/>
      <c r="UQB34" s="191"/>
      <c r="UQC34" s="191"/>
      <c r="UQD34" s="191"/>
      <c r="UQE34" s="191"/>
      <c r="UQF34" s="191"/>
      <c r="UQG34" s="191"/>
      <c r="UQH34" s="191"/>
      <c r="UQI34" s="191"/>
      <c r="UQJ34" s="191"/>
      <c r="UQK34" s="191"/>
      <c r="UQL34" s="191"/>
      <c r="UQM34" s="191"/>
      <c r="UQN34" s="191"/>
      <c r="UQO34" s="191"/>
      <c r="UQP34" s="191"/>
      <c r="UQQ34" s="191"/>
      <c r="UQR34" s="191"/>
      <c r="UQS34" s="191"/>
      <c r="UQT34" s="191"/>
      <c r="UQU34" s="191"/>
      <c r="UQV34" s="191"/>
      <c r="UQW34" s="191"/>
      <c r="UQX34" s="191"/>
      <c r="UQY34" s="191"/>
      <c r="UQZ34" s="191"/>
      <c r="URA34" s="191"/>
      <c r="URB34" s="191"/>
      <c r="URC34" s="191"/>
      <c r="URD34" s="191"/>
      <c r="URE34" s="191"/>
      <c r="URF34" s="191"/>
      <c r="URG34" s="191"/>
      <c r="URH34" s="191"/>
      <c r="URI34" s="191"/>
      <c r="URJ34" s="191"/>
      <c r="URK34" s="191"/>
      <c r="URL34" s="191"/>
      <c r="URM34" s="191"/>
      <c r="URN34" s="191"/>
      <c r="URO34" s="191"/>
      <c r="URP34" s="191"/>
      <c r="URQ34" s="191"/>
      <c r="URR34" s="191"/>
      <c r="URS34" s="191"/>
      <c r="URT34" s="191"/>
      <c r="URU34" s="191"/>
      <c r="URV34" s="191"/>
      <c r="URW34" s="191"/>
      <c r="URX34" s="191"/>
      <c r="URY34" s="191"/>
      <c r="URZ34" s="191"/>
      <c r="USA34" s="191"/>
      <c r="USB34" s="191"/>
      <c r="USC34" s="191"/>
      <c r="USD34" s="191"/>
      <c r="USE34" s="191"/>
      <c r="USF34" s="191"/>
      <c r="USG34" s="191"/>
      <c r="USH34" s="191"/>
      <c r="USI34" s="191"/>
      <c r="USJ34" s="191"/>
      <c r="USK34" s="191"/>
      <c r="USL34" s="191"/>
      <c r="USM34" s="191"/>
      <c r="USN34" s="191"/>
      <c r="USO34" s="191"/>
      <c r="USP34" s="191"/>
      <c r="USQ34" s="191"/>
      <c r="USR34" s="191"/>
      <c r="USS34" s="191"/>
      <c r="UST34" s="191"/>
      <c r="USU34" s="191"/>
      <c r="USV34" s="191"/>
      <c r="USW34" s="191"/>
      <c r="USX34" s="191"/>
      <c r="USY34" s="191"/>
      <c r="USZ34" s="191"/>
      <c r="UTA34" s="191"/>
      <c r="UTB34" s="191"/>
      <c r="UTC34" s="191"/>
      <c r="UTD34" s="191"/>
      <c r="UTE34" s="191"/>
      <c r="UTF34" s="191"/>
      <c r="UTG34" s="191"/>
      <c r="UTH34" s="191"/>
      <c r="UTI34" s="191"/>
      <c r="UTJ34" s="191"/>
      <c r="UTK34" s="191"/>
      <c r="UTL34" s="191"/>
      <c r="UTM34" s="191"/>
      <c r="UTN34" s="191"/>
      <c r="UTO34" s="191"/>
      <c r="UTP34" s="191"/>
      <c r="UTQ34" s="191"/>
      <c r="UTR34" s="191"/>
      <c r="UTS34" s="191"/>
      <c r="UTT34" s="191"/>
      <c r="UTU34" s="191"/>
      <c r="UTV34" s="191"/>
      <c r="UTW34" s="191"/>
      <c r="UTX34" s="191"/>
      <c r="UTY34" s="191"/>
      <c r="UTZ34" s="191"/>
      <c r="UUA34" s="191"/>
      <c r="UUB34" s="191"/>
      <c r="UUC34" s="191"/>
      <c r="UUD34" s="191"/>
      <c r="UUE34" s="191"/>
      <c r="UUF34" s="191"/>
      <c r="UUG34" s="191"/>
      <c r="UUH34" s="191"/>
      <c r="UUI34" s="191"/>
      <c r="UUJ34" s="191"/>
      <c r="UUK34" s="191"/>
      <c r="UUL34" s="191"/>
      <c r="UUM34" s="191"/>
      <c r="UUN34" s="191"/>
      <c r="UUO34" s="191"/>
      <c r="UUP34" s="191"/>
      <c r="UUQ34" s="191"/>
      <c r="UUR34" s="191"/>
      <c r="UUS34" s="191"/>
      <c r="UUT34" s="191"/>
      <c r="UUU34" s="191"/>
      <c r="UUV34" s="191"/>
      <c r="UUW34" s="191"/>
      <c r="UUX34" s="191"/>
      <c r="UUY34" s="191"/>
      <c r="UUZ34" s="191"/>
      <c r="UVA34" s="191"/>
      <c r="UVB34" s="191"/>
      <c r="UVC34" s="191"/>
      <c r="UVD34" s="191"/>
      <c r="UVE34" s="191"/>
      <c r="UVF34" s="191"/>
      <c r="UVG34" s="191"/>
      <c r="UVH34" s="191"/>
      <c r="UVI34" s="191"/>
      <c r="UVJ34" s="191"/>
      <c r="UVK34" s="191"/>
      <c r="UVL34" s="191"/>
      <c r="UVM34" s="191"/>
      <c r="UVN34" s="191"/>
      <c r="UVO34" s="191"/>
      <c r="UVP34" s="191"/>
      <c r="UVQ34" s="191"/>
      <c r="UVR34" s="191"/>
      <c r="UVS34" s="191"/>
      <c r="UVT34" s="191"/>
      <c r="UVU34" s="191"/>
      <c r="UVV34" s="191"/>
      <c r="UVW34" s="191"/>
      <c r="UVX34" s="191"/>
      <c r="UVY34" s="191"/>
      <c r="UVZ34" s="191"/>
      <c r="UWA34" s="191"/>
      <c r="UWB34" s="191"/>
      <c r="UWC34" s="191"/>
      <c r="UWD34" s="191"/>
      <c r="UWE34" s="191"/>
      <c r="UWF34" s="191"/>
      <c r="UWG34" s="191"/>
      <c r="UWH34" s="191"/>
      <c r="UWI34" s="191"/>
      <c r="UWJ34" s="191"/>
      <c r="UWK34" s="191"/>
      <c r="UWL34" s="191"/>
      <c r="UWM34" s="191"/>
      <c r="UWN34" s="191"/>
      <c r="UWO34" s="191"/>
      <c r="UWP34" s="191"/>
      <c r="UWQ34" s="191"/>
      <c r="UWR34" s="191"/>
      <c r="UWS34" s="191"/>
      <c r="UWT34" s="191"/>
      <c r="UWU34" s="191"/>
      <c r="UWV34" s="191"/>
      <c r="UWW34" s="191"/>
      <c r="UWX34" s="191"/>
      <c r="UWY34" s="191"/>
      <c r="UWZ34" s="191"/>
      <c r="UXA34" s="191"/>
      <c r="UXB34" s="191"/>
      <c r="UXC34" s="191"/>
      <c r="UXD34" s="191"/>
      <c r="UXE34" s="191"/>
      <c r="UXF34" s="191"/>
      <c r="UXG34" s="191"/>
      <c r="UXH34" s="191"/>
      <c r="UXI34" s="191"/>
      <c r="UXJ34" s="191"/>
      <c r="UXK34" s="191"/>
      <c r="UXL34" s="191"/>
      <c r="UXM34" s="191"/>
      <c r="UXN34" s="191"/>
      <c r="UXO34" s="191"/>
      <c r="UXP34" s="191"/>
      <c r="UXQ34" s="191"/>
      <c r="UXR34" s="191"/>
      <c r="UXS34" s="191"/>
      <c r="UXT34" s="191"/>
      <c r="UXU34" s="191"/>
      <c r="UXV34" s="191"/>
      <c r="UXW34" s="191"/>
      <c r="UXX34" s="191"/>
      <c r="UXY34" s="191"/>
      <c r="UXZ34" s="191"/>
      <c r="UYA34" s="191"/>
      <c r="UYB34" s="191"/>
      <c r="UYC34" s="191"/>
      <c r="UYD34" s="191"/>
      <c r="UYE34" s="191"/>
      <c r="UYF34" s="191"/>
      <c r="UYG34" s="191"/>
      <c r="UYH34" s="191"/>
      <c r="UYI34" s="191"/>
      <c r="UYJ34" s="191"/>
      <c r="UYK34" s="191"/>
      <c r="UYL34" s="191"/>
      <c r="UYM34" s="191"/>
      <c r="UYN34" s="191"/>
      <c r="UYO34" s="191"/>
      <c r="UYP34" s="191"/>
      <c r="UYQ34" s="191"/>
      <c r="UYR34" s="191"/>
      <c r="UYS34" s="191"/>
      <c r="UYT34" s="191"/>
      <c r="UYU34" s="191"/>
      <c r="UYV34" s="191"/>
      <c r="UYW34" s="191"/>
      <c r="UYX34" s="191"/>
      <c r="UYY34" s="191"/>
      <c r="UYZ34" s="191"/>
      <c r="UZA34" s="191"/>
      <c r="UZB34" s="191"/>
      <c r="UZC34" s="191"/>
      <c r="UZD34" s="191"/>
      <c r="UZE34" s="191"/>
      <c r="UZF34" s="191"/>
      <c r="UZG34" s="191"/>
      <c r="UZH34" s="191"/>
      <c r="UZI34" s="191"/>
      <c r="UZJ34" s="191"/>
      <c r="UZK34" s="191"/>
      <c r="UZL34" s="191"/>
      <c r="UZM34" s="191"/>
      <c r="UZN34" s="191"/>
      <c r="UZO34" s="191"/>
      <c r="UZP34" s="191"/>
      <c r="UZQ34" s="191"/>
      <c r="UZR34" s="191"/>
      <c r="UZS34" s="191"/>
      <c r="UZT34" s="191"/>
      <c r="UZU34" s="191"/>
      <c r="UZV34" s="191"/>
      <c r="UZW34" s="191"/>
      <c r="UZX34" s="191"/>
      <c r="UZY34" s="191"/>
      <c r="UZZ34" s="191"/>
      <c r="VAA34" s="191"/>
      <c r="VAB34" s="191"/>
      <c r="VAC34" s="191"/>
      <c r="VAD34" s="191"/>
      <c r="VAE34" s="191"/>
      <c r="VAF34" s="191"/>
      <c r="VAG34" s="191"/>
      <c r="VAH34" s="191"/>
      <c r="VAI34" s="191"/>
      <c r="VAJ34" s="191"/>
      <c r="VAK34" s="191"/>
      <c r="VAL34" s="191"/>
      <c r="VAM34" s="191"/>
      <c r="VAN34" s="191"/>
      <c r="VAO34" s="191"/>
      <c r="VAP34" s="191"/>
      <c r="VAQ34" s="191"/>
      <c r="VAR34" s="191"/>
      <c r="VAS34" s="191"/>
      <c r="VAT34" s="191"/>
      <c r="VAU34" s="191"/>
      <c r="VAV34" s="191"/>
      <c r="VAW34" s="191"/>
      <c r="VAX34" s="191"/>
      <c r="VAY34" s="191"/>
      <c r="VAZ34" s="191"/>
      <c r="VBA34" s="191"/>
      <c r="VBB34" s="191"/>
      <c r="VBC34" s="191"/>
      <c r="VBD34" s="191"/>
      <c r="VBE34" s="191"/>
      <c r="VBF34" s="191"/>
      <c r="VBG34" s="191"/>
      <c r="VBH34" s="191"/>
      <c r="VBI34" s="191"/>
      <c r="VBJ34" s="191"/>
      <c r="VBK34" s="191"/>
      <c r="VBL34" s="191"/>
      <c r="VBM34" s="191"/>
      <c r="VBN34" s="191"/>
      <c r="VBO34" s="191"/>
      <c r="VBP34" s="191"/>
      <c r="VBQ34" s="191"/>
      <c r="VBR34" s="191"/>
      <c r="VBS34" s="191"/>
      <c r="VBT34" s="191"/>
      <c r="VBU34" s="191"/>
      <c r="VBV34" s="191"/>
      <c r="VBW34" s="191"/>
      <c r="VBX34" s="191"/>
      <c r="VBY34" s="191"/>
      <c r="VBZ34" s="191"/>
      <c r="VCA34" s="191"/>
      <c r="VCB34" s="191"/>
      <c r="VCC34" s="191"/>
      <c r="VCD34" s="191"/>
      <c r="VCE34" s="191"/>
      <c r="VCF34" s="191"/>
      <c r="VCG34" s="191"/>
      <c r="VCH34" s="191"/>
      <c r="VCI34" s="191"/>
      <c r="VCJ34" s="191"/>
      <c r="VCK34" s="191"/>
      <c r="VCL34" s="191"/>
      <c r="VCM34" s="191"/>
      <c r="VCN34" s="191"/>
      <c r="VCO34" s="191"/>
      <c r="VCP34" s="191"/>
      <c r="VCQ34" s="191"/>
      <c r="VCR34" s="191"/>
      <c r="VCS34" s="191"/>
      <c r="VCT34" s="191"/>
      <c r="VCU34" s="191"/>
      <c r="VCV34" s="191"/>
      <c r="VCW34" s="191"/>
      <c r="VCX34" s="191"/>
      <c r="VCY34" s="191"/>
      <c r="VCZ34" s="191"/>
      <c r="VDA34" s="191"/>
      <c r="VDB34" s="191"/>
      <c r="VDC34" s="191"/>
      <c r="VDD34" s="191"/>
      <c r="VDE34" s="191"/>
      <c r="VDF34" s="191"/>
      <c r="VDG34" s="191"/>
      <c r="VDH34" s="191"/>
      <c r="VDI34" s="191"/>
      <c r="VDJ34" s="191"/>
      <c r="VDK34" s="191"/>
      <c r="VDL34" s="191"/>
      <c r="VDM34" s="191"/>
      <c r="VDN34" s="191"/>
      <c r="VDO34" s="191"/>
      <c r="VDP34" s="191"/>
      <c r="VDQ34" s="191"/>
      <c r="VDR34" s="191"/>
      <c r="VDS34" s="191"/>
      <c r="VDT34" s="191"/>
      <c r="VDU34" s="191"/>
      <c r="VDV34" s="191"/>
      <c r="VDW34" s="191"/>
      <c r="VDX34" s="191"/>
      <c r="VDY34" s="191"/>
      <c r="VDZ34" s="191"/>
      <c r="VEA34" s="191"/>
      <c r="VEB34" s="191"/>
      <c r="VEC34" s="191"/>
      <c r="VED34" s="191"/>
      <c r="VEE34" s="191"/>
      <c r="VEF34" s="191"/>
      <c r="VEG34" s="191"/>
      <c r="VEH34" s="191"/>
      <c r="VEI34" s="191"/>
      <c r="VEJ34" s="191"/>
      <c r="VEK34" s="191"/>
      <c r="VEL34" s="191"/>
      <c r="VEM34" s="191"/>
      <c r="VEN34" s="191"/>
      <c r="VEO34" s="191"/>
      <c r="VEP34" s="191"/>
      <c r="VEQ34" s="191"/>
      <c r="VER34" s="191"/>
      <c r="VES34" s="191"/>
      <c r="VET34" s="191"/>
      <c r="VEU34" s="191"/>
      <c r="VEV34" s="191"/>
      <c r="VEW34" s="191"/>
      <c r="VEX34" s="191"/>
      <c r="VEY34" s="191"/>
      <c r="VEZ34" s="191"/>
      <c r="VFA34" s="191"/>
      <c r="VFB34" s="191"/>
      <c r="VFC34" s="191"/>
      <c r="VFD34" s="191"/>
      <c r="VFE34" s="191"/>
      <c r="VFF34" s="191"/>
      <c r="VFG34" s="191"/>
      <c r="VFH34" s="191"/>
      <c r="VFI34" s="191"/>
      <c r="VFJ34" s="191"/>
      <c r="VFK34" s="191"/>
      <c r="VFL34" s="191"/>
      <c r="VFM34" s="191"/>
      <c r="VFN34" s="191"/>
      <c r="VFO34" s="191"/>
      <c r="VFP34" s="191"/>
      <c r="VFQ34" s="191"/>
      <c r="VFR34" s="191"/>
      <c r="VFS34" s="191"/>
      <c r="VFT34" s="191"/>
      <c r="VFU34" s="191"/>
      <c r="VFV34" s="191"/>
      <c r="VFW34" s="191"/>
      <c r="VFX34" s="191"/>
      <c r="VFY34" s="191"/>
      <c r="VFZ34" s="191"/>
      <c r="VGA34" s="191"/>
      <c r="VGB34" s="191"/>
      <c r="VGC34" s="191"/>
      <c r="VGD34" s="191"/>
      <c r="VGE34" s="191"/>
      <c r="VGF34" s="191"/>
      <c r="VGG34" s="191"/>
      <c r="VGH34" s="191"/>
      <c r="VGI34" s="191"/>
      <c r="VGJ34" s="191"/>
      <c r="VGK34" s="191"/>
      <c r="VGL34" s="191"/>
      <c r="VGM34" s="191"/>
      <c r="VGN34" s="191"/>
      <c r="VGO34" s="191"/>
      <c r="VGP34" s="191"/>
      <c r="VGQ34" s="191"/>
      <c r="VGR34" s="191"/>
      <c r="VGS34" s="191"/>
      <c r="VGT34" s="191"/>
      <c r="VGU34" s="191"/>
      <c r="VGV34" s="191"/>
      <c r="VGW34" s="191"/>
      <c r="VGX34" s="191"/>
      <c r="VGY34" s="191"/>
      <c r="VGZ34" s="191"/>
      <c r="VHA34" s="191"/>
      <c r="VHB34" s="191"/>
      <c r="VHC34" s="191"/>
      <c r="VHD34" s="191"/>
      <c r="VHE34" s="191"/>
      <c r="VHF34" s="191"/>
      <c r="VHG34" s="191"/>
      <c r="VHH34" s="191"/>
      <c r="VHI34" s="191"/>
      <c r="VHJ34" s="191"/>
      <c r="VHK34" s="191"/>
      <c r="VHL34" s="191"/>
      <c r="VHM34" s="191"/>
      <c r="VHN34" s="191"/>
      <c r="VHO34" s="191"/>
      <c r="VHP34" s="191"/>
      <c r="VHQ34" s="191"/>
      <c r="VHR34" s="191"/>
      <c r="VHS34" s="191"/>
      <c r="VHT34" s="191"/>
      <c r="VHU34" s="191"/>
      <c r="VHV34" s="191"/>
      <c r="VHW34" s="191"/>
      <c r="VHX34" s="191"/>
      <c r="VHY34" s="191"/>
      <c r="VHZ34" s="191"/>
      <c r="VIA34" s="191"/>
      <c r="VIB34" s="191"/>
      <c r="VIC34" s="191"/>
      <c r="VID34" s="191"/>
      <c r="VIE34" s="191"/>
      <c r="VIF34" s="191"/>
      <c r="VIG34" s="191"/>
      <c r="VIH34" s="191"/>
      <c r="VII34" s="191"/>
      <c r="VIJ34" s="191"/>
      <c r="VIK34" s="191"/>
      <c r="VIL34" s="191"/>
      <c r="VIM34" s="191"/>
      <c r="VIN34" s="191"/>
      <c r="VIO34" s="191"/>
      <c r="VIP34" s="191"/>
      <c r="VIQ34" s="191"/>
      <c r="VIR34" s="191"/>
      <c r="VIS34" s="191"/>
      <c r="VIT34" s="191"/>
      <c r="VIU34" s="191"/>
      <c r="VIV34" s="191"/>
      <c r="VIW34" s="191"/>
      <c r="VIX34" s="191"/>
      <c r="VIY34" s="191"/>
      <c r="VIZ34" s="191"/>
      <c r="VJA34" s="191"/>
      <c r="VJB34" s="191"/>
      <c r="VJC34" s="191"/>
      <c r="VJD34" s="191"/>
      <c r="VJE34" s="191"/>
      <c r="VJF34" s="191"/>
      <c r="VJG34" s="191"/>
      <c r="VJH34" s="191"/>
      <c r="VJI34" s="191"/>
      <c r="VJJ34" s="191"/>
      <c r="VJK34" s="191"/>
      <c r="VJL34" s="191"/>
      <c r="VJM34" s="191"/>
      <c r="VJN34" s="191"/>
      <c r="VJO34" s="191"/>
      <c r="VJP34" s="191"/>
      <c r="VJQ34" s="191"/>
      <c r="VJR34" s="191"/>
      <c r="VJS34" s="191"/>
      <c r="VJT34" s="191"/>
      <c r="VJU34" s="191"/>
      <c r="VJV34" s="191"/>
      <c r="VJW34" s="191"/>
      <c r="VJX34" s="191"/>
      <c r="VJY34" s="191"/>
      <c r="VJZ34" s="191"/>
      <c r="VKA34" s="191"/>
      <c r="VKB34" s="191"/>
      <c r="VKC34" s="191"/>
      <c r="VKD34" s="191"/>
      <c r="VKE34" s="191"/>
      <c r="VKF34" s="191"/>
      <c r="VKG34" s="191"/>
      <c r="VKH34" s="191"/>
      <c r="VKI34" s="191"/>
      <c r="VKJ34" s="191"/>
      <c r="VKK34" s="191"/>
      <c r="VKL34" s="191"/>
      <c r="VKM34" s="191"/>
      <c r="VKN34" s="191"/>
      <c r="VKO34" s="191"/>
      <c r="VKP34" s="191"/>
      <c r="VKQ34" s="191"/>
      <c r="VKR34" s="191"/>
      <c r="VKS34" s="191"/>
      <c r="VKT34" s="191"/>
      <c r="VKU34" s="191"/>
      <c r="VKV34" s="191"/>
      <c r="VKW34" s="191"/>
      <c r="VKX34" s="191"/>
      <c r="VKY34" s="191"/>
      <c r="VKZ34" s="191"/>
      <c r="VLA34" s="191"/>
      <c r="VLB34" s="191"/>
      <c r="VLC34" s="191"/>
      <c r="VLD34" s="191"/>
      <c r="VLE34" s="191"/>
      <c r="VLF34" s="191"/>
      <c r="VLG34" s="191"/>
      <c r="VLH34" s="191"/>
      <c r="VLI34" s="191"/>
      <c r="VLJ34" s="191"/>
      <c r="VLK34" s="191"/>
      <c r="VLL34" s="191"/>
      <c r="VLM34" s="191"/>
      <c r="VLN34" s="191"/>
      <c r="VLO34" s="191"/>
      <c r="VLP34" s="191"/>
      <c r="VLQ34" s="191"/>
      <c r="VLR34" s="191"/>
      <c r="VLS34" s="191"/>
      <c r="VLT34" s="191"/>
      <c r="VLU34" s="191"/>
      <c r="VLV34" s="191"/>
      <c r="VLW34" s="191"/>
      <c r="VLX34" s="191"/>
      <c r="VLY34" s="191"/>
      <c r="VLZ34" s="191"/>
      <c r="VMA34" s="191"/>
      <c r="VMB34" s="191"/>
      <c r="VMC34" s="191"/>
      <c r="VMD34" s="191"/>
      <c r="VME34" s="191"/>
      <c r="VMF34" s="191"/>
      <c r="VMG34" s="191"/>
      <c r="VMH34" s="191"/>
      <c r="VMI34" s="191"/>
      <c r="VMJ34" s="191"/>
      <c r="VMK34" s="191"/>
      <c r="VML34" s="191"/>
      <c r="VMM34" s="191"/>
      <c r="VMN34" s="191"/>
      <c r="VMO34" s="191"/>
      <c r="VMP34" s="191"/>
      <c r="VMQ34" s="191"/>
      <c r="VMR34" s="191"/>
      <c r="VMS34" s="191"/>
      <c r="VMT34" s="191"/>
      <c r="VMU34" s="191"/>
      <c r="VMV34" s="191"/>
      <c r="VMW34" s="191"/>
      <c r="VMX34" s="191"/>
      <c r="VMY34" s="191"/>
      <c r="VMZ34" s="191"/>
      <c r="VNA34" s="191"/>
      <c r="VNB34" s="191"/>
      <c r="VNC34" s="191"/>
      <c r="VND34" s="191"/>
      <c r="VNE34" s="191"/>
      <c r="VNF34" s="191"/>
      <c r="VNG34" s="191"/>
      <c r="VNH34" s="191"/>
      <c r="VNI34" s="191"/>
      <c r="VNJ34" s="191"/>
      <c r="VNK34" s="191"/>
      <c r="VNL34" s="191"/>
      <c r="VNM34" s="191"/>
      <c r="VNN34" s="191"/>
      <c r="VNO34" s="191"/>
      <c r="VNP34" s="191"/>
      <c r="VNQ34" s="191"/>
      <c r="VNR34" s="191"/>
      <c r="VNS34" s="191"/>
      <c r="VNT34" s="191"/>
      <c r="VNU34" s="191"/>
      <c r="VNV34" s="191"/>
      <c r="VNW34" s="191"/>
      <c r="VNX34" s="191"/>
      <c r="VNY34" s="191"/>
      <c r="VNZ34" s="191"/>
      <c r="VOA34" s="191"/>
      <c r="VOB34" s="191"/>
      <c r="VOC34" s="191"/>
      <c r="VOD34" s="191"/>
      <c r="VOE34" s="191"/>
      <c r="VOF34" s="191"/>
      <c r="VOG34" s="191"/>
      <c r="VOH34" s="191"/>
      <c r="VOI34" s="191"/>
      <c r="VOJ34" s="191"/>
      <c r="VOK34" s="191"/>
      <c r="VOL34" s="191"/>
      <c r="VOM34" s="191"/>
      <c r="VON34" s="191"/>
      <c r="VOO34" s="191"/>
      <c r="VOP34" s="191"/>
      <c r="VOQ34" s="191"/>
      <c r="VOR34" s="191"/>
      <c r="VOS34" s="191"/>
      <c r="VOT34" s="191"/>
      <c r="VOU34" s="191"/>
      <c r="VOV34" s="191"/>
      <c r="VOW34" s="191"/>
      <c r="VOX34" s="191"/>
      <c r="VOY34" s="191"/>
      <c r="VOZ34" s="191"/>
      <c r="VPA34" s="191"/>
      <c r="VPB34" s="191"/>
      <c r="VPC34" s="191"/>
      <c r="VPD34" s="191"/>
      <c r="VPE34" s="191"/>
      <c r="VPF34" s="191"/>
      <c r="VPG34" s="191"/>
      <c r="VPH34" s="191"/>
      <c r="VPI34" s="191"/>
      <c r="VPJ34" s="191"/>
      <c r="VPK34" s="191"/>
      <c r="VPL34" s="191"/>
      <c r="VPM34" s="191"/>
      <c r="VPN34" s="191"/>
      <c r="VPO34" s="191"/>
      <c r="VPP34" s="191"/>
      <c r="VPQ34" s="191"/>
      <c r="VPR34" s="191"/>
      <c r="VPS34" s="191"/>
      <c r="VPT34" s="191"/>
      <c r="VPU34" s="191"/>
      <c r="VPV34" s="191"/>
      <c r="VPW34" s="191"/>
      <c r="VPX34" s="191"/>
      <c r="VPY34" s="191"/>
      <c r="VPZ34" s="191"/>
      <c r="VQA34" s="191"/>
      <c r="VQB34" s="191"/>
      <c r="VQC34" s="191"/>
      <c r="VQD34" s="191"/>
      <c r="VQE34" s="191"/>
      <c r="VQF34" s="191"/>
      <c r="VQG34" s="191"/>
      <c r="VQH34" s="191"/>
      <c r="VQI34" s="191"/>
      <c r="VQJ34" s="191"/>
      <c r="VQK34" s="191"/>
      <c r="VQL34" s="191"/>
      <c r="VQM34" s="191"/>
      <c r="VQN34" s="191"/>
      <c r="VQO34" s="191"/>
      <c r="VQP34" s="191"/>
      <c r="VQQ34" s="191"/>
      <c r="VQR34" s="191"/>
      <c r="VQS34" s="191"/>
      <c r="VQT34" s="191"/>
      <c r="VQU34" s="191"/>
      <c r="VQV34" s="191"/>
      <c r="VQW34" s="191"/>
      <c r="VQX34" s="191"/>
      <c r="VQY34" s="191"/>
      <c r="VQZ34" s="191"/>
      <c r="VRA34" s="191"/>
      <c r="VRB34" s="191"/>
      <c r="VRC34" s="191"/>
      <c r="VRD34" s="191"/>
      <c r="VRE34" s="191"/>
      <c r="VRF34" s="191"/>
      <c r="VRG34" s="191"/>
      <c r="VRH34" s="191"/>
      <c r="VRI34" s="191"/>
      <c r="VRJ34" s="191"/>
      <c r="VRK34" s="191"/>
      <c r="VRL34" s="191"/>
      <c r="VRM34" s="191"/>
      <c r="VRN34" s="191"/>
      <c r="VRO34" s="191"/>
      <c r="VRP34" s="191"/>
      <c r="VRQ34" s="191"/>
      <c r="VRR34" s="191"/>
      <c r="VRS34" s="191"/>
      <c r="VRT34" s="191"/>
      <c r="VRU34" s="191"/>
      <c r="VRV34" s="191"/>
      <c r="VRW34" s="191"/>
      <c r="VRX34" s="191"/>
      <c r="VRY34" s="191"/>
      <c r="VRZ34" s="191"/>
      <c r="VSA34" s="191"/>
      <c r="VSB34" s="191"/>
      <c r="VSC34" s="191"/>
      <c r="VSD34" s="191"/>
      <c r="VSE34" s="191"/>
      <c r="VSF34" s="191"/>
      <c r="VSG34" s="191"/>
      <c r="VSH34" s="191"/>
      <c r="VSI34" s="191"/>
      <c r="VSJ34" s="191"/>
      <c r="VSK34" s="191"/>
      <c r="VSL34" s="191"/>
      <c r="VSM34" s="191"/>
      <c r="VSN34" s="191"/>
      <c r="VSO34" s="191"/>
      <c r="VSP34" s="191"/>
      <c r="VSQ34" s="191"/>
      <c r="VSR34" s="191"/>
      <c r="VSS34" s="191"/>
      <c r="VST34" s="191"/>
      <c r="VSU34" s="191"/>
      <c r="VSV34" s="191"/>
      <c r="VSW34" s="191"/>
      <c r="VSX34" s="191"/>
      <c r="VSY34" s="191"/>
      <c r="VSZ34" s="191"/>
      <c r="VTA34" s="191"/>
      <c r="VTB34" s="191"/>
      <c r="VTC34" s="191"/>
      <c r="VTD34" s="191"/>
      <c r="VTE34" s="191"/>
      <c r="VTF34" s="191"/>
      <c r="VTG34" s="191"/>
      <c r="VTH34" s="191"/>
      <c r="VTI34" s="191"/>
      <c r="VTJ34" s="191"/>
      <c r="VTK34" s="191"/>
      <c r="VTL34" s="191"/>
      <c r="VTM34" s="191"/>
      <c r="VTN34" s="191"/>
      <c r="VTO34" s="191"/>
      <c r="VTP34" s="191"/>
      <c r="VTQ34" s="191"/>
      <c r="VTR34" s="191"/>
      <c r="VTS34" s="191"/>
      <c r="VTT34" s="191"/>
      <c r="VTU34" s="191"/>
      <c r="VTV34" s="191"/>
      <c r="VTW34" s="191"/>
      <c r="VTX34" s="191"/>
      <c r="VTY34" s="191"/>
      <c r="VTZ34" s="191"/>
      <c r="VUA34" s="191"/>
      <c r="VUB34" s="191"/>
      <c r="VUC34" s="191"/>
      <c r="VUD34" s="191"/>
      <c r="VUE34" s="191"/>
      <c r="VUF34" s="191"/>
      <c r="VUG34" s="191"/>
      <c r="VUH34" s="191"/>
      <c r="VUI34" s="191"/>
      <c r="VUJ34" s="191"/>
      <c r="VUK34" s="191"/>
      <c r="VUL34" s="191"/>
      <c r="VUM34" s="191"/>
      <c r="VUN34" s="191"/>
      <c r="VUO34" s="191"/>
      <c r="VUP34" s="191"/>
      <c r="VUQ34" s="191"/>
      <c r="VUR34" s="191"/>
      <c r="VUS34" s="191"/>
      <c r="VUT34" s="191"/>
      <c r="VUU34" s="191"/>
      <c r="VUV34" s="191"/>
      <c r="VUW34" s="191"/>
      <c r="VUX34" s="191"/>
      <c r="VUY34" s="191"/>
      <c r="VUZ34" s="191"/>
      <c r="VVA34" s="191"/>
      <c r="VVB34" s="191"/>
      <c r="VVC34" s="191"/>
      <c r="VVD34" s="191"/>
      <c r="VVE34" s="191"/>
      <c r="VVF34" s="191"/>
      <c r="VVG34" s="191"/>
      <c r="VVH34" s="191"/>
      <c r="VVI34" s="191"/>
      <c r="VVJ34" s="191"/>
      <c r="VVK34" s="191"/>
      <c r="VVL34" s="191"/>
      <c r="VVM34" s="191"/>
      <c r="VVN34" s="191"/>
      <c r="VVO34" s="191"/>
      <c r="VVP34" s="191"/>
      <c r="VVQ34" s="191"/>
      <c r="VVR34" s="191"/>
      <c r="VVS34" s="191"/>
      <c r="VVT34" s="191"/>
      <c r="VVU34" s="191"/>
      <c r="VVV34" s="191"/>
      <c r="VVW34" s="191"/>
      <c r="VVX34" s="191"/>
      <c r="VVY34" s="191"/>
      <c r="VVZ34" s="191"/>
      <c r="VWA34" s="191"/>
      <c r="VWB34" s="191"/>
      <c r="VWC34" s="191"/>
      <c r="VWD34" s="191"/>
      <c r="VWE34" s="191"/>
      <c r="VWF34" s="191"/>
      <c r="VWG34" s="191"/>
      <c r="VWH34" s="191"/>
      <c r="VWI34" s="191"/>
      <c r="VWJ34" s="191"/>
      <c r="VWK34" s="191"/>
      <c r="VWL34" s="191"/>
      <c r="VWM34" s="191"/>
      <c r="VWN34" s="191"/>
      <c r="VWO34" s="191"/>
      <c r="VWP34" s="191"/>
      <c r="VWQ34" s="191"/>
      <c r="VWR34" s="191"/>
      <c r="VWS34" s="191"/>
      <c r="VWT34" s="191"/>
      <c r="VWU34" s="191"/>
      <c r="VWV34" s="191"/>
      <c r="VWW34" s="191"/>
      <c r="VWX34" s="191"/>
      <c r="VWY34" s="191"/>
      <c r="VWZ34" s="191"/>
      <c r="VXA34" s="191"/>
      <c r="VXB34" s="191"/>
      <c r="VXC34" s="191"/>
      <c r="VXD34" s="191"/>
      <c r="VXE34" s="191"/>
      <c r="VXF34" s="191"/>
      <c r="VXG34" s="191"/>
      <c r="VXH34" s="191"/>
      <c r="VXI34" s="191"/>
      <c r="VXJ34" s="191"/>
      <c r="VXK34" s="191"/>
      <c r="VXL34" s="191"/>
      <c r="VXM34" s="191"/>
      <c r="VXN34" s="191"/>
      <c r="VXO34" s="191"/>
      <c r="VXP34" s="191"/>
      <c r="VXQ34" s="191"/>
      <c r="VXR34" s="191"/>
      <c r="VXS34" s="191"/>
      <c r="VXT34" s="191"/>
      <c r="VXU34" s="191"/>
      <c r="VXV34" s="191"/>
      <c r="VXW34" s="191"/>
      <c r="VXX34" s="191"/>
      <c r="VXY34" s="191"/>
      <c r="VXZ34" s="191"/>
      <c r="VYA34" s="191"/>
      <c r="VYB34" s="191"/>
      <c r="VYC34" s="191"/>
      <c r="VYD34" s="191"/>
      <c r="VYE34" s="191"/>
      <c r="VYF34" s="191"/>
      <c r="VYG34" s="191"/>
      <c r="VYH34" s="191"/>
      <c r="VYI34" s="191"/>
      <c r="VYJ34" s="191"/>
      <c r="VYK34" s="191"/>
      <c r="VYL34" s="191"/>
      <c r="VYM34" s="191"/>
      <c r="VYN34" s="191"/>
      <c r="VYO34" s="191"/>
      <c r="VYP34" s="191"/>
      <c r="VYQ34" s="191"/>
      <c r="VYR34" s="191"/>
      <c r="VYS34" s="191"/>
      <c r="VYT34" s="191"/>
      <c r="VYU34" s="191"/>
      <c r="VYV34" s="191"/>
      <c r="VYW34" s="191"/>
      <c r="VYX34" s="191"/>
      <c r="VYY34" s="191"/>
      <c r="VYZ34" s="191"/>
      <c r="VZA34" s="191"/>
      <c r="VZB34" s="191"/>
      <c r="VZC34" s="191"/>
      <c r="VZD34" s="191"/>
      <c r="VZE34" s="191"/>
      <c r="VZF34" s="191"/>
      <c r="VZG34" s="191"/>
      <c r="VZH34" s="191"/>
      <c r="VZI34" s="191"/>
      <c r="VZJ34" s="191"/>
      <c r="VZK34" s="191"/>
      <c r="VZL34" s="191"/>
      <c r="VZM34" s="191"/>
      <c r="VZN34" s="191"/>
      <c r="VZO34" s="191"/>
      <c r="VZP34" s="191"/>
      <c r="VZQ34" s="191"/>
      <c r="VZR34" s="191"/>
      <c r="VZS34" s="191"/>
      <c r="VZT34" s="191"/>
      <c r="VZU34" s="191"/>
      <c r="VZV34" s="191"/>
      <c r="VZW34" s="191"/>
      <c r="VZX34" s="191"/>
      <c r="VZY34" s="191"/>
      <c r="VZZ34" s="191"/>
      <c r="WAA34" s="191"/>
      <c r="WAB34" s="191"/>
      <c r="WAC34" s="191"/>
      <c r="WAD34" s="191"/>
      <c r="WAE34" s="191"/>
      <c r="WAF34" s="191"/>
      <c r="WAG34" s="191"/>
      <c r="WAH34" s="191"/>
      <c r="WAI34" s="191"/>
      <c r="WAJ34" s="191"/>
      <c r="WAK34" s="191"/>
      <c r="WAL34" s="191"/>
      <c r="WAM34" s="191"/>
      <c r="WAN34" s="191"/>
      <c r="WAO34" s="191"/>
      <c r="WAP34" s="191"/>
      <c r="WAQ34" s="191"/>
      <c r="WAR34" s="191"/>
      <c r="WAS34" s="191"/>
      <c r="WAT34" s="191"/>
      <c r="WAU34" s="191"/>
      <c r="WAV34" s="191"/>
      <c r="WAW34" s="191"/>
      <c r="WAX34" s="191"/>
      <c r="WAY34" s="191"/>
      <c r="WAZ34" s="191"/>
      <c r="WBA34" s="191"/>
      <c r="WBB34" s="191"/>
      <c r="WBC34" s="191"/>
      <c r="WBD34" s="191"/>
      <c r="WBE34" s="191"/>
      <c r="WBF34" s="191"/>
      <c r="WBG34" s="191"/>
      <c r="WBH34" s="191"/>
      <c r="WBI34" s="191"/>
      <c r="WBJ34" s="191"/>
      <c r="WBK34" s="191"/>
      <c r="WBL34" s="191"/>
      <c r="WBM34" s="191"/>
      <c r="WBN34" s="191"/>
      <c r="WBO34" s="191"/>
      <c r="WBP34" s="191"/>
      <c r="WBQ34" s="191"/>
      <c r="WBR34" s="191"/>
      <c r="WBS34" s="191"/>
      <c r="WBT34" s="191"/>
      <c r="WBU34" s="191"/>
      <c r="WBV34" s="191"/>
      <c r="WBW34" s="191"/>
      <c r="WBX34" s="191"/>
      <c r="WBY34" s="191"/>
      <c r="WBZ34" s="191"/>
      <c r="WCA34" s="191"/>
      <c r="WCB34" s="191"/>
      <c r="WCC34" s="191"/>
      <c r="WCD34" s="191"/>
      <c r="WCE34" s="191"/>
      <c r="WCF34" s="191"/>
      <c r="WCG34" s="191"/>
      <c r="WCH34" s="191"/>
      <c r="WCI34" s="191"/>
      <c r="WCJ34" s="191"/>
      <c r="WCK34" s="191"/>
      <c r="WCL34" s="191"/>
      <c r="WCM34" s="191"/>
      <c r="WCN34" s="191"/>
      <c r="WCO34" s="191"/>
      <c r="WCP34" s="191"/>
      <c r="WCQ34" s="191"/>
      <c r="WCR34" s="191"/>
      <c r="WCS34" s="191"/>
      <c r="WCT34" s="191"/>
      <c r="WCU34" s="191"/>
      <c r="WCV34" s="191"/>
      <c r="WCW34" s="191"/>
      <c r="WCX34" s="191"/>
      <c r="WCY34" s="191"/>
      <c r="WCZ34" s="191"/>
      <c r="WDA34" s="191"/>
      <c r="WDB34" s="191"/>
      <c r="WDC34" s="191"/>
      <c r="WDD34" s="191"/>
      <c r="WDE34" s="191"/>
      <c r="WDF34" s="191"/>
      <c r="WDG34" s="191"/>
      <c r="WDH34" s="191"/>
      <c r="WDI34" s="191"/>
      <c r="WDJ34" s="191"/>
      <c r="WDK34" s="191"/>
      <c r="WDL34" s="191"/>
      <c r="WDM34" s="191"/>
      <c r="WDN34" s="191"/>
      <c r="WDO34" s="191"/>
      <c r="WDP34" s="191"/>
      <c r="WDQ34" s="191"/>
      <c r="WDR34" s="191"/>
      <c r="WDS34" s="191"/>
      <c r="WDT34" s="191"/>
      <c r="WDU34" s="191"/>
      <c r="WDV34" s="191"/>
      <c r="WDW34" s="191"/>
      <c r="WDX34" s="191"/>
      <c r="WDY34" s="191"/>
      <c r="WDZ34" s="191"/>
      <c r="WEA34" s="191"/>
      <c r="WEB34" s="191"/>
      <c r="WEC34" s="191"/>
      <c r="WED34" s="191"/>
      <c r="WEE34" s="191"/>
      <c r="WEF34" s="191"/>
      <c r="WEG34" s="191"/>
      <c r="WEH34" s="191"/>
      <c r="WEI34" s="191"/>
      <c r="WEJ34" s="191"/>
      <c r="WEK34" s="191"/>
      <c r="WEL34" s="191"/>
      <c r="WEM34" s="191"/>
      <c r="WEN34" s="191"/>
      <c r="WEO34" s="191"/>
      <c r="WEP34" s="191"/>
      <c r="WEQ34" s="191"/>
      <c r="WER34" s="191"/>
      <c r="WES34" s="191"/>
      <c r="WET34" s="191"/>
      <c r="WEU34" s="191"/>
      <c r="WEV34" s="191"/>
      <c r="WEW34" s="191"/>
      <c r="WEX34" s="191"/>
      <c r="WEY34" s="191"/>
      <c r="WEZ34" s="191"/>
      <c r="WFA34" s="191"/>
      <c r="WFB34" s="191"/>
      <c r="WFC34" s="191"/>
      <c r="WFD34" s="191"/>
      <c r="WFE34" s="191"/>
      <c r="WFF34" s="191"/>
      <c r="WFG34" s="191"/>
      <c r="WFH34" s="191"/>
      <c r="WFI34" s="191"/>
      <c r="WFJ34" s="191"/>
      <c r="WFK34" s="191"/>
      <c r="WFL34" s="191"/>
      <c r="WFM34" s="191"/>
      <c r="WFN34" s="191"/>
      <c r="WFO34" s="191"/>
      <c r="WFP34" s="191"/>
      <c r="WFQ34" s="191"/>
      <c r="WFR34" s="191"/>
      <c r="WFS34" s="191"/>
      <c r="WFT34" s="191"/>
      <c r="WFU34" s="191"/>
      <c r="WFV34" s="191"/>
      <c r="WFW34" s="191"/>
      <c r="WFX34" s="191"/>
      <c r="WFY34" s="191"/>
      <c r="WFZ34" s="191"/>
      <c r="WGA34" s="191"/>
      <c r="WGB34" s="191"/>
      <c r="WGC34" s="191"/>
      <c r="WGD34" s="191"/>
      <c r="WGE34" s="191"/>
      <c r="WGF34" s="191"/>
      <c r="WGG34" s="191"/>
      <c r="WGH34" s="191"/>
      <c r="WGI34" s="191"/>
      <c r="WGJ34" s="191"/>
      <c r="WGK34" s="191"/>
      <c r="WGL34" s="191"/>
      <c r="WGM34" s="191"/>
      <c r="WGN34" s="191"/>
      <c r="WGO34" s="191"/>
      <c r="WGP34" s="191"/>
      <c r="WGQ34" s="191"/>
      <c r="WGR34" s="191"/>
      <c r="WGS34" s="191"/>
      <c r="WGT34" s="191"/>
      <c r="WGU34" s="191"/>
      <c r="WGV34" s="191"/>
      <c r="WGW34" s="191"/>
      <c r="WGX34" s="191"/>
      <c r="WGY34" s="191"/>
      <c r="WGZ34" s="191"/>
      <c r="WHA34" s="191"/>
      <c r="WHB34" s="191"/>
      <c r="WHC34" s="191"/>
      <c r="WHD34" s="191"/>
      <c r="WHE34" s="191"/>
      <c r="WHF34" s="191"/>
      <c r="WHG34" s="191"/>
      <c r="WHH34" s="191"/>
      <c r="WHI34" s="191"/>
      <c r="WHJ34" s="191"/>
      <c r="WHK34" s="191"/>
      <c r="WHL34" s="191"/>
      <c r="WHM34" s="191"/>
      <c r="WHN34" s="191"/>
      <c r="WHO34" s="191"/>
      <c r="WHP34" s="191"/>
      <c r="WHQ34" s="191"/>
      <c r="WHR34" s="191"/>
      <c r="WHS34" s="191"/>
      <c r="WHT34" s="191"/>
      <c r="WHU34" s="191"/>
      <c r="WHV34" s="191"/>
      <c r="WHW34" s="191"/>
      <c r="WHX34" s="191"/>
      <c r="WHY34" s="191"/>
      <c r="WHZ34" s="191"/>
      <c r="WIA34" s="191"/>
      <c r="WIB34" s="191"/>
      <c r="WIC34" s="191"/>
      <c r="WID34" s="191"/>
      <c r="WIE34" s="191"/>
      <c r="WIF34" s="191"/>
      <c r="WIG34" s="191"/>
      <c r="WIH34" s="191"/>
      <c r="WII34" s="191"/>
      <c r="WIJ34" s="191"/>
      <c r="WIK34" s="191"/>
      <c r="WIL34" s="191"/>
      <c r="WIM34" s="191"/>
      <c r="WIN34" s="191"/>
      <c r="WIO34" s="191"/>
      <c r="WIP34" s="191"/>
      <c r="WIQ34" s="191"/>
      <c r="WIR34" s="191"/>
      <c r="WIS34" s="191"/>
      <c r="WIT34" s="191"/>
      <c r="WIU34" s="191"/>
      <c r="WIV34" s="191"/>
      <c r="WIW34" s="191"/>
      <c r="WIX34" s="191"/>
      <c r="WIY34" s="191"/>
      <c r="WIZ34" s="191"/>
      <c r="WJA34" s="191"/>
      <c r="WJB34" s="191"/>
      <c r="WJC34" s="191"/>
      <c r="WJD34" s="191"/>
      <c r="WJE34" s="191"/>
      <c r="WJF34" s="191"/>
      <c r="WJG34" s="191"/>
      <c r="WJH34" s="191"/>
      <c r="WJI34" s="191"/>
      <c r="WJJ34" s="191"/>
      <c r="WJK34" s="191"/>
      <c r="WJL34" s="191"/>
      <c r="WJM34" s="191"/>
      <c r="WJN34" s="191"/>
      <c r="WJO34" s="191"/>
      <c r="WJP34" s="191"/>
      <c r="WJQ34" s="191"/>
      <c r="WJR34" s="191"/>
      <c r="WJS34" s="191"/>
      <c r="WJT34" s="191"/>
      <c r="WJU34" s="191"/>
      <c r="WJV34" s="191"/>
      <c r="WJW34" s="191"/>
      <c r="WJX34" s="191"/>
      <c r="WJY34" s="191"/>
      <c r="WJZ34" s="191"/>
      <c r="WKA34" s="191"/>
      <c r="WKB34" s="191"/>
      <c r="WKC34" s="191"/>
      <c r="WKD34" s="191"/>
      <c r="WKE34" s="191"/>
      <c r="WKF34" s="191"/>
      <c r="WKG34" s="191"/>
      <c r="WKH34" s="191"/>
      <c r="WKI34" s="191"/>
      <c r="WKJ34" s="191"/>
      <c r="WKK34" s="191"/>
      <c r="WKL34" s="191"/>
      <c r="WKM34" s="191"/>
      <c r="WKN34" s="191"/>
      <c r="WKO34" s="191"/>
      <c r="WKP34" s="191"/>
      <c r="WKQ34" s="191"/>
      <c r="WKR34" s="191"/>
      <c r="WKS34" s="191"/>
      <c r="WKT34" s="191"/>
      <c r="WKU34" s="191"/>
      <c r="WKV34" s="191"/>
      <c r="WKW34" s="191"/>
      <c r="WKX34" s="191"/>
      <c r="WKY34" s="191"/>
      <c r="WKZ34" s="191"/>
      <c r="WLA34" s="191"/>
      <c r="WLB34" s="191"/>
      <c r="WLC34" s="191"/>
      <c r="WLD34" s="191"/>
      <c r="WLE34" s="191"/>
      <c r="WLF34" s="191"/>
      <c r="WLG34" s="191"/>
      <c r="WLH34" s="191"/>
      <c r="WLI34" s="191"/>
      <c r="WLJ34" s="191"/>
      <c r="WLK34" s="191"/>
      <c r="WLL34" s="191"/>
      <c r="WLM34" s="191"/>
      <c r="WLN34" s="191"/>
      <c r="WLO34" s="191"/>
      <c r="WLP34" s="191"/>
      <c r="WLQ34" s="191"/>
      <c r="WLR34" s="191"/>
      <c r="WLS34" s="191"/>
      <c r="WLT34" s="191"/>
      <c r="WLU34" s="191"/>
      <c r="WLV34" s="191"/>
      <c r="WLW34" s="191"/>
      <c r="WLX34" s="191"/>
      <c r="WLY34" s="191"/>
      <c r="WLZ34" s="191"/>
      <c r="WMA34" s="191"/>
      <c r="WMB34" s="191"/>
      <c r="WMC34" s="191"/>
      <c r="WMD34" s="191"/>
      <c r="WME34" s="191"/>
      <c r="WMF34" s="191"/>
      <c r="WMG34" s="191"/>
      <c r="WMH34" s="191"/>
      <c r="WMI34" s="191"/>
      <c r="WMJ34" s="191"/>
      <c r="WMK34" s="191"/>
      <c r="WML34" s="191"/>
      <c r="WMM34" s="191"/>
      <c r="WMN34" s="191"/>
      <c r="WMO34" s="191"/>
      <c r="WMP34" s="191"/>
      <c r="WMQ34" s="191"/>
      <c r="WMR34" s="191"/>
      <c r="WMS34" s="191"/>
      <c r="WMT34" s="191"/>
      <c r="WMU34" s="191"/>
      <c r="WMV34" s="191"/>
      <c r="WMW34" s="191"/>
      <c r="WMX34" s="191"/>
      <c r="WMY34" s="191"/>
      <c r="WMZ34" s="191"/>
      <c r="WNA34" s="191"/>
      <c r="WNB34" s="191"/>
      <c r="WNC34" s="191"/>
      <c r="WND34" s="191"/>
      <c r="WNE34" s="191"/>
      <c r="WNF34" s="191"/>
      <c r="WNG34" s="191"/>
      <c r="WNH34" s="191"/>
      <c r="WNI34" s="191"/>
      <c r="WNJ34" s="191"/>
      <c r="WNK34" s="191"/>
      <c r="WNL34" s="191"/>
      <c r="WNM34" s="191"/>
      <c r="WNN34" s="191"/>
      <c r="WNO34" s="191"/>
      <c r="WNP34" s="191"/>
      <c r="WNQ34" s="191"/>
      <c r="WNR34" s="191"/>
      <c r="WNS34" s="191"/>
      <c r="WNT34" s="191"/>
      <c r="WNU34" s="191"/>
      <c r="WNV34" s="191"/>
      <c r="WNW34" s="191"/>
      <c r="WNX34" s="191"/>
      <c r="WNY34" s="191"/>
      <c r="WNZ34" s="191"/>
      <c r="WOA34" s="191"/>
      <c r="WOB34" s="191"/>
      <c r="WOC34" s="191"/>
      <c r="WOD34" s="191"/>
      <c r="WOE34" s="191"/>
      <c r="WOF34" s="191"/>
      <c r="WOG34" s="191"/>
      <c r="WOH34" s="191"/>
      <c r="WOI34" s="191"/>
      <c r="WOJ34" s="191"/>
      <c r="WOK34" s="191"/>
      <c r="WOL34" s="191"/>
      <c r="WOM34" s="191"/>
      <c r="WON34" s="191"/>
      <c r="WOO34" s="191"/>
      <c r="WOP34" s="191"/>
      <c r="WOQ34" s="191"/>
      <c r="WOR34" s="191"/>
      <c r="WOS34" s="191"/>
      <c r="WOT34" s="191"/>
      <c r="WOU34" s="191"/>
      <c r="WOV34" s="191"/>
      <c r="WOW34" s="191"/>
      <c r="WOX34" s="191"/>
      <c r="WOY34" s="191"/>
      <c r="WOZ34" s="191"/>
      <c r="WPA34" s="191"/>
      <c r="WPB34" s="191"/>
      <c r="WPC34" s="191"/>
      <c r="WPD34" s="191"/>
      <c r="WPE34" s="191"/>
      <c r="WPF34" s="191"/>
      <c r="WPG34" s="191"/>
      <c r="WPH34" s="191"/>
      <c r="WPI34" s="191"/>
      <c r="WPJ34" s="191"/>
      <c r="WPK34" s="191"/>
      <c r="WPL34" s="191"/>
      <c r="WPM34" s="191"/>
      <c r="WPN34" s="191"/>
      <c r="WPO34" s="191"/>
      <c r="WPP34" s="191"/>
      <c r="WPQ34" s="191"/>
      <c r="WPR34" s="191"/>
      <c r="WPS34" s="191"/>
      <c r="WPT34" s="191"/>
      <c r="WPU34" s="191"/>
      <c r="WPV34" s="191"/>
      <c r="WPW34" s="191"/>
      <c r="WPX34" s="191"/>
      <c r="WPY34" s="191"/>
      <c r="WPZ34" s="191"/>
      <c r="WQA34" s="191"/>
      <c r="WQB34" s="191"/>
      <c r="WQC34" s="191"/>
      <c r="WQD34" s="191"/>
      <c r="WQE34" s="191"/>
      <c r="WQF34" s="191"/>
      <c r="WQG34" s="191"/>
      <c r="WQH34" s="191"/>
      <c r="WQI34" s="191"/>
      <c r="WQJ34" s="191"/>
      <c r="WQK34" s="191"/>
      <c r="WQL34" s="191"/>
      <c r="WQM34" s="191"/>
      <c r="WQN34" s="191"/>
      <c r="WQO34" s="191"/>
      <c r="WQP34" s="191"/>
      <c r="WQQ34" s="191"/>
      <c r="WQR34" s="191"/>
      <c r="WQS34" s="191"/>
      <c r="WQT34" s="191"/>
      <c r="WQU34" s="191"/>
      <c r="WQV34" s="191"/>
      <c r="WQW34" s="191"/>
      <c r="WQX34" s="191"/>
      <c r="WQY34" s="191"/>
      <c r="WQZ34" s="191"/>
      <c r="WRA34" s="191"/>
      <c r="WRB34" s="191"/>
      <c r="WRC34" s="191"/>
      <c r="WRD34" s="191"/>
      <c r="WRE34" s="191"/>
      <c r="WRF34" s="191"/>
      <c r="WRG34" s="191"/>
      <c r="WRH34" s="191"/>
      <c r="WRI34" s="191"/>
      <c r="WRJ34" s="191"/>
      <c r="WRK34" s="191"/>
      <c r="WRL34" s="191"/>
      <c r="WRM34" s="191"/>
      <c r="WRN34" s="191"/>
      <c r="WRO34" s="191"/>
      <c r="WRP34" s="191"/>
      <c r="WRQ34" s="191"/>
      <c r="WRR34" s="191"/>
      <c r="WRS34" s="191"/>
      <c r="WRT34" s="191"/>
      <c r="WRU34" s="191"/>
      <c r="WRV34" s="191"/>
      <c r="WRW34" s="191"/>
      <c r="WRX34" s="191"/>
      <c r="WRY34" s="191"/>
      <c r="WRZ34" s="191"/>
      <c r="WSA34" s="191"/>
      <c r="WSB34" s="191"/>
      <c r="WSC34" s="191"/>
      <c r="WSD34" s="191"/>
      <c r="WSE34" s="191"/>
      <c r="WSF34" s="191"/>
      <c r="WSG34" s="191"/>
      <c r="WSH34" s="191"/>
      <c r="WSI34" s="191"/>
      <c r="WSJ34" s="191"/>
      <c r="WSK34" s="191"/>
      <c r="WSL34" s="191"/>
      <c r="WSM34" s="191"/>
      <c r="WSN34" s="191"/>
      <c r="WSO34" s="191"/>
      <c r="WSP34" s="191"/>
      <c r="WSQ34" s="191"/>
      <c r="WSR34" s="191"/>
      <c r="WSS34" s="191"/>
      <c r="WST34" s="191"/>
      <c r="WSU34" s="191"/>
      <c r="WSV34" s="191"/>
      <c r="WSW34" s="191"/>
      <c r="WSX34" s="191"/>
      <c r="WSY34" s="191"/>
      <c r="WSZ34" s="191"/>
      <c r="WTA34" s="191"/>
      <c r="WTB34" s="191"/>
      <c r="WTC34" s="191"/>
      <c r="WTD34" s="191"/>
      <c r="WTE34" s="191"/>
      <c r="WTF34" s="191"/>
      <c r="WTG34" s="191"/>
      <c r="WTH34" s="191"/>
      <c r="WTI34" s="191"/>
      <c r="WTJ34" s="191"/>
      <c r="WTK34" s="191"/>
      <c r="WTL34" s="191"/>
      <c r="WTM34" s="191"/>
      <c r="WTN34" s="191"/>
      <c r="WTO34" s="191"/>
      <c r="WTP34" s="191"/>
      <c r="WTQ34" s="191"/>
      <c r="WTR34" s="191"/>
      <c r="WTS34" s="191"/>
      <c r="WTT34" s="191"/>
      <c r="WTU34" s="191"/>
      <c r="WTV34" s="191"/>
      <c r="WTW34" s="191"/>
      <c r="WTX34" s="191"/>
      <c r="WTY34" s="191"/>
      <c r="WTZ34" s="191"/>
      <c r="WUA34" s="191"/>
      <c r="WUB34" s="191"/>
      <c r="WUC34" s="191"/>
      <c r="WUD34" s="191"/>
      <c r="WUE34" s="191"/>
      <c r="WUF34" s="191"/>
      <c r="WUG34" s="191"/>
      <c r="WUH34" s="191"/>
      <c r="WUI34" s="191"/>
      <c r="WUJ34" s="191"/>
      <c r="WUK34" s="191"/>
      <c r="WUL34" s="191"/>
      <c r="WUM34" s="191"/>
      <c r="WUN34" s="191"/>
      <c r="WUO34" s="191"/>
      <c r="WUP34" s="191"/>
      <c r="WUQ34" s="191"/>
      <c r="WUR34" s="191"/>
      <c r="WUS34" s="191"/>
      <c r="WUT34" s="191"/>
      <c r="WUU34" s="191"/>
      <c r="WUV34" s="191"/>
      <c r="WUW34" s="191"/>
      <c r="WUX34" s="191"/>
      <c r="WUY34" s="191"/>
      <c r="WUZ34" s="191"/>
      <c r="WVA34" s="191"/>
      <c r="WVB34" s="191"/>
      <c r="WVC34" s="191"/>
      <c r="WVD34" s="191"/>
      <c r="WVE34" s="191"/>
      <c r="WVF34" s="191"/>
      <c r="WVG34" s="191"/>
      <c r="WVH34" s="191"/>
      <c r="WVI34" s="191"/>
      <c r="WVJ34" s="191"/>
      <c r="WVK34" s="191"/>
      <c r="WVL34" s="191"/>
      <c r="WVM34" s="191"/>
      <c r="WVN34" s="191"/>
      <c r="WVO34" s="191"/>
      <c r="WVP34" s="191"/>
      <c r="WVQ34" s="191"/>
      <c r="WVR34" s="191"/>
      <c r="WVS34" s="191"/>
      <c r="WVT34" s="191"/>
      <c r="WVU34" s="191"/>
      <c r="WVV34" s="191"/>
      <c r="WVW34" s="191"/>
      <c r="WVX34" s="191"/>
      <c r="WVY34" s="191"/>
      <c r="WVZ34" s="191"/>
      <c r="WWA34" s="191"/>
      <c r="WWB34" s="191"/>
      <c r="WWC34" s="191"/>
      <c r="WWD34" s="191"/>
      <c r="WWE34" s="191"/>
      <c r="WWF34" s="191"/>
      <c r="WWG34" s="191"/>
      <c r="WWH34" s="191"/>
      <c r="WWI34" s="191"/>
      <c r="WWJ34" s="191"/>
      <c r="WWK34" s="191"/>
      <c r="WWL34" s="191"/>
      <c r="WWM34" s="191"/>
      <c r="WWN34" s="191"/>
      <c r="WWO34" s="191"/>
      <c r="WWP34" s="191"/>
      <c r="WWQ34" s="191"/>
      <c r="WWR34" s="191"/>
      <c r="WWS34" s="191"/>
      <c r="WWT34" s="191"/>
      <c r="WWU34" s="191"/>
      <c r="WWV34" s="191"/>
      <c r="WWW34" s="191"/>
      <c r="WWX34" s="191"/>
      <c r="WWY34" s="191"/>
      <c r="WWZ34" s="191"/>
      <c r="WXA34" s="191"/>
      <c r="WXB34" s="191"/>
      <c r="WXC34" s="191"/>
      <c r="WXD34" s="191"/>
      <c r="WXE34" s="191"/>
      <c r="WXF34" s="191"/>
      <c r="WXG34" s="191"/>
      <c r="WXH34" s="191"/>
      <c r="WXI34" s="191"/>
      <c r="WXJ34" s="191"/>
      <c r="WXK34" s="191"/>
      <c r="WXL34" s="191"/>
      <c r="WXM34" s="191"/>
      <c r="WXN34" s="191"/>
      <c r="WXO34" s="191"/>
      <c r="WXP34" s="191"/>
      <c r="WXQ34" s="191"/>
      <c r="WXR34" s="191"/>
      <c r="WXS34" s="191"/>
      <c r="WXT34" s="191"/>
      <c r="WXU34" s="191"/>
      <c r="WXV34" s="191"/>
      <c r="WXW34" s="191"/>
      <c r="WXX34" s="191"/>
      <c r="WXY34" s="191"/>
      <c r="WXZ34" s="191"/>
      <c r="WYA34" s="191"/>
      <c r="WYB34" s="191"/>
      <c r="WYC34" s="191"/>
      <c r="WYD34" s="191"/>
      <c r="WYE34" s="191"/>
      <c r="WYF34" s="191"/>
      <c r="WYG34" s="191"/>
      <c r="WYH34" s="191"/>
      <c r="WYI34" s="191"/>
      <c r="WYJ34" s="191"/>
      <c r="WYK34" s="191"/>
      <c r="WYL34" s="191"/>
      <c r="WYM34" s="191"/>
      <c r="WYN34" s="191"/>
      <c r="WYO34" s="191"/>
      <c r="WYP34" s="191"/>
      <c r="WYQ34" s="191"/>
      <c r="WYR34" s="191"/>
      <c r="WYS34" s="191"/>
      <c r="WYT34" s="191"/>
      <c r="WYU34" s="191"/>
      <c r="WYV34" s="191"/>
      <c r="WYW34" s="191"/>
      <c r="WYX34" s="191"/>
      <c r="WYY34" s="191"/>
      <c r="WYZ34" s="191"/>
      <c r="WZA34" s="191"/>
      <c r="WZB34" s="191"/>
      <c r="WZC34" s="191"/>
      <c r="WZD34" s="191"/>
      <c r="WZE34" s="191"/>
      <c r="WZF34" s="191"/>
      <c r="WZG34" s="191"/>
      <c r="WZH34" s="191"/>
      <c r="WZI34" s="191"/>
      <c r="WZJ34" s="191"/>
      <c r="WZK34" s="191"/>
      <c r="WZL34" s="191"/>
      <c r="WZM34" s="191"/>
      <c r="WZN34" s="191"/>
      <c r="WZO34" s="191"/>
      <c r="WZP34" s="191"/>
      <c r="WZQ34" s="191"/>
      <c r="WZR34" s="191"/>
      <c r="WZS34" s="191"/>
      <c r="WZT34" s="191"/>
      <c r="WZU34" s="191"/>
      <c r="WZV34" s="191"/>
      <c r="WZW34" s="191"/>
      <c r="WZX34" s="191"/>
      <c r="WZY34" s="191"/>
      <c r="WZZ34" s="191"/>
      <c r="XAA34" s="191"/>
      <c r="XAB34" s="191"/>
      <c r="XAC34" s="191"/>
      <c r="XAD34" s="191"/>
      <c r="XAE34" s="191"/>
      <c r="XAF34" s="191"/>
      <c r="XAG34" s="191"/>
      <c r="XAH34" s="191"/>
      <c r="XAI34" s="191"/>
      <c r="XAJ34" s="191"/>
      <c r="XAK34" s="191"/>
      <c r="XAL34" s="191"/>
      <c r="XAM34" s="191"/>
      <c r="XAN34" s="191"/>
      <c r="XAO34" s="191"/>
      <c r="XAP34" s="191"/>
      <c r="XAQ34" s="191"/>
      <c r="XAR34" s="191"/>
      <c r="XAS34" s="191"/>
      <c r="XAT34" s="191"/>
      <c r="XAU34" s="191"/>
      <c r="XAV34" s="191"/>
      <c r="XAW34" s="191"/>
      <c r="XAX34" s="191"/>
      <c r="XAY34" s="191"/>
      <c r="XAZ34" s="191"/>
      <c r="XBA34" s="191"/>
      <c r="XBB34" s="191"/>
      <c r="XBC34" s="191"/>
      <c r="XBD34" s="191"/>
      <c r="XBE34" s="191"/>
      <c r="XBF34" s="191"/>
      <c r="XBG34" s="191"/>
      <c r="XBH34" s="191"/>
      <c r="XBI34" s="191"/>
      <c r="XBJ34" s="191"/>
      <c r="XBK34" s="191"/>
      <c r="XBL34" s="191"/>
      <c r="XBM34" s="191"/>
      <c r="XBN34" s="191"/>
      <c r="XBO34" s="191"/>
      <c r="XBP34" s="191"/>
      <c r="XBQ34" s="191"/>
      <c r="XBR34" s="191"/>
      <c r="XBS34" s="191"/>
      <c r="XBT34" s="191"/>
      <c r="XBU34" s="191"/>
      <c r="XBV34" s="191"/>
      <c r="XBW34" s="191"/>
      <c r="XBX34" s="191"/>
      <c r="XBY34" s="191"/>
      <c r="XBZ34" s="191"/>
      <c r="XCA34" s="191"/>
      <c r="XCB34" s="191"/>
      <c r="XCC34" s="191"/>
      <c r="XCD34" s="191"/>
      <c r="XCE34" s="191"/>
      <c r="XCF34" s="191"/>
      <c r="XCG34" s="191"/>
      <c r="XCH34" s="191"/>
      <c r="XCI34" s="191"/>
      <c r="XCJ34" s="191"/>
      <c r="XCK34" s="191"/>
      <c r="XCL34" s="191"/>
      <c r="XCM34" s="191"/>
      <c r="XCN34" s="191"/>
      <c r="XCO34" s="191"/>
      <c r="XCP34" s="191"/>
      <c r="XCQ34" s="191"/>
      <c r="XCR34" s="191"/>
      <c r="XCS34" s="191"/>
      <c r="XCT34" s="191"/>
      <c r="XCU34" s="191"/>
      <c r="XCV34" s="191"/>
      <c r="XCW34" s="191"/>
      <c r="XCX34" s="191"/>
      <c r="XCY34" s="191"/>
      <c r="XCZ34" s="191"/>
      <c r="XDA34" s="191"/>
      <c r="XDB34" s="191"/>
      <c r="XDC34" s="191"/>
      <c r="XDD34" s="191"/>
      <c r="XDE34" s="191"/>
      <c r="XDF34" s="191"/>
      <c r="XDG34" s="191"/>
      <c r="XDH34" s="191"/>
      <c r="XDI34" s="191"/>
      <c r="XDJ34" s="191"/>
      <c r="XDK34" s="191"/>
      <c r="XDL34" s="191"/>
      <c r="XDM34" s="191"/>
      <c r="XDN34" s="191"/>
      <c r="XDO34" s="191"/>
      <c r="XDP34" s="191"/>
      <c r="XDQ34" s="191"/>
      <c r="XDR34" s="191"/>
      <c r="XDS34" s="191"/>
      <c r="XDT34" s="191"/>
      <c r="XDU34" s="191"/>
      <c r="XDV34" s="191"/>
      <c r="XDW34" s="191"/>
      <c r="XDX34" s="191"/>
      <c r="XDY34" s="191"/>
      <c r="XDZ34" s="191"/>
      <c r="XEA34" s="191"/>
      <c r="XEB34" s="191"/>
      <c r="XEC34" s="191"/>
      <c r="XED34" s="191"/>
      <c r="XEE34" s="191"/>
      <c r="XEF34" s="191"/>
      <c r="XEG34" s="191"/>
      <c r="XEH34" s="191"/>
      <c r="XEI34" s="191"/>
      <c r="XEJ34" s="191"/>
      <c r="XEK34" s="191"/>
      <c r="XEL34" s="191"/>
      <c r="XEM34" s="191"/>
      <c r="XEN34" s="191"/>
      <c r="XEO34" s="191"/>
      <c r="XEP34" s="191"/>
      <c r="XEQ34" s="191"/>
      <c r="XER34" s="191"/>
      <c r="XES34" s="191"/>
      <c r="XET34" s="191"/>
      <c r="XEU34" s="191"/>
      <c r="XEV34" s="191"/>
      <c r="XEW34" s="191"/>
      <c r="XEX34" s="191"/>
      <c r="XEY34" s="227"/>
      <c r="XEZ34" s="241"/>
      <c r="XFA34" s="228"/>
      <c r="XFB34" s="235"/>
      <c r="XFC34" s="244"/>
    </row>
    <row r="35" spans="1:16383" s="334" customFormat="1" ht="13.5">
      <c r="A35" s="339">
        <v>2</v>
      </c>
      <c r="B35" s="326" t="s">
        <v>121</v>
      </c>
      <c r="C35" s="327"/>
      <c r="D35" s="328" t="str">
        <f>FDate(MIN(E36:E56))</f>
        <v>1398/06/31</v>
      </c>
      <c r="E35" s="160">
        <f t="shared" si="4"/>
        <v>13980631</v>
      </c>
      <c r="F35" s="356" t="str">
        <f>J_SUBDAY(J_ADDDAY(D35,L35,1),1,1)</f>
        <v>1398/10/01</v>
      </c>
      <c r="G35" s="163">
        <f t="shared" si="5"/>
        <v>13981001</v>
      </c>
      <c r="H35" s="340"/>
      <c r="I35" s="341"/>
      <c r="J35" s="328">
        <f>j_WEEKDAY(D35,2)</f>
        <v>1</v>
      </c>
      <c r="K35" s="164">
        <f>SUM(K36:K56)</f>
        <v>0</v>
      </c>
      <c r="L35" s="331">
        <f>J_DIFF(D35,FDate(MAX(G36:G56)))+1</f>
        <v>92</v>
      </c>
      <c r="M35" s="332">
        <f>IF(SUM(L36:L56)&lt;&gt;0,SUMPRODUCT(L36:L56,M36:M56)/SUM(L36:L56),0)</f>
        <v>0.12676056338028169</v>
      </c>
      <c r="N35" s="333">
        <f>IF(F35&gt;=D35,NETWORKDAYS.INTL(J_GregorianDate(D35,1),J_GregorianDate(F35,1),16,1)-SUMIFS(Holieday[ok],Holieday[date],CONCATENATE("&gt;","=",D35),Holieday[date],CONCATENATE("&lt;","=",F35))+SUMIFS(Holieday[Friday],Holieday[date],CONCATENATE("&gt;","=",D35),Holieday[date],CONCATENATE("&lt;","=",F35)),0)</f>
        <v>75</v>
      </c>
      <c r="O35" s="159">
        <f>ROUNDDOWN(M35*L35,0)</f>
        <v>11</v>
      </c>
      <c r="P35" s="159">
        <f>VALUE(J_normdate(J_ADDDAY($D35,$O35,1)))</f>
        <v>13980711</v>
      </c>
      <c r="Q35" s="162">
        <f>L35-O35</f>
        <v>81</v>
      </c>
      <c r="IY35" s="335"/>
      <c r="IZ35" s="336"/>
      <c r="JA35" s="337"/>
      <c r="JB35" s="337"/>
      <c r="JC35" s="337"/>
      <c r="JD35" s="338"/>
    </row>
    <row r="36" spans="1:16383" s="191" customFormat="1" ht="13.5">
      <c r="A36" s="252">
        <v>2.1</v>
      </c>
      <c r="B36" s="241" t="s">
        <v>81</v>
      </c>
      <c r="C36" s="228" t="s">
        <v>111</v>
      </c>
      <c r="D36" s="354" t="str">
        <f>IF(OR(j_WEEKDAY(J_ADDDAY(VLOOKUP(I36,A:F,6,FALSE),H36,1),0)=6,SUMIFS(Holieday[ok],Holieday[date],J_ADDDAY(VLOOKUP(I36,A:F,6,FALSE),H36,1)))=FALSE(),J_ADDDAY(VLOOKUP(I36,A:F,6,FALSE),H36,1),IF(OR(j_WEEKDAY(J_ADDDAY(VLOOKUP(I36,A:F,6,FALSE),H36+1,1),0)=6,SUMIFS(Holieday[ok],Holieday[date],J_ADDDAY(VLOOKUP(I36,A:F,6,FALSE),H36+1,1)))=FALSE(),J_ADDDAY(VLOOKUP(I36,A:F,6,FALSE),H36+1,1),IF(OR(j_WEEKDAY(J_ADDDAY(VLOOKUP(I36,A:F,6,FALSE),H36+2,1),0)=6,SUMIFS(Holieday[ok],Holieday[date],J_ADDDAY(VLOOKUP(I36,A:F,6,FALSE),H36+2,1)))=FALSE(),J_ADDDAY(VLOOKUP(I36,A:F,6,FALSE),H36+2,1),IF(OR(j_WEEKDAY(J_ADDDAY(VLOOKUP(I36,A:F,6,FALSE),H36+3,1),0)=6,SUMIFS(Holieday[ok],Holieday[date],J_ADDDAY(VLOOKUP(I36,A:F,6,FALSE),H36+3,1)))=FALSE(),J_ADDDAY(VLOOKUP(I36,A:F,6,FALSE),H36+3,1),IF(OR(j_WEEKDAY(J_ADDDAY(VLOOKUP(I36,A:F,6,FALSE),H36+4,1),0)=6,SUMIFS(Holieday[ok],Holieday[date],J_ADDDAY(VLOOKUP(I36,A:F,6,FALSE),H36+4,1)))=FALSE(),J_ADDDAY(VLOOKUP(I36,A:F,6,FALSE),H36+4,1),J_ADDDAY(VLOOKUP(I36,A:F,6,FALSE),H36+5,1))))))</f>
        <v>1398/06/31</v>
      </c>
      <c r="E36" s="160">
        <f t="shared" si="4"/>
        <v>13980631</v>
      </c>
      <c r="F36" s="354" t="str">
        <f>IF(N36=0,J_SUBDAY(D36,1,1),IF((N36-(NETWORKDAYS.INTL(J_GregorianDate(D36,1),J_GregorianDate(J_SUBDAY(J_ADDDAY(D36,N36,1),1,1),1),16,1)))+SUMIFS(Holieday[ok],Holieday[date],CONCATENATE("&gt;","=",D36),Holieday[date],CONCATENATE("&lt;","=",J_SUBDAY(J_ADDDAY(D36,N36,1),1,1)))-SUMIFS(Holieday[Friday],Holieday[date],CONCATENATE("&gt;","=",D36),Holieday[date],CONCATENATE("&lt;","=",J_SUBDAY(J_ADDDAY(D36,N36,1),1,1)))=0,J_SUBDAY(J_ADDDAY(D36,N36,1),1,1),IF((N36+1-(NETWORKDAYS.INTL(J_GregorianDate(D36,1),J_GregorianDate(J_SUBDAY(J_ADDDAY(D36,N36+1,1),1,1),1),16,1)))+SUMIFS(Holieday[ok],Holieday[date],CONCATENATE("&gt;","=",D36),Holieday[date],CONCATENATE("&lt;","=",J_SUBDAY(J_ADDDAY(D36,N36+1,1),1,1)))-SUMIFS(Holieday[Friday],Holieday[date],CONCATENATE("&gt;","=",D36),Holieday[date],CONCATENATE("&lt;","=",J_SUBDAY(J_ADDDAY(D36,N36+1,1),1,1)))=1,J_SUBDAY(J_ADDDAY(D36,N36+1,1),1,1),IF((N36+2-(NETWORKDAYS.INTL(J_GregorianDate(D36,1),J_GregorianDate(J_SUBDAY(J_ADDDAY(D36,N36+2,1),1,1),1),16,1)))+SUMIFS(Holieday[ok],Holieday[date],CONCATENATE("&gt;","=",D36),Holieday[date],CONCATENATE("&lt;","=",J_SUBDAY(J_ADDDAY(D36,N36+2,1),1,1)))-SUMIFS(Holieday[Friday],Holieday[date],CONCATENATE("&gt;","=",D36),Holieday[date],CONCATENATE("&lt;","=",J_SUBDAY(J_ADDDAY(D36,N36+2,1),1,1)))=2,J_SUBDAY(J_ADDDAY(D36,N36+2,1),1,1),IF((N36+3-(NETWORKDAYS.INTL(J_GregorianDate(D36,1),J_GregorianDate(J_SUBDAY(J_ADDDAY(D36,N36+3,1),1,1),1),16,1)))+SUMIFS(Holieday[ok],Holieday[date],CONCATENATE("&gt;","=",D36),Holieday[date],CONCATENATE("&lt;","=",J_SUBDAY(J_ADDDAY(D36,N36+3,1),1,1)))-SUMIFS(Holieday[Friday],Holieday[date],CONCATENATE("&gt;","=",D36),Holieday[date],CONCATENATE("&lt;","=",J_SUBDAY(J_ADDDAY(D36,N36+3,1),1,1)))=3,J_SUBDAY(J_ADDDAY(D36,N36+3,1),1,1),IF((N36+4-(NETWORKDAYS.INTL(J_GregorianDate(D36,1),J_GregorianDate(J_SUBDAY(J_ADDDAY(D36,N36+4,1),1,1),1),16,1)))+SUMIFS(Holieday[ok],Holieday[date],CONCATENATE("&gt;","=",D36),Holieday[date],CONCATENATE("&lt;","=",J_SUBDAY(J_ADDDAY(D36,N36+4,1),1,1)))-SUMIFS(Holieday[Friday],Holieday[date],CONCATENATE("&gt;","=",D36),Holieday[date],CONCATENATE("&lt;","=",J_SUBDAY(J_ADDDAY(D36,N36+4,1),1,1)))=4,J_SUBDAY(J_ADDDAY(D36,N36+4,1),1,1),IF((N36+5-(NETWORKDAYS.INTL(J_GregorianDate(D36,1),J_GregorianDate(J_SUBDAY(J_ADDDAY(D36,N36+5,1),1,1),1),16,1)))+SUMIFS(Holieday[ok],Holieday[date],CONCATENATE("&gt;","=",D36),Holieday[date],CONCATENATE("&lt;","=",J_SUBDAY(J_ADDDAY(D36,N36+5,1),1,1)))-SUMIFS(Holieday[Friday],Holieday[date],CONCATENATE("&gt;","=",D36),Holieday[date],CONCATENATE("&lt;","=",J_SUBDAY(J_ADDDAY(D36,N36+5,1),1,1)))=5,J_SUBDAY(J_ADDDAY(D36,N36+5,1),1,1),J_SUBDAY(J_ADDDAY(D36,N36+6,1),1,1))))))))</f>
        <v>1398/06/31</v>
      </c>
      <c r="G36" s="163">
        <f t="shared" si="5"/>
        <v>13980631</v>
      </c>
      <c r="H36" s="230"/>
      <c r="I36" s="231">
        <v>1.1000000000000001</v>
      </c>
      <c r="J36" s="229">
        <f>j_WEEKDAY(D36,2)</f>
        <v>1</v>
      </c>
      <c r="K36" s="173">
        <f t="shared" ref="K36:K56" si="11">SUM(JA36:JC36)</f>
        <v>0</v>
      </c>
      <c r="L36" s="232">
        <f t="shared" ref="L36:L56" si="12">J_DIFF(D36,F36)+1</f>
        <v>1</v>
      </c>
      <c r="M36" s="233">
        <v>1</v>
      </c>
      <c r="N36" s="234">
        <v>1</v>
      </c>
      <c r="O36" s="175">
        <f>ROUNDDOWN(M36*L36,0)</f>
        <v>1</v>
      </c>
      <c r="P36" s="175">
        <f>VALUE(J_normdate(J_ADDDAY($D36,$O36,1)))</f>
        <v>13980701</v>
      </c>
      <c r="Q36" s="171">
        <f>L36-O36</f>
        <v>0</v>
      </c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9"/>
      <c r="AN36" s="169"/>
      <c r="AO36" s="169"/>
      <c r="AP36" s="169"/>
      <c r="AQ36" s="169"/>
      <c r="AR36" s="169"/>
      <c r="AS36" s="169"/>
      <c r="AT36" s="169"/>
      <c r="AU36" s="169"/>
      <c r="AV36" s="169"/>
      <c r="AW36" s="169"/>
      <c r="AX36" s="169"/>
      <c r="AY36" s="169"/>
      <c r="AZ36" s="169"/>
      <c r="BA36" s="169"/>
      <c r="BB36" s="169"/>
      <c r="BC36" s="169"/>
      <c r="BD36" s="169"/>
      <c r="BE36" s="169"/>
      <c r="BF36" s="169"/>
      <c r="BG36" s="169"/>
      <c r="BH36" s="169"/>
      <c r="BI36" s="169"/>
      <c r="BJ36" s="169"/>
      <c r="BK36" s="169"/>
      <c r="BL36" s="169"/>
      <c r="BM36" s="169"/>
      <c r="BN36" s="169"/>
      <c r="BO36" s="169"/>
      <c r="BP36" s="169"/>
      <c r="BQ36" s="169"/>
      <c r="BR36" s="169"/>
      <c r="BS36" s="169"/>
      <c r="BT36" s="169"/>
      <c r="BU36" s="169"/>
      <c r="BV36" s="169"/>
      <c r="BW36" s="169"/>
      <c r="BX36" s="169"/>
      <c r="BY36" s="169"/>
      <c r="BZ36" s="169"/>
      <c r="CA36" s="169"/>
      <c r="CB36" s="169"/>
      <c r="CC36" s="169"/>
      <c r="CD36" s="169"/>
      <c r="CE36" s="169"/>
      <c r="CF36" s="169"/>
      <c r="CG36" s="169"/>
      <c r="CH36" s="169"/>
      <c r="CI36" s="169"/>
      <c r="CJ36" s="169"/>
      <c r="CK36" s="169"/>
      <c r="CL36" s="169"/>
      <c r="CM36" s="169"/>
      <c r="CN36" s="169"/>
      <c r="CO36" s="169"/>
      <c r="CP36" s="169"/>
      <c r="CQ36" s="169"/>
      <c r="CR36" s="169"/>
      <c r="CS36" s="169"/>
      <c r="CT36" s="169"/>
      <c r="CU36" s="169"/>
      <c r="CV36" s="169"/>
      <c r="CW36" s="169"/>
      <c r="CX36" s="169"/>
      <c r="CY36" s="169"/>
      <c r="CZ36" s="169"/>
      <c r="DA36" s="169"/>
      <c r="DB36" s="169"/>
      <c r="DC36" s="169"/>
      <c r="DD36" s="169"/>
      <c r="DE36" s="169"/>
      <c r="DF36" s="169"/>
      <c r="DG36" s="169"/>
      <c r="DH36" s="169"/>
      <c r="DI36" s="169"/>
      <c r="DJ36" s="169"/>
      <c r="DK36" s="169"/>
      <c r="DL36" s="169"/>
      <c r="DM36" s="169"/>
      <c r="DN36" s="169"/>
      <c r="DO36" s="169"/>
      <c r="DP36" s="169"/>
      <c r="DQ36" s="169"/>
      <c r="DR36" s="169"/>
      <c r="DS36" s="169"/>
      <c r="DT36" s="169"/>
      <c r="DU36" s="169"/>
      <c r="DV36" s="169"/>
      <c r="DW36" s="169"/>
      <c r="DX36" s="169"/>
      <c r="DY36" s="169"/>
      <c r="DZ36" s="169"/>
      <c r="EA36" s="169"/>
      <c r="EB36" s="169"/>
      <c r="EC36" s="169"/>
      <c r="ED36" s="169"/>
      <c r="EE36" s="169"/>
      <c r="EF36" s="169"/>
      <c r="EG36" s="169"/>
      <c r="EH36" s="169"/>
      <c r="EI36" s="169"/>
      <c r="EJ36" s="169"/>
      <c r="EK36" s="169"/>
      <c r="EL36" s="169"/>
      <c r="EM36" s="169"/>
      <c r="EN36" s="169"/>
      <c r="EO36" s="169"/>
      <c r="EP36" s="169"/>
      <c r="EQ36" s="169"/>
      <c r="ER36" s="169"/>
      <c r="ES36" s="169"/>
      <c r="ET36" s="169"/>
      <c r="EU36" s="169"/>
      <c r="EV36" s="169"/>
      <c r="EW36" s="169"/>
      <c r="EX36" s="169"/>
      <c r="EY36" s="169"/>
      <c r="EZ36" s="169"/>
      <c r="FA36" s="169"/>
      <c r="FB36" s="169"/>
      <c r="FC36" s="169"/>
      <c r="FD36" s="169"/>
      <c r="FE36" s="169"/>
      <c r="FF36" s="169"/>
      <c r="FG36" s="169"/>
      <c r="FH36" s="169"/>
      <c r="FI36" s="169"/>
      <c r="FJ36" s="169"/>
      <c r="FK36" s="169"/>
      <c r="FL36" s="169"/>
      <c r="FM36" s="169"/>
      <c r="FN36" s="169"/>
      <c r="FO36" s="169"/>
      <c r="FP36" s="169"/>
      <c r="FQ36" s="169"/>
      <c r="FR36" s="169"/>
      <c r="FS36" s="169"/>
      <c r="FT36" s="169"/>
      <c r="FU36" s="169"/>
      <c r="FV36" s="169"/>
      <c r="FW36" s="169"/>
      <c r="FX36" s="169"/>
      <c r="FY36" s="169"/>
      <c r="FZ36" s="169"/>
      <c r="GA36" s="169"/>
      <c r="GB36" s="169"/>
      <c r="GC36" s="169"/>
      <c r="GD36" s="169"/>
      <c r="GE36" s="169"/>
      <c r="GF36" s="169"/>
      <c r="GG36" s="169"/>
      <c r="GH36" s="169"/>
      <c r="GI36" s="169"/>
      <c r="GJ36" s="169"/>
      <c r="GK36" s="169"/>
      <c r="GL36" s="169"/>
      <c r="GM36" s="169"/>
      <c r="GN36" s="169"/>
      <c r="GO36" s="169"/>
      <c r="GP36" s="169"/>
      <c r="GQ36" s="169"/>
      <c r="GR36" s="169"/>
      <c r="GS36" s="169"/>
      <c r="GT36" s="169"/>
      <c r="GU36" s="169"/>
      <c r="GV36" s="169"/>
      <c r="GW36" s="169"/>
      <c r="GX36" s="169"/>
      <c r="GY36" s="169"/>
      <c r="GZ36" s="169"/>
      <c r="HA36" s="169"/>
      <c r="HB36" s="169"/>
      <c r="HC36" s="169"/>
      <c r="HD36" s="169"/>
      <c r="HE36" s="169"/>
      <c r="HF36" s="169"/>
      <c r="HG36" s="169"/>
      <c r="HH36" s="169"/>
      <c r="HI36" s="169"/>
      <c r="HJ36" s="169"/>
      <c r="HK36" s="169"/>
      <c r="HL36" s="169"/>
      <c r="HM36" s="169"/>
      <c r="HN36" s="169"/>
      <c r="HO36" s="169"/>
      <c r="HP36" s="169"/>
      <c r="HQ36" s="169"/>
      <c r="HR36" s="169"/>
      <c r="HS36" s="169"/>
      <c r="HT36" s="169"/>
      <c r="HU36" s="169"/>
      <c r="HV36" s="169"/>
      <c r="HW36" s="169"/>
      <c r="HX36" s="169"/>
      <c r="HY36" s="169"/>
      <c r="HZ36" s="169"/>
      <c r="IA36" s="169"/>
      <c r="IB36" s="169"/>
      <c r="IC36" s="169"/>
      <c r="ID36" s="169"/>
      <c r="IE36" s="169"/>
      <c r="IF36" s="169"/>
      <c r="IG36" s="169"/>
      <c r="IH36" s="169"/>
      <c r="II36" s="169"/>
      <c r="IJ36" s="169"/>
      <c r="IK36" s="169"/>
      <c r="IL36" s="169"/>
      <c r="IM36" s="169"/>
      <c r="IN36" s="169"/>
      <c r="IO36" s="169"/>
      <c r="IP36" s="169"/>
      <c r="IQ36" s="169"/>
      <c r="IR36" s="169"/>
      <c r="IS36" s="169"/>
      <c r="IT36" s="169"/>
      <c r="IU36" s="169"/>
      <c r="IV36" s="169"/>
      <c r="IW36" s="169"/>
      <c r="IX36" s="169"/>
      <c r="IY36" s="29">
        <v>1</v>
      </c>
      <c r="IZ36" s="40">
        <f>(TEXT(K36,"[m]")/60)*VLOOKUP(IY36,'Income Person-hours'!A$2:C$5,3,FALSE)</f>
        <v>0</v>
      </c>
      <c r="JA36" s="112"/>
      <c r="JB36" s="112"/>
      <c r="JC36" s="112"/>
      <c r="JD36" s="192">
        <f>SUM((TEXT(JA36,"[M]")/60)*'Income Person-hours'!$D$3,(TEXT(JB36,"[M]")/60)*'Income Person-hours'!$D$4,(TEXT(JC36,"[M]")/60)*'Income Person-hours'!$D$5)</f>
        <v>0</v>
      </c>
    </row>
    <row r="37" spans="1:16383" s="191" customFormat="1" ht="13.5">
      <c r="A37" s="252">
        <v>2.2000000000000002</v>
      </c>
      <c r="B37" s="241" t="s">
        <v>119</v>
      </c>
      <c r="C37" s="228" t="s">
        <v>79</v>
      </c>
      <c r="D37" s="354" t="str">
        <f>IF(OR(j_WEEKDAY(J_ADDDAY(VLOOKUP(I37,A:F,6,FALSE),H37,1),0)=6,SUMIFS(Holieday[ok],Holieday[date],J_ADDDAY(VLOOKUP(I37,A:F,6,FALSE),H37,1)))=FALSE(),J_ADDDAY(VLOOKUP(I37,A:F,6,FALSE),H37,1),IF(OR(j_WEEKDAY(J_ADDDAY(VLOOKUP(I37,A:F,6,FALSE),H37+1,1),0)=6,SUMIFS(Holieday[ok],Holieday[date],J_ADDDAY(VLOOKUP(I37,A:F,6,FALSE),H37+1,1)))=FALSE(),J_ADDDAY(VLOOKUP(I37,A:F,6,FALSE),H37+1,1),IF(OR(j_WEEKDAY(J_ADDDAY(VLOOKUP(I37,A:F,6,FALSE),H37+2,1),0)=6,SUMIFS(Holieday[ok],Holieday[date],J_ADDDAY(VLOOKUP(I37,A:F,6,FALSE),H37+2,1)))=FALSE(),J_ADDDAY(VLOOKUP(I37,A:F,6,FALSE),H37+2,1),IF(OR(j_WEEKDAY(J_ADDDAY(VLOOKUP(I37,A:F,6,FALSE),H37+3,1),0)=6,SUMIFS(Holieday[ok],Holieday[date],J_ADDDAY(VLOOKUP(I37,A:F,6,FALSE),H37+3,1)))=FALSE(),J_ADDDAY(VLOOKUP(I37,A:F,6,FALSE),H37+3,1),IF(OR(j_WEEKDAY(J_ADDDAY(VLOOKUP(I37,A:F,6,FALSE),H37+4,1),0)=6,SUMIFS(Holieday[ok],Holieday[date],J_ADDDAY(VLOOKUP(I37,A:F,6,FALSE),H37+4,1)))=FALSE(),J_ADDDAY(VLOOKUP(I37,A:F,6,FALSE),H37+4,1),J_ADDDAY(VLOOKUP(I37,A:F,6,FALSE),H37+5,1))))))</f>
        <v>1398/06/31</v>
      </c>
      <c r="E37" s="160">
        <f t="shared" si="4"/>
        <v>13980631</v>
      </c>
      <c r="F37" s="354" t="str">
        <f>IF(N37=0,J_SUBDAY(D37,1,1),IF((N37-(NETWORKDAYS.INTL(J_GregorianDate(D37,1),J_GregorianDate(J_SUBDAY(J_ADDDAY(D37,N37,1),1,1),1),16,1)))+SUMIFS(Holieday[ok],Holieday[date],CONCATENATE("&gt;","=",D37),Holieday[date],CONCATENATE("&lt;","=",J_SUBDAY(J_ADDDAY(D37,N37,1),1,1)))-SUMIFS(Holieday[Friday],Holieday[date],CONCATENATE("&gt;","=",D37),Holieday[date],CONCATENATE("&lt;","=",J_SUBDAY(J_ADDDAY(D37,N37,1),1,1)))=0,J_SUBDAY(J_ADDDAY(D37,N37,1),1,1),IF((N37+1-(NETWORKDAYS.INTL(J_GregorianDate(D37,1),J_GregorianDate(J_SUBDAY(J_ADDDAY(D37,N37+1,1),1,1),1),16,1)))+SUMIFS(Holieday[ok],Holieday[date],CONCATENATE("&gt;","=",D37),Holieday[date],CONCATENATE("&lt;","=",J_SUBDAY(J_ADDDAY(D37,N37+1,1),1,1)))-SUMIFS(Holieday[Friday],Holieday[date],CONCATENATE("&gt;","=",D37),Holieday[date],CONCATENATE("&lt;","=",J_SUBDAY(J_ADDDAY(D37,N37+1,1),1,1)))=1,J_SUBDAY(J_ADDDAY(D37,N37+1,1),1,1),IF((N37+2-(NETWORKDAYS.INTL(J_GregorianDate(D37,1),J_GregorianDate(J_SUBDAY(J_ADDDAY(D37,N37+2,1),1,1),1),16,1)))+SUMIFS(Holieday[ok],Holieday[date],CONCATENATE("&gt;","=",D37),Holieday[date],CONCATENATE("&lt;","=",J_SUBDAY(J_ADDDAY(D37,N37+2,1),1,1)))-SUMIFS(Holieday[Friday],Holieday[date],CONCATENATE("&gt;","=",D37),Holieday[date],CONCATENATE("&lt;","=",J_SUBDAY(J_ADDDAY(D37,N37+2,1),1,1)))=2,J_SUBDAY(J_ADDDAY(D37,N37+2,1),1,1),IF((N37+3-(NETWORKDAYS.INTL(J_GregorianDate(D37,1),J_GregorianDate(J_SUBDAY(J_ADDDAY(D37,N37+3,1),1,1),1),16,1)))+SUMIFS(Holieday[ok],Holieday[date],CONCATENATE("&gt;","=",D37),Holieday[date],CONCATENATE("&lt;","=",J_SUBDAY(J_ADDDAY(D37,N37+3,1),1,1)))-SUMIFS(Holieday[Friday],Holieday[date],CONCATENATE("&gt;","=",D37),Holieday[date],CONCATENATE("&lt;","=",J_SUBDAY(J_ADDDAY(D37,N37+3,1),1,1)))=3,J_SUBDAY(J_ADDDAY(D37,N37+3,1),1,1),IF((N37+4-(NETWORKDAYS.INTL(J_GregorianDate(D37,1),J_GregorianDate(J_SUBDAY(J_ADDDAY(D37,N37+4,1),1,1),1),16,1)))+SUMIFS(Holieday[ok],Holieday[date],CONCATENATE("&gt;","=",D37),Holieday[date],CONCATENATE("&lt;","=",J_SUBDAY(J_ADDDAY(D37,N37+4,1),1,1)))-SUMIFS(Holieday[Friday],Holieday[date],CONCATENATE("&gt;","=",D37),Holieday[date],CONCATENATE("&lt;","=",J_SUBDAY(J_ADDDAY(D37,N37+4,1),1,1)))=4,J_SUBDAY(J_ADDDAY(D37,N37+4,1),1,1),IF((N37+5-(NETWORKDAYS.INTL(J_GregorianDate(D37,1),J_GregorianDate(J_SUBDAY(J_ADDDAY(D37,N37+5,1),1,1),1),16,1)))+SUMIFS(Holieday[ok],Holieday[date],CONCATENATE("&gt;","=",D37),Holieday[date],CONCATENATE("&lt;","=",J_SUBDAY(J_ADDDAY(D37,N37+5,1),1,1)))-SUMIFS(Holieday[Friday],Holieday[date],CONCATENATE("&gt;","=",D37),Holieday[date],CONCATENATE("&lt;","=",J_SUBDAY(J_ADDDAY(D37,N37+5,1),1,1)))=5,J_SUBDAY(J_ADDDAY(D37,N37+5,1),1,1),J_SUBDAY(J_ADDDAY(D37,N37+6,1),1,1))))))))</f>
        <v>1398/06/31</v>
      </c>
      <c r="G37" s="163">
        <f t="shared" si="5"/>
        <v>13980631</v>
      </c>
      <c r="H37" s="230"/>
      <c r="I37" s="231">
        <v>2.1</v>
      </c>
      <c r="J37" s="229">
        <v>1</v>
      </c>
      <c r="K37" s="173">
        <f t="shared" si="11"/>
        <v>0</v>
      </c>
      <c r="L37" s="232">
        <f t="shared" si="12"/>
        <v>1</v>
      </c>
      <c r="M37" s="233">
        <v>1</v>
      </c>
      <c r="N37" s="234">
        <v>1</v>
      </c>
      <c r="O37" s="175">
        <f t="shared" ref="O37:O56" si="13">ROUNDDOWN(M37*L37,0)</f>
        <v>1</v>
      </c>
      <c r="P37" s="175">
        <f>VALUE(J_normdate(J_ADDDAY($D37,$O37,1)))</f>
        <v>13980701</v>
      </c>
      <c r="Q37" s="171">
        <f t="shared" ref="Q37:Q83" si="14">L37-O37</f>
        <v>0</v>
      </c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169"/>
      <c r="AM37" s="169"/>
      <c r="AN37" s="169"/>
      <c r="AO37" s="169"/>
      <c r="AP37" s="169"/>
      <c r="AQ37" s="169"/>
      <c r="AR37" s="169"/>
      <c r="AS37" s="169"/>
      <c r="AT37" s="169"/>
      <c r="AU37" s="169"/>
      <c r="AV37" s="169"/>
      <c r="AW37" s="169"/>
      <c r="AX37" s="169"/>
      <c r="AY37" s="169"/>
      <c r="AZ37" s="169"/>
      <c r="BA37" s="169"/>
      <c r="BB37" s="169"/>
      <c r="BC37" s="169"/>
      <c r="BD37" s="169"/>
      <c r="BE37" s="169"/>
      <c r="BF37" s="169"/>
      <c r="BG37" s="169"/>
      <c r="BH37" s="169"/>
      <c r="BI37" s="169"/>
      <c r="BJ37" s="169"/>
      <c r="BK37" s="169"/>
      <c r="BL37" s="169"/>
      <c r="BM37" s="169"/>
      <c r="BN37" s="169"/>
      <c r="BO37" s="169"/>
      <c r="BP37" s="169"/>
      <c r="BQ37" s="169"/>
      <c r="BR37" s="169"/>
      <c r="BS37" s="169"/>
      <c r="BT37" s="169"/>
      <c r="BU37" s="169"/>
      <c r="BV37" s="169"/>
      <c r="BW37" s="169"/>
      <c r="BX37" s="169"/>
      <c r="BY37" s="169"/>
      <c r="BZ37" s="169"/>
      <c r="CA37" s="169"/>
      <c r="CB37" s="169"/>
      <c r="CC37" s="169"/>
      <c r="CD37" s="169"/>
      <c r="CE37" s="169"/>
      <c r="CF37" s="169"/>
      <c r="CG37" s="169"/>
      <c r="CH37" s="169"/>
      <c r="CI37" s="169"/>
      <c r="CJ37" s="169"/>
      <c r="CK37" s="169"/>
      <c r="CL37" s="169"/>
      <c r="CM37" s="169"/>
      <c r="CN37" s="169"/>
      <c r="CO37" s="169"/>
      <c r="CP37" s="169"/>
      <c r="CQ37" s="169"/>
      <c r="CR37" s="169"/>
      <c r="CS37" s="169"/>
      <c r="CT37" s="169"/>
      <c r="CU37" s="169"/>
      <c r="CV37" s="169"/>
      <c r="CW37" s="169"/>
      <c r="CX37" s="169"/>
      <c r="CY37" s="169"/>
      <c r="CZ37" s="169"/>
      <c r="DA37" s="169"/>
      <c r="DB37" s="169"/>
      <c r="DC37" s="169"/>
      <c r="DD37" s="169"/>
      <c r="DE37" s="169"/>
      <c r="DF37" s="169"/>
      <c r="DG37" s="169"/>
      <c r="DH37" s="169"/>
      <c r="DI37" s="169"/>
      <c r="DJ37" s="169"/>
      <c r="DK37" s="169"/>
      <c r="DL37" s="169"/>
      <c r="DM37" s="169"/>
      <c r="DN37" s="169"/>
      <c r="DO37" s="169"/>
      <c r="DP37" s="169"/>
      <c r="DQ37" s="169"/>
      <c r="DR37" s="169"/>
      <c r="DS37" s="169"/>
      <c r="DT37" s="169"/>
      <c r="DU37" s="169"/>
      <c r="DV37" s="169"/>
      <c r="DW37" s="169"/>
      <c r="DX37" s="169"/>
      <c r="DY37" s="169"/>
      <c r="DZ37" s="169"/>
      <c r="EA37" s="169"/>
      <c r="EB37" s="169"/>
      <c r="EC37" s="169"/>
      <c r="ED37" s="169"/>
      <c r="EE37" s="169"/>
      <c r="EF37" s="169"/>
      <c r="EG37" s="169"/>
      <c r="EH37" s="169"/>
      <c r="EI37" s="169"/>
      <c r="EJ37" s="169"/>
      <c r="EK37" s="169"/>
      <c r="EL37" s="169"/>
      <c r="EM37" s="169"/>
      <c r="EN37" s="169"/>
      <c r="EO37" s="169"/>
      <c r="EP37" s="169"/>
      <c r="EQ37" s="169"/>
      <c r="ER37" s="169"/>
      <c r="ES37" s="169"/>
      <c r="ET37" s="169"/>
      <c r="EU37" s="169"/>
      <c r="EV37" s="169"/>
      <c r="EW37" s="169"/>
      <c r="EX37" s="169"/>
      <c r="EY37" s="169"/>
      <c r="EZ37" s="169"/>
      <c r="FA37" s="169"/>
      <c r="FB37" s="169"/>
      <c r="FC37" s="169"/>
      <c r="FD37" s="169"/>
      <c r="FE37" s="169"/>
      <c r="FF37" s="169"/>
      <c r="FG37" s="169"/>
      <c r="FH37" s="169"/>
      <c r="FI37" s="169"/>
      <c r="FJ37" s="169"/>
      <c r="FK37" s="169"/>
      <c r="FL37" s="169"/>
      <c r="FM37" s="169"/>
      <c r="FN37" s="169"/>
      <c r="FO37" s="169"/>
      <c r="FP37" s="169"/>
      <c r="FQ37" s="169"/>
      <c r="FR37" s="169"/>
      <c r="FS37" s="169"/>
      <c r="FT37" s="169"/>
      <c r="FU37" s="169"/>
      <c r="FV37" s="169"/>
      <c r="FW37" s="169"/>
      <c r="FX37" s="169"/>
      <c r="FY37" s="169"/>
      <c r="FZ37" s="169"/>
      <c r="GA37" s="169"/>
      <c r="GB37" s="169"/>
      <c r="GC37" s="169"/>
      <c r="GD37" s="169"/>
      <c r="GE37" s="169"/>
      <c r="GF37" s="169"/>
      <c r="GG37" s="169"/>
      <c r="GH37" s="169"/>
      <c r="GI37" s="169"/>
      <c r="GJ37" s="169"/>
      <c r="GK37" s="169"/>
      <c r="GL37" s="169"/>
      <c r="GM37" s="169"/>
      <c r="GN37" s="169"/>
      <c r="GO37" s="169"/>
      <c r="GP37" s="169"/>
      <c r="GQ37" s="169"/>
      <c r="GR37" s="169"/>
      <c r="GS37" s="169"/>
      <c r="GT37" s="169"/>
      <c r="GU37" s="169"/>
      <c r="GV37" s="169"/>
      <c r="GW37" s="169"/>
      <c r="GX37" s="169"/>
      <c r="GY37" s="169"/>
      <c r="GZ37" s="169"/>
      <c r="HA37" s="169"/>
      <c r="HB37" s="169"/>
      <c r="HC37" s="169"/>
      <c r="HD37" s="169"/>
      <c r="HE37" s="169"/>
      <c r="HF37" s="169"/>
      <c r="HG37" s="169"/>
      <c r="HH37" s="169"/>
      <c r="HI37" s="169"/>
      <c r="HJ37" s="169"/>
      <c r="HK37" s="169"/>
      <c r="HL37" s="169"/>
      <c r="HM37" s="169"/>
      <c r="HN37" s="169"/>
      <c r="HO37" s="169"/>
      <c r="HP37" s="169"/>
      <c r="HQ37" s="169"/>
      <c r="HR37" s="169"/>
      <c r="HS37" s="169"/>
      <c r="HT37" s="169"/>
      <c r="HU37" s="169"/>
      <c r="HV37" s="169"/>
      <c r="HW37" s="169"/>
      <c r="HX37" s="169"/>
      <c r="HY37" s="169"/>
      <c r="HZ37" s="169"/>
      <c r="IA37" s="169"/>
      <c r="IB37" s="169"/>
      <c r="IC37" s="169"/>
      <c r="ID37" s="169"/>
      <c r="IE37" s="169"/>
      <c r="IF37" s="169"/>
      <c r="IG37" s="169"/>
      <c r="IH37" s="169"/>
      <c r="II37" s="169"/>
      <c r="IJ37" s="169"/>
      <c r="IK37" s="169"/>
      <c r="IL37" s="169"/>
      <c r="IM37" s="169"/>
      <c r="IN37" s="169"/>
      <c r="IO37" s="169"/>
      <c r="IP37" s="169"/>
      <c r="IQ37" s="169"/>
      <c r="IR37" s="169"/>
      <c r="IS37" s="169"/>
      <c r="IT37" s="169"/>
      <c r="IU37" s="169"/>
      <c r="IV37" s="169"/>
      <c r="IW37" s="169"/>
      <c r="IX37" s="169"/>
      <c r="IY37" s="29">
        <v>1</v>
      </c>
      <c r="IZ37" s="40">
        <f>(TEXT(K37,"[m]")/60)*VLOOKUP(IY37,'Income Person-hours'!A$2:C$5,3,FALSE)</f>
        <v>0</v>
      </c>
      <c r="JA37" s="112"/>
      <c r="JB37" s="112"/>
      <c r="JC37" s="112"/>
      <c r="JD37" s="192">
        <f>SUM((TEXT(JA37,"[M]")/60)*'Income Person-hours'!$D$3,(TEXT(JB37,"[M]")/60)*'Income Person-hours'!$D$4,(TEXT(JC37,"[M]")/60)*'Income Person-hours'!$D$5)</f>
        <v>0</v>
      </c>
    </row>
    <row r="38" spans="1:16383" s="191" customFormat="1" ht="13.5">
      <c r="A38" s="252">
        <v>2.2999999999999998</v>
      </c>
      <c r="B38" s="241" t="s">
        <v>129</v>
      </c>
      <c r="C38" s="228" t="s">
        <v>79</v>
      </c>
      <c r="D38" s="353" t="str">
        <f>IF(OR(j_WEEKDAY(J_ADDDAY(VLOOKUP(I38,A:F,6,FALSE),H38,1),0)=6,SUMIFS(Holieday[ok],Holieday[date],J_ADDDAY(VLOOKUP(I38,A:F,6,FALSE),H38,1)))=FALSE(),J_ADDDAY(VLOOKUP(I38,A:F,6,FALSE),H38,1),IF(OR(j_WEEKDAY(J_ADDDAY(VLOOKUP(I38,A:F,6,FALSE),H38+1,1),0)=6,SUMIFS(Holieday[ok],Holieday[date],J_ADDDAY(VLOOKUP(I38,A:F,6,FALSE),H38+1,1)))=FALSE(),J_ADDDAY(VLOOKUP(I38,A:F,6,FALSE),H38+1,1),IF(OR(j_WEEKDAY(J_ADDDAY(VLOOKUP(I38,A:F,6,FALSE),H38+2,1),0)=6,SUMIFS(Holieday[ok],Holieday[date],J_ADDDAY(VLOOKUP(I38,A:F,6,FALSE),H38+2,1)))=FALSE(),J_ADDDAY(VLOOKUP(I38,A:F,6,FALSE),H38+2,1),IF(OR(j_WEEKDAY(J_ADDDAY(VLOOKUP(I38,A:F,6,FALSE),H38+3,1),0)=6,SUMIFS(Holieday[ok],Holieday[date],J_ADDDAY(VLOOKUP(I38,A:F,6,FALSE),H38+3,1)))=FALSE(),J_ADDDAY(VLOOKUP(I38,A:F,6,FALSE),H38+3,1),IF(OR(j_WEEKDAY(J_ADDDAY(VLOOKUP(I38,A:F,6,FALSE),H38+4,1),0)=6,SUMIFS(Holieday[ok],Holieday[date],J_ADDDAY(VLOOKUP(I38,A:F,6,FALSE),H38+4,1)))=FALSE(),J_ADDDAY(VLOOKUP(I38,A:F,6,FALSE),H38+4,1),J_ADDDAY(VLOOKUP(I38,A:F,6,FALSE),H38+5,1))))))</f>
        <v>1398/06/31</v>
      </c>
      <c r="E38" s="160">
        <f t="shared" si="4"/>
        <v>13980631</v>
      </c>
      <c r="F38" s="354" t="str">
        <f>IF(N38=0,J_SUBDAY(D38,1,1),IF((N38-(NETWORKDAYS.INTL(J_GregorianDate(D38,1),J_GregorianDate(J_SUBDAY(J_ADDDAY(D38,N38,1),1,1),1),16,1)))+SUMIFS(Holieday[ok],Holieday[date],CONCATENATE("&gt;","=",D38),Holieday[date],CONCATENATE("&lt;","=",J_SUBDAY(J_ADDDAY(D38,N38,1),1,1)))-SUMIFS(Holieday[Friday],Holieday[date],CONCATENATE("&gt;","=",D38),Holieday[date],CONCATENATE("&lt;","=",J_SUBDAY(J_ADDDAY(D38,N38,1),1,1)))=0,J_SUBDAY(J_ADDDAY(D38,N38,1),1,1),IF((N38+1-(NETWORKDAYS.INTL(J_GregorianDate(D38,1),J_GregorianDate(J_SUBDAY(J_ADDDAY(D38,N38+1,1),1,1),1),16,1)))+SUMIFS(Holieday[ok],Holieday[date],CONCATENATE("&gt;","=",D38),Holieday[date],CONCATENATE("&lt;","=",J_SUBDAY(J_ADDDAY(D38,N38+1,1),1,1)))-SUMIFS(Holieday[Friday],Holieday[date],CONCATENATE("&gt;","=",D38),Holieday[date],CONCATENATE("&lt;","=",J_SUBDAY(J_ADDDAY(D38,N38+1,1),1,1)))=1,J_SUBDAY(J_ADDDAY(D38,N38+1,1),1,1),IF((N38+2-(NETWORKDAYS.INTL(J_GregorianDate(D38,1),J_GregorianDate(J_SUBDAY(J_ADDDAY(D38,N38+2,1),1,1),1),16,1)))+SUMIFS(Holieday[ok],Holieday[date],CONCATENATE("&gt;","=",D38),Holieday[date],CONCATENATE("&lt;","=",J_SUBDAY(J_ADDDAY(D38,N38+2,1),1,1)))-SUMIFS(Holieday[Friday],Holieday[date],CONCATENATE("&gt;","=",D38),Holieday[date],CONCATENATE("&lt;","=",J_SUBDAY(J_ADDDAY(D38,N38+2,1),1,1)))=2,J_SUBDAY(J_ADDDAY(D38,N38+2,1),1,1),IF((N38+3-(NETWORKDAYS.INTL(J_GregorianDate(D38,1),J_GregorianDate(J_SUBDAY(J_ADDDAY(D38,N38+3,1),1,1),1),16,1)))+SUMIFS(Holieday[ok],Holieday[date],CONCATENATE("&gt;","=",D38),Holieday[date],CONCATENATE("&lt;","=",J_SUBDAY(J_ADDDAY(D38,N38+3,1),1,1)))-SUMIFS(Holieday[Friday],Holieday[date],CONCATENATE("&gt;","=",D38),Holieday[date],CONCATENATE("&lt;","=",J_SUBDAY(J_ADDDAY(D38,N38+3,1),1,1)))=3,J_SUBDAY(J_ADDDAY(D38,N38+3,1),1,1),IF((N38+4-(NETWORKDAYS.INTL(J_GregorianDate(D38,1),J_GregorianDate(J_SUBDAY(J_ADDDAY(D38,N38+4,1),1,1),1),16,1)))+SUMIFS(Holieday[ok],Holieday[date],CONCATENATE("&gt;","=",D38),Holieday[date],CONCATENATE("&lt;","=",J_SUBDAY(J_ADDDAY(D38,N38+4,1),1,1)))-SUMIFS(Holieday[Friday],Holieday[date],CONCATENATE("&gt;","=",D38),Holieday[date],CONCATENATE("&lt;","=",J_SUBDAY(J_ADDDAY(D38,N38+4,1),1,1)))=4,J_SUBDAY(J_ADDDAY(D38,N38+4,1),1,1),IF((N38+5-(NETWORKDAYS.INTL(J_GregorianDate(D38,1),J_GregorianDate(J_SUBDAY(J_ADDDAY(D38,N38+5,1),1,1),1),16,1)))+SUMIFS(Holieday[ok],Holieday[date],CONCATENATE("&gt;","=",D38),Holieday[date],CONCATENATE("&lt;","=",J_SUBDAY(J_ADDDAY(D38,N38+5,1),1,1)))-SUMIFS(Holieday[Friday],Holieday[date],CONCATENATE("&gt;","=",D38),Holieday[date],CONCATENATE("&lt;","=",J_SUBDAY(J_ADDDAY(D38,N38+5,1),1,1)))=5,J_SUBDAY(J_ADDDAY(D38,N38+5,1),1,1),J_SUBDAY(J_ADDDAY(D38,N38+6,1),1,1))))))))</f>
        <v>1398/06/31</v>
      </c>
      <c r="G38" s="163">
        <f t="shared" si="5"/>
        <v>13980631</v>
      </c>
      <c r="H38" s="230"/>
      <c r="I38" s="231">
        <v>2.2000000000000002</v>
      </c>
      <c r="J38" s="229">
        <f>j_WEEKDAY(D38,2)</f>
        <v>1</v>
      </c>
      <c r="K38" s="173">
        <f t="shared" si="11"/>
        <v>0</v>
      </c>
      <c r="L38" s="232">
        <f t="shared" si="12"/>
        <v>1</v>
      </c>
      <c r="M38" s="233">
        <v>1</v>
      </c>
      <c r="N38" s="234">
        <v>1</v>
      </c>
      <c r="O38" s="175">
        <f t="shared" si="13"/>
        <v>1</v>
      </c>
      <c r="P38" s="175">
        <f>VALUE(J_normdate(J_ADDDAY($D38,$O38,1)))</f>
        <v>13980701</v>
      </c>
      <c r="Q38" s="171">
        <f t="shared" si="14"/>
        <v>0</v>
      </c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9"/>
      <c r="AN38" s="169"/>
      <c r="AO38" s="169"/>
      <c r="AP38" s="169"/>
      <c r="AQ38" s="169"/>
      <c r="AR38" s="169"/>
      <c r="AS38" s="169"/>
      <c r="AT38" s="169"/>
      <c r="AU38" s="169"/>
      <c r="AV38" s="169"/>
      <c r="AW38" s="169"/>
      <c r="AX38" s="169"/>
      <c r="AY38" s="169"/>
      <c r="AZ38" s="169"/>
      <c r="BA38" s="169"/>
      <c r="BB38" s="169"/>
      <c r="BC38" s="169"/>
      <c r="BD38" s="169"/>
      <c r="BE38" s="169"/>
      <c r="BF38" s="169"/>
      <c r="BG38" s="169"/>
      <c r="BH38" s="169"/>
      <c r="BI38" s="169"/>
      <c r="BJ38" s="169"/>
      <c r="BK38" s="169"/>
      <c r="BL38" s="169"/>
      <c r="BM38" s="169"/>
      <c r="BN38" s="169"/>
      <c r="BO38" s="169"/>
      <c r="BP38" s="169"/>
      <c r="BQ38" s="169"/>
      <c r="BR38" s="169"/>
      <c r="BS38" s="169"/>
      <c r="BT38" s="169"/>
      <c r="BU38" s="169"/>
      <c r="BV38" s="169"/>
      <c r="BW38" s="169"/>
      <c r="BX38" s="169"/>
      <c r="BY38" s="169"/>
      <c r="BZ38" s="169"/>
      <c r="CA38" s="169"/>
      <c r="CB38" s="169"/>
      <c r="CC38" s="169"/>
      <c r="CD38" s="169"/>
      <c r="CE38" s="169"/>
      <c r="CF38" s="169"/>
      <c r="CG38" s="169"/>
      <c r="CH38" s="169"/>
      <c r="CI38" s="169"/>
      <c r="CJ38" s="169"/>
      <c r="CK38" s="169"/>
      <c r="CL38" s="169"/>
      <c r="CM38" s="169"/>
      <c r="CN38" s="169"/>
      <c r="CO38" s="169"/>
      <c r="CP38" s="169"/>
      <c r="CQ38" s="169"/>
      <c r="CR38" s="169"/>
      <c r="CS38" s="169"/>
      <c r="CT38" s="169"/>
      <c r="CU38" s="169"/>
      <c r="CV38" s="169"/>
      <c r="CW38" s="169"/>
      <c r="CX38" s="169"/>
      <c r="CY38" s="169"/>
      <c r="CZ38" s="169"/>
      <c r="DA38" s="169"/>
      <c r="DB38" s="169"/>
      <c r="DC38" s="169"/>
      <c r="DD38" s="169"/>
      <c r="DE38" s="169"/>
      <c r="DF38" s="169"/>
      <c r="DG38" s="169"/>
      <c r="DH38" s="169"/>
      <c r="DI38" s="169"/>
      <c r="DJ38" s="169"/>
      <c r="DK38" s="169"/>
      <c r="DL38" s="169"/>
      <c r="DM38" s="169"/>
      <c r="DN38" s="169"/>
      <c r="DO38" s="169"/>
      <c r="DP38" s="169"/>
      <c r="DQ38" s="169"/>
      <c r="DR38" s="169"/>
      <c r="DS38" s="169"/>
      <c r="DT38" s="169"/>
      <c r="DU38" s="169"/>
      <c r="DV38" s="169"/>
      <c r="DW38" s="169"/>
      <c r="DX38" s="169"/>
      <c r="DY38" s="169"/>
      <c r="DZ38" s="169"/>
      <c r="EA38" s="169"/>
      <c r="EB38" s="169"/>
      <c r="EC38" s="169"/>
      <c r="ED38" s="169"/>
      <c r="EE38" s="169"/>
      <c r="EF38" s="169"/>
      <c r="EG38" s="169"/>
      <c r="EH38" s="169"/>
      <c r="EI38" s="169"/>
      <c r="EJ38" s="169"/>
      <c r="EK38" s="169"/>
      <c r="EL38" s="169"/>
      <c r="EM38" s="169"/>
      <c r="EN38" s="169"/>
      <c r="EO38" s="169"/>
      <c r="EP38" s="169"/>
      <c r="EQ38" s="169"/>
      <c r="ER38" s="169"/>
      <c r="ES38" s="169"/>
      <c r="ET38" s="169"/>
      <c r="EU38" s="169"/>
      <c r="EV38" s="169"/>
      <c r="EW38" s="169"/>
      <c r="EX38" s="169"/>
      <c r="EY38" s="169"/>
      <c r="EZ38" s="169"/>
      <c r="FA38" s="169"/>
      <c r="FB38" s="169"/>
      <c r="FC38" s="169"/>
      <c r="FD38" s="169"/>
      <c r="FE38" s="169"/>
      <c r="FF38" s="169"/>
      <c r="FG38" s="169"/>
      <c r="FH38" s="169"/>
      <c r="FI38" s="169"/>
      <c r="FJ38" s="169"/>
      <c r="FK38" s="169"/>
      <c r="FL38" s="169"/>
      <c r="FM38" s="169"/>
      <c r="FN38" s="169"/>
      <c r="FO38" s="169"/>
      <c r="FP38" s="169"/>
      <c r="FQ38" s="169"/>
      <c r="FR38" s="169"/>
      <c r="FS38" s="169"/>
      <c r="FT38" s="169"/>
      <c r="FU38" s="169"/>
      <c r="FV38" s="169"/>
      <c r="FW38" s="169"/>
      <c r="FX38" s="169"/>
      <c r="FY38" s="169"/>
      <c r="FZ38" s="169"/>
      <c r="GA38" s="169"/>
      <c r="GB38" s="169"/>
      <c r="GC38" s="169"/>
      <c r="GD38" s="169"/>
      <c r="GE38" s="169"/>
      <c r="GF38" s="169"/>
      <c r="GG38" s="169"/>
      <c r="GH38" s="169"/>
      <c r="GI38" s="169"/>
      <c r="GJ38" s="169"/>
      <c r="GK38" s="169"/>
      <c r="GL38" s="169"/>
      <c r="GM38" s="169"/>
      <c r="GN38" s="169"/>
      <c r="GO38" s="169"/>
      <c r="GP38" s="169"/>
      <c r="GQ38" s="169"/>
      <c r="GR38" s="169"/>
      <c r="GS38" s="169"/>
      <c r="GT38" s="169"/>
      <c r="GU38" s="169"/>
      <c r="GV38" s="169"/>
      <c r="GW38" s="169"/>
      <c r="GX38" s="169"/>
      <c r="GY38" s="169"/>
      <c r="GZ38" s="169"/>
      <c r="HA38" s="169"/>
      <c r="HB38" s="169"/>
      <c r="HC38" s="169"/>
      <c r="HD38" s="169"/>
      <c r="HE38" s="169"/>
      <c r="HF38" s="169"/>
      <c r="HG38" s="169"/>
      <c r="HH38" s="169"/>
      <c r="HI38" s="169"/>
      <c r="HJ38" s="169"/>
      <c r="HK38" s="169"/>
      <c r="HL38" s="169"/>
      <c r="HM38" s="169"/>
      <c r="HN38" s="169"/>
      <c r="HO38" s="169"/>
      <c r="HP38" s="169"/>
      <c r="HQ38" s="169"/>
      <c r="HR38" s="169"/>
      <c r="HS38" s="169"/>
      <c r="HT38" s="169"/>
      <c r="HU38" s="169"/>
      <c r="HV38" s="169"/>
      <c r="HW38" s="169"/>
      <c r="HX38" s="169"/>
      <c r="HY38" s="169"/>
      <c r="HZ38" s="169"/>
      <c r="IA38" s="169"/>
      <c r="IB38" s="169"/>
      <c r="IC38" s="169"/>
      <c r="ID38" s="169"/>
      <c r="IE38" s="169"/>
      <c r="IF38" s="169"/>
      <c r="IG38" s="169"/>
      <c r="IH38" s="169"/>
      <c r="II38" s="169"/>
      <c r="IJ38" s="169"/>
      <c r="IK38" s="169"/>
      <c r="IL38" s="169"/>
      <c r="IM38" s="169"/>
      <c r="IN38" s="169"/>
      <c r="IO38" s="169"/>
      <c r="IP38" s="169"/>
      <c r="IQ38" s="169"/>
      <c r="IR38" s="169"/>
      <c r="IS38" s="169"/>
      <c r="IT38" s="169"/>
      <c r="IU38" s="169"/>
      <c r="IV38" s="169"/>
      <c r="IW38" s="169"/>
      <c r="IX38" s="169"/>
      <c r="IY38" s="29">
        <v>2</v>
      </c>
      <c r="IZ38" s="40">
        <f>(TEXT(K38,"[m]")/60)*VLOOKUP(IY38,'Income Person-hours'!A$2:C$5,3,FALSE)</f>
        <v>0</v>
      </c>
      <c r="JA38" s="112"/>
      <c r="JB38" s="112"/>
      <c r="JC38" s="112"/>
      <c r="JD38" s="192">
        <f>SUM((TEXT(JA38,"[M]")/60)*'Income Person-hours'!$D$3,(TEXT(JB38,"[M]")/60)*'Income Person-hours'!$D$4,(TEXT(JC38,"[M]")/60)*'Income Person-hours'!$D$5)</f>
        <v>0</v>
      </c>
    </row>
    <row r="39" spans="1:16383" s="191" customFormat="1" ht="13.5">
      <c r="A39" s="252">
        <v>2.4</v>
      </c>
      <c r="B39" s="241" t="s">
        <v>130</v>
      </c>
      <c r="C39" s="228" t="s">
        <v>111</v>
      </c>
      <c r="D39" s="353" t="str">
        <f>IF(OR(j_WEEKDAY(J_ADDDAY(VLOOKUP(I39,A:F,6,FALSE),H39,1),0)=6,SUMIFS(Holieday[ok],Holieday[date],J_ADDDAY(VLOOKUP(I39,A:F,6,FALSE),H39,1)))=FALSE(),J_ADDDAY(VLOOKUP(I39,A:F,6,FALSE),H39,1),IF(OR(j_WEEKDAY(J_ADDDAY(VLOOKUP(I39,A:F,6,FALSE),H39+1,1),0)=6,SUMIFS(Holieday[ok],Holieday[date],J_ADDDAY(VLOOKUP(I39,A:F,6,FALSE),H39+1,1)))=FALSE(),J_ADDDAY(VLOOKUP(I39,A:F,6,FALSE),H39+1,1),IF(OR(j_WEEKDAY(J_ADDDAY(VLOOKUP(I39,A:F,6,FALSE),H39+2,1),0)=6,SUMIFS(Holieday[ok],Holieday[date],J_ADDDAY(VLOOKUP(I39,A:F,6,FALSE),H39+2,1)))=FALSE(),J_ADDDAY(VLOOKUP(I39,A:F,6,FALSE),H39+2,1),IF(OR(j_WEEKDAY(J_ADDDAY(VLOOKUP(I39,A:F,6,FALSE),H39+3,1),0)=6,SUMIFS(Holieday[ok],Holieday[date],J_ADDDAY(VLOOKUP(I39,A:F,6,FALSE),H39+3,1)))=FALSE(),J_ADDDAY(VLOOKUP(I39,A:F,6,FALSE),H39+3,1),IF(OR(j_WEEKDAY(J_ADDDAY(VLOOKUP(I39,A:F,6,FALSE),H39+4,1),0)=6,SUMIFS(Holieday[ok],Holieday[date],J_ADDDAY(VLOOKUP(I39,A:F,6,FALSE),H39+4,1)))=FALSE(),J_ADDDAY(VLOOKUP(I39,A:F,6,FALSE),H39+4,1),J_ADDDAY(VLOOKUP(I39,A:F,6,FALSE),H39+5,1))))))</f>
        <v>1398/07/01</v>
      </c>
      <c r="E39" s="160">
        <f t="shared" si="4"/>
        <v>13980701</v>
      </c>
      <c r="F39" s="354" t="str">
        <f>IF(N39=0,J_SUBDAY(D39,1,1),IF((N39-(NETWORKDAYS.INTL(J_GregorianDate(D39,1),J_GregorianDate(J_SUBDAY(J_ADDDAY(D39,N39,1),1,1),1),16,1)))+SUMIFS(Holieday[ok],Holieday[date],CONCATENATE("&gt;","=",D39),Holieday[date],CONCATENATE("&lt;","=",J_SUBDAY(J_ADDDAY(D39,N39,1),1,1)))-SUMIFS(Holieday[Friday],Holieday[date],CONCATENATE("&gt;","=",D39),Holieday[date],CONCATENATE("&lt;","=",J_SUBDAY(J_ADDDAY(D39,N39,1),1,1)))=0,J_SUBDAY(J_ADDDAY(D39,N39,1),1,1),IF((N39+1-(NETWORKDAYS.INTL(J_GregorianDate(D39,1),J_GregorianDate(J_SUBDAY(J_ADDDAY(D39,N39+1,1),1,1),1),16,1)))+SUMIFS(Holieday[ok],Holieday[date],CONCATENATE("&gt;","=",D39),Holieday[date],CONCATENATE("&lt;","=",J_SUBDAY(J_ADDDAY(D39,N39+1,1),1,1)))-SUMIFS(Holieday[Friday],Holieday[date],CONCATENATE("&gt;","=",D39),Holieday[date],CONCATENATE("&lt;","=",J_SUBDAY(J_ADDDAY(D39,N39+1,1),1,1)))=1,J_SUBDAY(J_ADDDAY(D39,N39+1,1),1,1),IF((N39+2-(NETWORKDAYS.INTL(J_GregorianDate(D39,1),J_GregorianDate(J_SUBDAY(J_ADDDAY(D39,N39+2,1),1,1),1),16,1)))+SUMIFS(Holieday[ok],Holieday[date],CONCATENATE("&gt;","=",D39),Holieday[date],CONCATENATE("&lt;","=",J_SUBDAY(J_ADDDAY(D39,N39+2,1),1,1)))-SUMIFS(Holieday[Friday],Holieday[date],CONCATENATE("&gt;","=",D39),Holieday[date],CONCATENATE("&lt;","=",J_SUBDAY(J_ADDDAY(D39,N39+2,1),1,1)))=2,J_SUBDAY(J_ADDDAY(D39,N39+2,1),1,1),IF((N39+3-(NETWORKDAYS.INTL(J_GregorianDate(D39,1),J_GregorianDate(J_SUBDAY(J_ADDDAY(D39,N39+3,1),1,1),1),16,1)))+SUMIFS(Holieday[ok],Holieday[date],CONCATENATE("&gt;","=",D39),Holieday[date],CONCATENATE("&lt;","=",J_SUBDAY(J_ADDDAY(D39,N39+3,1),1,1)))-SUMIFS(Holieday[Friday],Holieday[date],CONCATENATE("&gt;","=",D39),Holieday[date],CONCATENATE("&lt;","=",J_SUBDAY(J_ADDDAY(D39,N39+3,1),1,1)))=3,J_SUBDAY(J_ADDDAY(D39,N39+3,1),1,1),IF((N39+4-(NETWORKDAYS.INTL(J_GregorianDate(D39,1),J_GregorianDate(J_SUBDAY(J_ADDDAY(D39,N39+4,1),1,1),1),16,1)))+SUMIFS(Holieday[ok],Holieday[date],CONCATENATE("&gt;","=",D39),Holieday[date],CONCATENATE("&lt;","=",J_SUBDAY(J_ADDDAY(D39,N39+4,1),1,1)))-SUMIFS(Holieday[Friday],Holieday[date],CONCATENATE("&gt;","=",D39),Holieday[date],CONCATENATE("&lt;","=",J_SUBDAY(J_ADDDAY(D39,N39+4,1),1,1)))=4,J_SUBDAY(J_ADDDAY(D39,N39+4,1),1,1),IF((N39+5-(NETWORKDAYS.INTL(J_GregorianDate(D39,1),J_GregorianDate(J_SUBDAY(J_ADDDAY(D39,N39+5,1),1,1),1),16,1)))+SUMIFS(Holieday[ok],Holieday[date],CONCATENATE("&gt;","=",D39),Holieday[date],CONCATENATE("&lt;","=",J_SUBDAY(J_ADDDAY(D39,N39+5,1),1,1)))-SUMIFS(Holieday[Friday],Holieday[date],CONCATENATE("&gt;","=",D39),Holieday[date],CONCATENATE("&lt;","=",J_SUBDAY(J_ADDDAY(D39,N39+5,1),1,1)))=5,J_SUBDAY(J_ADDDAY(D39,N39+5,1),1,1),J_SUBDAY(J_ADDDAY(D39,N39+6,1),1,1))))))))</f>
        <v>1398/07/02</v>
      </c>
      <c r="G39" s="163">
        <f t="shared" si="5"/>
        <v>13980702</v>
      </c>
      <c r="H39" s="230">
        <v>1</v>
      </c>
      <c r="I39" s="231">
        <v>2.2999999999999998</v>
      </c>
      <c r="J39" s="229">
        <f>j_WEEKDAY(D39,2)</f>
        <v>2</v>
      </c>
      <c r="K39" s="173">
        <f t="shared" si="11"/>
        <v>0</v>
      </c>
      <c r="L39" s="232">
        <f t="shared" si="12"/>
        <v>2</v>
      </c>
      <c r="M39" s="233">
        <v>1</v>
      </c>
      <c r="N39" s="234">
        <v>2</v>
      </c>
      <c r="O39" s="175">
        <f t="shared" si="13"/>
        <v>2</v>
      </c>
      <c r="P39" s="175">
        <f>VALUE(J_normdate(J_ADDDAY($D39,$O39,1)))</f>
        <v>13980703</v>
      </c>
      <c r="Q39" s="171">
        <f t="shared" si="14"/>
        <v>0</v>
      </c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9"/>
      <c r="AN39" s="169"/>
      <c r="AO39" s="169"/>
      <c r="AP39" s="169"/>
      <c r="AQ39" s="169"/>
      <c r="AR39" s="169"/>
      <c r="AS39" s="169"/>
      <c r="AT39" s="169"/>
      <c r="AU39" s="169"/>
      <c r="AV39" s="169"/>
      <c r="AW39" s="169"/>
      <c r="AX39" s="169"/>
      <c r="AY39" s="169"/>
      <c r="AZ39" s="169"/>
      <c r="BA39" s="169"/>
      <c r="BB39" s="169"/>
      <c r="BC39" s="169"/>
      <c r="BD39" s="169"/>
      <c r="BE39" s="169"/>
      <c r="BF39" s="169"/>
      <c r="BG39" s="169"/>
      <c r="BH39" s="169"/>
      <c r="BI39" s="169"/>
      <c r="BJ39" s="169"/>
      <c r="BK39" s="169"/>
      <c r="BL39" s="169"/>
      <c r="BM39" s="169"/>
      <c r="BN39" s="169"/>
      <c r="BO39" s="169"/>
      <c r="BP39" s="169"/>
      <c r="BQ39" s="169"/>
      <c r="BR39" s="169"/>
      <c r="BS39" s="169"/>
      <c r="BT39" s="169"/>
      <c r="BU39" s="169"/>
      <c r="BV39" s="169"/>
      <c r="BW39" s="169"/>
      <c r="BX39" s="169"/>
      <c r="BY39" s="169"/>
      <c r="BZ39" s="169"/>
      <c r="CA39" s="169"/>
      <c r="CB39" s="169"/>
      <c r="CC39" s="169"/>
      <c r="CD39" s="169"/>
      <c r="CE39" s="169"/>
      <c r="CF39" s="169"/>
      <c r="CG39" s="169"/>
      <c r="CH39" s="169"/>
      <c r="CI39" s="169"/>
      <c r="CJ39" s="169"/>
      <c r="CK39" s="169"/>
      <c r="CL39" s="169"/>
      <c r="CM39" s="169"/>
      <c r="CN39" s="169"/>
      <c r="CO39" s="169"/>
      <c r="CP39" s="169"/>
      <c r="CQ39" s="169"/>
      <c r="CR39" s="169"/>
      <c r="CS39" s="169"/>
      <c r="CT39" s="169"/>
      <c r="CU39" s="169"/>
      <c r="CV39" s="169"/>
      <c r="CW39" s="169"/>
      <c r="CX39" s="169"/>
      <c r="CY39" s="169"/>
      <c r="CZ39" s="169"/>
      <c r="DA39" s="169"/>
      <c r="DB39" s="169"/>
      <c r="DC39" s="169"/>
      <c r="DD39" s="169"/>
      <c r="DE39" s="169"/>
      <c r="DF39" s="169"/>
      <c r="DG39" s="169"/>
      <c r="DH39" s="169"/>
      <c r="DI39" s="169"/>
      <c r="DJ39" s="169"/>
      <c r="DK39" s="169"/>
      <c r="DL39" s="169"/>
      <c r="DM39" s="169"/>
      <c r="DN39" s="169"/>
      <c r="DO39" s="169"/>
      <c r="DP39" s="169"/>
      <c r="DQ39" s="169"/>
      <c r="DR39" s="169"/>
      <c r="DS39" s="169"/>
      <c r="DT39" s="169"/>
      <c r="DU39" s="169"/>
      <c r="DV39" s="169"/>
      <c r="DW39" s="169"/>
      <c r="DX39" s="169"/>
      <c r="DY39" s="169"/>
      <c r="DZ39" s="169"/>
      <c r="EA39" s="169"/>
      <c r="EB39" s="169"/>
      <c r="EC39" s="169"/>
      <c r="ED39" s="169"/>
      <c r="EE39" s="169"/>
      <c r="EF39" s="169"/>
      <c r="EG39" s="169"/>
      <c r="EH39" s="169"/>
      <c r="EI39" s="169"/>
      <c r="EJ39" s="169"/>
      <c r="EK39" s="169"/>
      <c r="EL39" s="169"/>
      <c r="EM39" s="169"/>
      <c r="EN39" s="169"/>
      <c r="EO39" s="169"/>
      <c r="EP39" s="169"/>
      <c r="EQ39" s="169"/>
      <c r="ER39" s="169"/>
      <c r="ES39" s="169"/>
      <c r="ET39" s="169"/>
      <c r="EU39" s="169"/>
      <c r="EV39" s="169"/>
      <c r="EW39" s="169"/>
      <c r="EX39" s="169"/>
      <c r="EY39" s="169"/>
      <c r="EZ39" s="169"/>
      <c r="FA39" s="169"/>
      <c r="FB39" s="169"/>
      <c r="FC39" s="169"/>
      <c r="FD39" s="169"/>
      <c r="FE39" s="169"/>
      <c r="FF39" s="169"/>
      <c r="FG39" s="169"/>
      <c r="FH39" s="169"/>
      <c r="FI39" s="169"/>
      <c r="FJ39" s="169"/>
      <c r="FK39" s="169"/>
      <c r="FL39" s="169"/>
      <c r="FM39" s="169"/>
      <c r="FN39" s="169"/>
      <c r="FO39" s="169"/>
      <c r="FP39" s="169"/>
      <c r="FQ39" s="169"/>
      <c r="FR39" s="169"/>
      <c r="FS39" s="169"/>
      <c r="FT39" s="169"/>
      <c r="FU39" s="169"/>
      <c r="FV39" s="169"/>
      <c r="FW39" s="169"/>
      <c r="FX39" s="169"/>
      <c r="FY39" s="169"/>
      <c r="FZ39" s="169"/>
      <c r="GA39" s="169"/>
      <c r="GB39" s="169"/>
      <c r="GC39" s="169"/>
      <c r="GD39" s="169"/>
      <c r="GE39" s="169"/>
      <c r="GF39" s="169"/>
      <c r="GG39" s="169"/>
      <c r="GH39" s="169"/>
      <c r="GI39" s="169"/>
      <c r="GJ39" s="169"/>
      <c r="GK39" s="169"/>
      <c r="GL39" s="169"/>
      <c r="GM39" s="169"/>
      <c r="GN39" s="169"/>
      <c r="GO39" s="169"/>
      <c r="GP39" s="169"/>
      <c r="GQ39" s="169"/>
      <c r="GR39" s="169"/>
      <c r="GS39" s="169"/>
      <c r="GT39" s="169"/>
      <c r="GU39" s="169"/>
      <c r="GV39" s="169"/>
      <c r="GW39" s="169"/>
      <c r="GX39" s="169"/>
      <c r="GY39" s="169"/>
      <c r="GZ39" s="169"/>
      <c r="HA39" s="169"/>
      <c r="HB39" s="169"/>
      <c r="HC39" s="169"/>
      <c r="HD39" s="169"/>
      <c r="HE39" s="169"/>
      <c r="HF39" s="169"/>
      <c r="HG39" s="169"/>
      <c r="HH39" s="169"/>
      <c r="HI39" s="169"/>
      <c r="HJ39" s="169"/>
      <c r="HK39" s="169"/>
      <c r="HL39" s="169"/>
      <c r="HM39" s="169"/>
      <c r="HN39" s="169"/>
      <c r="HO39" s="169"/>
      <c r="HP39" s="169"/>
      <c r="HQ39" s="169"/>
      <c r="HR39" s="169"/>
      <c r="HS39" s="169"/>
      <c r="HT39" s="169"/>
      <c r="HU39" s="169"/>
      <c r="HV39" s="169"/>
      <c r="HW39" s="169"/>
      <c r="HX39" s="169"/>
      <c r="HY39" s="169"/>
      <c r="HZ39" s="169"/>
      <c r="IA39" s="169"/>
      <c r="IB39" s="169"/>
      <c r="IC39" s="169"/>
      <c r="ID39" s="169"/>
      <c r="IE39" s="169"/>
      <c r="IF39" s="169"/>
      <c r="IG39" s="169"/>
      <c r="IH39" s="169"/>
      <c r="II39" s="169"/>
      <c r="IJ39" s="169"/>
      <c r="IK39" s="169"/>
      <c r="IL39" s="169"/>
      <c r="IM39" s="169"/>
      <c r="IN39" s="169"/>
      <c r="IO39" s="169"/>
      <c r="IP39" s="169"/>
      <c r="IQ39" s="169"/>
      <c r="IR39" s="169"/>
      <c r="IS39" s="169"/>
      <c r="IT39" s="169"/>
      <c r="IU39" s="169"/>
      <c r="IV39" s="169"/>
      <c r="IW39" s="169"/>
      <c r="IX39" s="169"/>
      <c r="IY39" s="29">
        <v>1</v>
      </c>
      <c r="IZ39" s="40">
        <f>(TEXT(K39,"[m]")/60)*VLOOKUP(IY39,'Income Person-hours'!A$2:C$5,3,FALSE)</f>
        <v>0</v>
      </c>
      <c r="JA39" s="112"/>
      <c r="JB39" s="112"/>
      <c r="JC39" s="112"/>
      <c r="JD39" s="192">
        <f>SUM((TEXT(JA39,"[M]")/60)*'Income Person-hours'!$D$3,(TEXT(JB39,"[M]")/60)*'Income Person-hours'!$D$4,(TEXT(JC39,"[M]")/60)*'Income Person-hours'!$D$5)</f>
        <v>0</v>
      </c>
    </row>
    <row r="40" spans="1:16383" s="191" customFormat="1" ht="13.5">
      <c r="A40" s="252">
        <v>2.5</v>
      </c>
      <c r="B40" s="241" t="s">
        <v>141</v>
      </c>
      <c r="C40" s="228" t="s">
        <v>111</v>
      </c>
      <c r="D40" s="353" t="str">
        <f>IF(OR(j_WEEKDAY(J_ADDDAY(VLOOKUP(I40,A:F,6,FALSE),H40,1),0)=6,SUMIFS(Holieday[ok],Holieday[date],J_ADDDAY(VLOOKUP(I40,A:F,6,FALSE),H40,1)))=FALSE(),J_ADDDAY(VLOOKUP(I40,A:F,6,FALSE),H40,1),IF(OR(j_WEEKDAY(J_ADDDAY(VLOOKUP(I40,A:F,6,FALSE),H40+1,1),0)=6,SUMIFS(Holieday[ok],Holieday[date],J_ADDDAY(VLOOKUP(I40,A:F,6,FALSE),H40+1,1)))=FALSE(),J_ADDDAY(VLOOKUP(I40,A:F,6,FALSE),H40+1,1),IF(OR(j_WEEKDAY(J_ADDDAY(VLOOKUP(I40,A:F,6,FALSE),H40+2,1),0)=6,SUMIFS(Holieday[ok],Holieday[date],J_ADDDAY(VLOOKUP(I40,A:F,6,FALSE),H40+2,1)))=FALSE(),J_ADDDAY(VLOOKUP(I40,A:F,6,FALSE),H40+2,1),IF(OR(j_WEEKDAY(J_ADDDAY(VLOOKUP(I40,A:F,6,FALSE),H40+3,1),0)=6,SUMIFS(Holieday[ok],Holieday[date],J_ADDDAY(VLOOKUP(I40,A:F,6,FALSE),H40+3,1)))=FALSE(),J_ADDDAY(VLOOKUP(I40,A:F,6,FALSE),H40+3,1),IF(OR(j_WEEKDAY(J_ADDDAY(VLOOKUP(I40,A:F,6,FALSE),H40+4,1),0)=6,SUMIFS(Holieday[ok],Holieday[date],J_ADDDAY(VLOOKUP(I40,A:F,6,FALSE),H40+4,1)))=FALSE(),J_ADDDAY(VLOOKUP(I40,A:F,6,FALSE),H40+4,1),J_ADDDAY(VLOOKUP(I40,A:F,6,FALSE),H40+5,1))))))</f>
        <v>1398/07/03</v>
      </c>
      <c r="E40" s="160">
        <f t="shared" si="4"/>
        <v>13980703</v>
      </c>
      <c r="F40" s="354" t="str">
        <f>IF(N40=0,J_SUBDAY(D40,1,1),IF((N40-(NETWORKDAYS.INTL(J_GregorianDate(D40,1),J_GregorianDate(J_SUBDAY(J_ADDDAY(D40,N40,1),1,1),1),16,1)))+SUMIFS(Holieday[ok],Holieday[date],CONCATENATE("&gt;","=",D40),Holieday[date],CONCATENATE("&lt;","=",J_SUBDAY(J_ADDDAY(D40,N40,1),1,1)))-SUMIFS(Holieday[Friday],Holieday[date],CONCATENATE("&gt;","=",D40),Holieday[date],CONCATENATE("&lt;","=",J_SUBDAY(J_ADDDAY(D40,N40,1),1,1)))=0,J_SUBDAY(J_ADDDAY(D40,N40,1),1,1),IF((N40+1-(NETWORKDAYS.INTL(J_GregorianDate(D40,1),J_GregorianDate(J_SUBDAY(J_ADDDAY(D40,N40+1,1),1,1),1),16,1)))+SUMIFS(Holieday[ok],Holieday[date],CONCATENATE("&gt;","=",D40),Holieday[date],CONCATENATE("&lt;","=",J_SUBDAY(J_ADDDAY(D40,N40+1,1),1,1)))-SUMIFS(Holieday[Friday],Holieday[date],CONCATENATE("&gt;","=",D40),Holieday[date],CONCATENATE("&lt;","=",J_SUBDAY(J_ADDDAY(D40,N40+1,1),1,1)))=1,J_SUBDAY(J_ADDDAY(D40,N40+1,1),1,1),IF((N40+2-(NETWORKDAYS.INTL(J_GregorianDate(D40,1),J_GregorianDate(J_SUBDAY(J_ADDDAY(D40,N40+2,1),1,1),1),16,1)))+SUMIFS(Holieday[ok],Holieday[date],CONCATENATE("&gt;","=",D40),Holieday[date],CONCATENATE("&lt;","=",J_SUBDAY(J_ADDDAY(D40,N40+2,1),1,1)))-SUMIFS(Holieday[Friday],Holieday[date],CONCATENATE("&gt;","=",D40),Holieday[date],CONCATENATE("&lt;","=",J_SUBDAY(J_ADDDAY(D40,N40+2,1),1,1)))=2,J_SUBDAY(J_ADDDAY(D40,N40+2,1),1,1),IF((N40+3-(NETWORKDAYS.INTL(J_GregorianDate(D40,1),J_GregorianDate(J_SUBDAY(J_ADDDAY(D40,N40+3,1),1,1),1),16,1)))+SUMIFS(Holieday[ok],Holieday[date],CONCATENATE("&gt;","=",D40),Holieday[date],CONCATENATE("&lt;","=",J_SUBDAY(J_ADDDAY(D40,N40+3,1),1,1)))-SUMIFS(Holieday[Friday],Holieday[date],CONCATENATE("&gt;","=",D40),Holieday[date],CONCATENATE("&lt;","=",J_SUBDAY(J_ADDDAY(D40,N40+3,1),1,1)))=3,J_SUBDAY(J_ADDDAY(D40,N40+3,1),1,1),IF((N40+4-(NETWORKDAYS.INTL(J_GregorianDate(D40,1),J_GregorianDate(J_SUBDAY(J_ADDDAY(D40,N40+4,1),1,1),1),16,1)))+SUMIFS(Holieday[ok],Holieday[date],CONCATENATE("&gt;","=",D40),Holieday[date],CONCATENATE("&lt;","=",J_SUBDAY(J_ADDDAY(D40,N40+4,1),1,1)))-SUMIFS(Holieday[Friday],Holieday[date],CONCATENATE("&gt;","=",D40),Holieday[date],CONCATENATE("&lt;","=",J_SUBDAY(J_ADDDAY(D40,N40+4,1),1,1)))=4,J_SUBDAY(J_ADDDAY(D40,N40+4,1),1,1),IF((N40+5-(NETWORKDAYS.INTL(J_GregorianDate(D40,1),J_GregorianDate(J_SUBDAY(J_ADDDAY(D40,N40+5,1),1,1),1),16,1)))+SUMIFS(Holieday[ok],Holieday[date],CONCATENATE("&gt;","=",D40),Holieday[date],CONCATENATE("&lt;","=",J_SUBDAY(J_ADDDAY(D40,N40+5,1),1,1)))-SUMIFS(Holieday[Friday],Holieday[date],CONCATENATE("&gt;","=",D40),Holieday[date],CONCATENATE("&lt;","=",J_SUBDAY(J_ADDDAY(D40,N40+5,1),1,1)))=5,J_SUBDAY(J_ADDDAY(D40,N40+5,1),1,1),J_SUBDAY(J_ADDDAY(D40,N40+6,1),1,1))))))))</f>
        <v>1398/07/04</v>
      </c>
      <c r="G40" s="163">
        <f t="shared" si="5"/>
        <v>13980704</v>
      </c>
      <c r="H40" s="230">
        <v>1</v>
      </c>
      <c r="I40" s="231">
        <v>2.4</v>
      </c>
      <c r="J40" s="229">
        <f>j_WEEKDAY(D40,2)</f>
        <v>4</v>
      </c>
      <c r="K40" s="173">
        <f t="shared" si="11"/>
        <v>0</v>
      </c>
      <c r="L40" s="232">
        <f t="shared" si="12"/>
        <v>2</v>
      </c>
      <c r="M40" s="233">
        <v>1</v>
      </c>
      <c r="N40" s="234">
        <v>2</v>
      </c>
      <c r="O40" s="175">
        <f t="shared" si="13"/>
        <v>2</v>
      </c>
      <c r="P40" s="175">
        <f>VALUE(J_normdate(J_ADDDAY($D40,$O40,1)))</f>
        <v>13980705</v>
      </c>
      <c r="Q40" s="171">
        <f t="shared" si="14"/>
        <v>0</v>
      </c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69"/>
      <c r="AM40" s="169"/>
      <c r="AN40" s="169"/>
      <c r="AO40" s="169"/>
      <c r="AP40" s="169"/>
      <c r="AQ40" s="169"/>
      <c r="AR40" s="169"/>
      <c r="AS40" s="169"/>
      <c r="AT40" s="169"/>
      <c r="AU40" s="169"/>
      <c r="AV40" s="169"/>
      <c r="AW40" s="169"/>
      <c r="AX40" s="169"/>
      <c r="AY40" s="169"/>
      <c r="AZ40" s="169"/>
      <c r="BA40" s="169"/>
      <c r="BB40" s="169"/>
      <c r="BC40" s="169"/>
      <c r="BD40" s="169"/>
      <c r="BE40" s="169"/>
      <c r="BF40" s="169"/>
      <c r="BG40" s="169"/>
      <c r="BH40" s="169"/>
      <c r="BI40" s="169"/>
      <c r="BJ40" s="169"/>
      <c r="BK40" s="169"/>
      <c r="BL40" s="169"/>
      <c r="BM40" s="169"/>
      <c r="BN40" s="169"/>
      <c r="BO40" s="169"/>
      <c r="BP40" s="169"/>
      <c r="BQ40" s="169"/>
      <c r="BR40" s="169"/>
      <c r="BS40" s="169"/>
      <c r="BT40" s="169"/>
      <c r="BU40" s="169"/>
      <c r="BV40" s="169"/>
      <c r="BW40" s="169"/>
      <c r="BX40" s="169"/>
      <c r="BY40" s="169"/>
      <c r="BZ40" s="169"/>
      <c r="CA40" s="169"/>
      <c r="CB40" s="169"/>
      <c r="CC40" s="169"/>
      <c r="CD40" s="169"/>
      <c r="CE40" s="169"/>
      <c r="CF40" s="169"/>
      <c r="CG40" s="169"/>
      <c r="CH40" s="169"/>
      <c r="CI40" s="169"/>
      <c r="CJ40" s="169"/>
      <c r="CK40" s="169"/>
      <c r="CL40" s="169"/>
      <c r="CM40" s="169"/>
      <c r="CN40" s="169"/>
      <c r="CO40" s="169"/>
      <c r="CP40" s="169"/>
      <c r="CQ40" s="169"/>
      <c r="CR40" s="169"/>
      <c r="CS40" s="169"/>
      <c r="CT40" s="169"/>
      <c r="CU40" s="169"/>
      <c r="CV40" s="169"/>
      <c r="CW40" s="169"/>
      <c r="CX40" s="169"/>
      <c r="CY40" s="169"/>
      <c r="CZ40" s="169"/>
      <c r="DA40" s="169"/>
      <c r="DB40" s="169"/>
      <c r="DC40" s="169"/>
      <c r="DD40" s="169"/>
      <c r="DE40" s="169"/>
      <c r="DF40" s="169"/>
      <c r="DG40" s="169"/>
      <c r="DH40" s="169"/>
      <c r="DI40" s="169"/>
      <c r="DJ40" s="169"/>
      <c r="DK40" s="169"/>
      <c r="DL40" s="169"/>
      <c r="DM40" s="169"/>
      <c r="DN40" s="169"/>
      <c r="DO40" s="169"/>
      <c r="DP40" s="169"/>
      <c r="DQ40" s="169"/>
      <c r="DR40" s="169"/>
      <c r="DS40" s="169"/>
      <c r="DT40" s="169"/>
      <c r="DU40" s="169"/>
      <c r="DV40" s="169"/>
      <c r="DW40" s="169"/>
      <c r="DX40" s="169"/>
      <c r="DY40" s="169"/>
      <c r="DZ40" s="169"/>
      <c r="EA40" s="169"/>
      <c r="EB40" s="169"/>
      <c r="EC40" s="169"/>
      <c r="ED40" s="169"/>
      <c r="EE40" s="169"/>
      <c r="EF40" s="169"/>
      <c r="EG40" s="169"/>
      <c r="EH40" s="169"/>
      <c r="EI40" s="169"/>
      <c r="EJ40" s="169"/>
      <c r="EK40" s="169"/>
      <c r="EL40" s="169"/>
      <c r="EM40" s="169"/>
      <c r="EN40" s="169"/>
      <c r="EO40" s="169"/>
      <c r="EP40" s="169"/>
      <c r="EQ40" s="169"/>
      <c r="ER40" s="169"/>
      <c r="ES40" s="169"/>
      <c r="ET40" s="169"/>
      <c r="EU40" s="169"/>
      <c r="EV40" s="169"/>
      <c r="EW40" s="169"/>
      <c r="EX40" s="169"/>
      <c r="EY40" s="169"/>
      <c r="EZ40" s="169"/>
      <c r="FA40" s="169"/>
      <c r="FB40" s="169"/>
      <c r="FC40" s="169"/>
      <c r="FD40" s="169"/>
      <c r="FE40" s="169"/>
      <c r="FF40" s="169"/>
      <c r="FG40" s="169"/>
      <c r="FH40" s="169"/>
      <c r="FI40" s="169"/>
      <c r="FJ40" s="169"/>
      <c r="FK40" s="169"/>
      <c r="FL40" s="169"/>
      <c r="FM40" s="169"/>
      <c r="FN40" s="169"/>
      <c r="FO40" s="169"/>
      <c r="FP40" s="169"/>
      <c r="FQ40" s="169"/>
      <c r="FR40" s="169"/>
      <c r="FS40" s="169"/>
      <c r="FT40" s="169"/>
      <c r="FU40" s="169"/>
      <c r="FV40" s="169"/>
      <c r="FW40" s="169"/>
      <c r="FX40" s="169"/>
      <c r="FY40" s="169"/>
      <c r="FZ40" s="169"/>
      <c r="GA40" s="169"/>
      <c r="GB40" s="169"/>
      <c r="GC40" s="169"/>
      <c r="GD40" s="169"/>
      <c r="GE40" s="169"/>
      <c r="GF40" s="169"/>
      <c r="GG40" s="169"/>
      <c r="GH40" s="169"/>
      <c r="GI40" s="169"/>
      <c r="GJ40" s="169"/>
      <c r="GK40" s="169"/>
      <c r="GL40" s="169"/>
      <c r="GM40" s="169"/>
      <c r="GN40" s="169"/>
      <c r="GO40" s="169"/>
      <c r="GP40" s="169"/>
      <c r="GQ40" s="169"/>
      <c r="GR40" s="169"/>
      <c r="GS40" s="169"/>
      <c r="GT40" s="169"/>
      <c r="GU40" s="169"/>
      <c r="GV40" s="169"/>
      <c r="GW40" s="169"/>
      <c r="GX40" s="169"/>
      <c r="GY40" s="169"/>
      <c r="GZ40" s="169"/>
      <c r="HA40" s="169"/>
      <c r="HB40" s="169"/>
      <c r="HC40" s="169"/>
      <c r="HD40" s="169"/>
      <c r="HE40" s="169"/>
      <c r="HF40" s="169"/>
      <c r="HG40" s="169"/>
      <c r="HH40" s="169"/>
      <c r="HI40" s="169"/>
      <c r="HJ40" s="169"/>
      <c r="HK40" s="169"/>
      <c r="HL40" s="169"/>
      <c r="HM40" s="169"/>
      <c r="HN40" s="169"/>
      <c r="HO40" s="169"/>
      <c r="HP40" s="169"/>
      <c r="HQ40" s="169"/>
      <c r="HR40" s="169"/>
      <c r="HS40" s="169"/>
      <c r="HT40" s="169"/>
      <c r="HU40" s="169"/>
      <c r="HV40" s="169"/>
      <c r="HW40" s="169"/>
      <c r="HX40" s="169"/>
      <c r="HY40" s="169"/>
      <c r="HZ40" s="169"/>
      <c r="IA40" s="169"/>
      <c r="IB40" s="169"/>
      <c r="IC40" s="169"/>
      <c r="ID40" s="169"/>
      <c r="IE40" s="169"/>
      <c r="IF40" s="169"/>
      <c r="IG40" s="169"/>
      <c r="IH40" s="169"/>
      <c r="II40" s="169"/>
      <c r="IJ40" s="169"/>
      <c r="IK40" s="169"/>
      <c r="IL40" s="169"/>
      <c r="IM40" s="169"/>
      <c r="IN40" s="169"/>
      <c r="IO40" s="169"/>
      <c r="IP40" s="169"/>
      <c r="IQ40" s="169"/>
      <c r="IR40" s="169"/>
      <c r="IS40" s="169"/>
      <c r="IT40" s="169"/>
      <c r="IU40" s="169"/>
      <c r="IV40" s="169"/>
      <c r="IW40" s="169"/>
      <c r="IX40" s="169"/>
      <c r="IY40" s="29">
        <v>1</v>
      </c>
      <c r="IZ40" s="40">
        <f>(TEXT(K40,"[m]")/60)*VLOOKUP(IY40,'Income Person-hours'!A$2:C$5,3,FALSE)</f>
        <v>0</v>
      </c>
      <c r="JA40" s="112"/>
      <c r="JB40" s="112"/>
      <c r="JC40" s="112"/>
      <c r="JD40" s="192">
        <f>SUM((TEXT(JA40,"[M]")/60)*'Income Person-hours'!$D$3,(TEXT(JB40,"[M]")/60)*'Income Person-hours'!$D$4,(TEXT(JC40,"[M]")/60)*'Income Person-hours'!$D$5)</f>
        <v>0</v>
      </c>
    </row>
    <row r="41" spans="1:16383" s="191" customFormat="1" ht="13.5">
      <c r="A41" s="243">
        <v>2.6</v>
      </c>
      <c r="B41" s="241" t="s">
        <v>142</v>
      </c>
      <c r="C41" s="228" t="s">
        <v>111</v>
      </c>
      <c r="D41" s="353" t="str">
        <f>IF(OR(j_WEEKDAY(J_ADDDAY(VLOOKUP(I41,A:F,6,FALSE),H41,1),0)=6,SUMIFS(Holieday[ok],Holieday[date],J_ADDDAY(VLOOKUP(I41,A:F,6,FALSE),H41,1)))=FALSE(),J_ADDDAY(VLOOKUP(I41,A:F,6,FALSE),H41,1),IF(OR(j_WEEKDAY(J_ADDDAY(VLOOKUP(I41,A:F,6,FALSE),H41+1,1),0)=6,SUMIFS(Holieday[ok],Holieday[date],J_ADDDAY(VLOOKUP(I41,A:F,6,FALSE),H41+1,1)))=FALSE(),J_ADDDAY(VLOOKUP(I41,A:F,6,FALSE),H41+1,1),IF(OR(j_WEEKDAY(J_ADDDAY(VLOOKUP(I41,A:F,6,FALSE),H41+2,1),0)=6,SUMIFS(Holieday[ok],Holieday[date],J_ADDDAY(VLOOKUP(I41,A:F,6,FALSE),H41+2,1)))=FALSE(),J_ADDDAY(VLOOKUP(I41,A:F,6,FALSE),H41+2,1),IF(OR(j_WEEKDAY(J_ADDDAY(VLOOKUP(I41,A:F,6,FALSE),H41+3,1),0)=6,SUMIFS(Holieday[ok],Holieday[date],J_ADDDAY(VLOOKUP(I41,A:F,6,FALSE),H41+3,1)))=FALSE(),J_ADDDAY(VLOOKUP(I41,A:F,6,FALSE),H41+3,1),IF(OR(j_WEEKDAY(J_ADDDAY(VLOOKUP(I41,A:F,6,FALSE),H41+4,1),0)=6,SUMIFS(Holieday[ok],Holieday[date],J_ADDDAY(VLOOKUP(I41,A:F,6,FALSE),H41+4,1)))=FALSE(),J_ADDDAY(VLOOKUP(I41,A:F,6,FALSE),H41+4,1),J_ADDDAY(VLOOKUP(I41,A:F,6,FALSE),H41+5,1))))))</f>
        <v>1398/07/10</v>
      </c>
      <c r="E41" s="160">
        <f t="shared" si="4"/>
        <v>13980710</v>
      </c>
      <c r="F41" s="354" t="str">
        <f>IF(N41=0,J_SUBDAY(D41,1,1),IF((N41-(NETWORKDAYS.INTL(J_GregorianDate(D41,1),J_GregorianDate(J_SUBDAY(J_ADDDAY(D41,N41,1),1,1),1),16,1)))+SUMIFS(Holieday[ok],Holieday[date],CONCATENATE("&gt;","=",D41),Holieday[date],CONCATENATE("&lt;","=",J_SUBDAY(J_ADDDAY(D41,N41,1),1,1)))-SUMIFS(Holieday[Friday],Holieday[date],CONCATENATE("&gt;","=",D41),Holieday[date],CONCATENATE("&lt;","=",J_SUBDAY(J_ADDDAY(D41,N41,1),1,1)))=0,J_SUBDAY(J_ADDDAY(D41,N41,1),1,1),IF((N41+1-(NETWORKDAYS.INTL(J_GregorianDate(D41,1),J_GregorianDate(J_SUBDAY(J_ADDDAY(D41,N41+1,1),1,1),1),16,1)))+SUMIFS(Holieday[ok],Holieday[date],CONCATENATE("&gt;","=",D41),Holieday[date],CONCATENATE("&lt;","=",J_SUBDAY(J_ADDDAY(D41,N41+1,1),1,1)))-SUMIFS(Holieday[Friday],Holieday[date],CONCATENATE("&gt;","=",D41),Holieday[date],CONCATENATE("&lt;","=",J_SUBDAY(J_ADDDAY(D41,N41+1,1),1,1)))=1,J_SUBDAY(J_ADDDAY(D41,N41+1,1),1,1),IF((N41+2-(NETWORKDAYS.INTL(J_GregorianDate(D41,1),J_GregorianDate(J_SUBDAY(J_ADDDAY(D41,N41+2,1),1,1),1),16,1)))+SUMIFS(Holieday[ok],Holieday[date],CONCATENATE("&gt;","=",D41),Holieday[date],CONCATENATE("&lt;","=",J_SUBDAY(J_ADDDAY(D41,N41+2,1),1,1)))-SUMIFS(Holieday[Friday],Holieday[date],CONCATENATE("&gt;","=",D41),Holieday[date],CONCATENATE("&lt;","=",J_SUBDAY(J_ADDDAY(D41,N41+2,1),1,1)))=2,J_SUBDAY(J_ADDDAY(D41,N41+2,1),1,1),IF((N41+3-(NETWORKDAYS.INTL(J_GregorianDate(D41,1),J_GregorianDate(J_SUBDAY(J_ADDDAY(D41,N41+3,1),1,1),1),16,1)))+SUMIFS(Holieday[ok],Holieday[date],CONCATENATE("&gt;","=",D41),Holieday[date],CONCATENATE("&lt;","=",J_SUBDAY(J_ADDDAY(D41,N41+3,1),1,1)))-SUMIFS(Holieday[Friday],Holieday[date],CONCATENATE("&gt;","=",D41),Holieday[date],CONCATENATE("&lt;","=",J_SUBDAY(J_ADDDAY(D41,N41+3,1),1,1)))=3,J_SUBDAY(J_ADDDAY(D41,N41+3,1),1,1),IF((N41+4-(NETWORKDAYS.INTL(J_GregorianDate(D41,1),J_GregorianDate(J_SUBDAY(J_ADDDAY(D41,N41+4,1),1,1),1),16,1)))+SUMIFS(Holieday[ok],Holieday[date],CONCATENATE("&gt;","=",D41),Holieday[date],CONCATENATE("&lt;","=",J_SUBDAY(J_ADDDAY(D41,N41+4,1),1,1)))-SUMIFS(Holieday[Friday],Holieday[date],CONCATENATE("&gt;","=",D41),Holieday[date],CONCATENATE("&lt;","=",J_SUBDAY(J_ADDDAY(D41,N41+4,1),1,1)))=4,J_SUBDAY(J_ADDDAY(D41,N41+4,1),1,1),IF((N41+5-(NETWORKDAYS.INTL(J_GregorianDate(D41,1),J_GregorianDate(J_SUBDAY(J_ADDDAY(D41,N41+5,1),1,1),1),16,1)))+SUMIFS(Holieday[ok],Holieday[date],CONCATENATE("&gt;","=",D41),Holieday[date],CONCATENATE("&lt;","=",J_SUBDAY(J_ADDDAY(D41,N41+5,1),1,1)))-SUMIFS(Holieday[Friday],Holieday[date],CONCATENATE("&gt;","=",D41),Holieday[date],CONCATENATE("&lt;","=",J_SUBDAY(J_ADDDAY(D41,N41+5,1),1,1)))=5,J_SUBDAY(J_ADDDAY(D41,N41+5,1),1,1),J_SUBDAY(J_ADDDAY(D41,N41+6,1),1,1))))))))</f>
        <v>1398/07/10</v>
      </c>
      <c r="G41" s="163">
        <f t="shared" si="5"/>
        <v>13980710</v>
      </c>
      <c r="H41" s="230">
        <v>6</v>
      </c>
      <c r="I41" s="231">
        <v>2.5</v>
      </c>
      <c r="J41" s="229">
        <f>j_WEEKDAY(D41,2)</f>
        <v>4</v>
      </c>
      <c r="K41" s="173">
        <f t="shared" si="11"/>
        <v>0</v>
      </c>
      <c r="L41" s="232">
        <f t="shared" si="12"/>
        <v>1</v>
      </c>
      <c r="M41" s="233">
        <v>1</v>
      </c>
      <c r="N41" s="234">
        <v>1</v>
      </c>
      <c r="O41" s="175">
        <f t="shared" si="13"/>
        <v>1</v>
      </c>
      <c r="P41" s="175">
        <f>VALUE(J_normdate(J_ADDDAY($D41,$O41,1)))</f>
        <v>13980711</v>
      </c>
      <c r="Q41" s="171">
        <f t="shared" si="14"/>
        <v>0</v>
      </c>
      <c r="R41" s="169"/>
      <c r="S41" s="169"/>
      <c r="T41" s="169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69"/>
      <c r="AM41" s="169"/>
      <c r="AN41" s="169"/>
      <c r="AO41" s="169"/>
      <c r="AP41" s="169"/>
      <c r="AQ41" s="169"/>
      <c r="AR41" s="169"/>
      <c r="AS41" s="169"/>
      <c r="AT41" s="169"/>
      <c r="AU41" s="169"/>
      <c r="AV41" s="169"/>
      <c r="AW41" s="169"/>
      <c r="AX41" s="169"/>
      <c r="AY41" s="169"/>
      <c r="AZ41" s="169"/>
      <c r="BA41" s="169"/>
      <c r="BB41" s="169"/>
      <c r="BC41" s="169"/>
      <c r="BD41" s="169"/>
      <c r="BE41" s="169"/>
      <c r="BF41" s="169"/>
      <c r="BG41" s="169"/>
      <c r="BH41" s="169"/>
      <c r="BI41" s="169"/>
      <c r="BJ41" s="169"/>
      <c r="BK41" s="169"/>
      <c r="BL41" s="169"/>
      <c r="BM41" s="169"/>
      <c r="BN41" s="169"/>
      <c r="BO41" s="169"/>
      <c r="BP41" s="169"/>
      <c r="BQ41" s="169"/>
      <c r="BR41" s="169"/>
      <c r="BS41" s="169"/>
      <c r="BT41" s="169"/>
      <c r="BU41" s="169"/>
      <c r="BV41" s="169"/>
      <c r="BW41" s="169"/>
      <c r="BX41" s="169"/>
      <c r="BY41" s="169"/>
      <c r="BZ41" s="169"/>
      <c r="CA41" s="169"/>
      <c r="CB41" s="169"/>
      <c r="CC41" s="169"/>
      <c r="CD41" s="169"/>
      <c r="CE41" s="169"/>
      <c r="CF41" s="169"/>
      <c r="CG41" s="169"/>
      <c r="CH41" s="169"/>
      <c r="CI41" s="169"/>
      <c r="CJ41" s="169"/>
      <c r="CK41" s="169"/>
      <c r="CL41" s="169"/>
      <c r="CM41" s="169"/>
      <c r="CN41" s="169"/>
      <c r="CO41" s="169"/>
      <c r="CP41" s="169"/>
      <c r="CQ41" s="169"/>
      <c r="CR41" s="169"/>
      <c r="CS41" s="169"/>
      <c r="CT41" s="169"/>
      <c r="CU41" s="169"/>
      <c r="CV41" s="169"/>
      <c r="CW41" s="169"/>
      <c r="CX41" s="169"/>
      <c r="CY41" s="169"/>
      <c r="CZ41" s="169"/>
      <c r="DA41" s="169"/>
      <c r="DB41" s="169"/>
      <c r="DC41" s="169"/>
      <c r="DD41" s="169"/>
      <c r="DE41" s="169"/>
      <c r="DF41" s="169"/>
      <c r="DG41" s="169"/>
      <c r="DH41" s="169"/>
      <c r="DI41" s="169"/>
      <c r="DJ41" s="169"/>
      <c r="DK41" s="169"/>
      <c r="DL41" s="169"/>
      <c r="DM41" s="169"/>
      <c r="DN41" s="169"/>
      <c r="DO41" s="169"/>
      <c r="DP41" s="169"/>
      <c r="DQ41" s="169"/>
      <c r="DR41" s="169"/>
      <c r="DS41" s="169"/>
      <c r="DT41" s="169"/>
      <c r="DU41" s="169"/>
      <c r="DV41" s="169"/>
      <c r="DW41" s="169"/>
      <c r="DX41" s="169"/>
      <c r="DY41" s="169"/>
      <c r="DZ41" s="169"/>
      <c r="EA41" s="169"/>
      <c r="EB41" s="169"/>
      <c r="EC41" s="169"/>
      <c r="ED41" s="169"/>
      <c r="EE41" s="169"/>
      <c r="EF41" s="169"/>
      <c r="EG41" s="169"/>
      <c r="EH41" s="169"/>
      <c r="EI41" s="169"/>
      <c r="EJ41" s="169"/>
      <c r="EK41" s="169"/>
      <c r="EL41" s="169"/>
      <c r="EM41" s="169"/>
      <c r="EN41" s="169"/>
      <c r="EO41" s="169"/>
      <c r="EP41" s="169"/>
      <c r="EQ41" s="169"/>
      <c r="ER41" s="169"/>
      <c r="ES41" s="169"/>
      <c r="ET41" s="169"/>
      <c r="EU41" s="169"/>
      <c r="EV41" s="169"/>
      <c r="EW41" s="169"/>
      <c r="EX41" s="169"/>
      <c r="EY41" s="169"/>
      <c r="EZ41" s="169"/>
      <c r="FA41" s="169"/>
      <c r="FB41" s="169"/>
      <c r="FC41" s="169"/>
      <c r="FD41" s="169"/>
      <c r="FE41" s="169"/>
      <c r="FF41" s="169"/>
      <c r="FG41" s="169"/>
      <c r="FH41" s="169"/>
      <c r="FI41" s="169"/>
      <c r="FJ41" s="169"/>
      <c r="FK41" s="169"/>
      <c r="FL41" s="169"/>
      <c r="FM41" s="169"/>
      <c r="FN41" s="169"/>
      <c r="FO41" s="169"/>
      <c r="FP41" s="169"/>
      <c r="FQ41" s="169"/>
      <c r="FR41" s="169"/>
      <c r="FS41" s="169"/>
      <c r="FT41" s="169"/>
      <c r="FU41" s="169"/>
      <c r="FV41" s="169"/>
      <c r="FW41" s="169"/>
      <c r="FX41" s="169"/>
      <c r="FY41" s="169"/>
      <c r="FZ41" s="169"/>
      <c r="GA41" s="169"/>
      <c r="GB41" s="169"/>
      <c r="GC41" s="169"/>
      <c r="GD41" s="169"/>
      <c r="GE41" s="169"/>
      <c r="GF41" s="169"/>
      <c r="GG41" s="169"/>
      <c r="GH41" s="169"/>
      <c r="GI41" s="169"/>
      <c r="GJ41" s="169"/>
      <c r="GK41" s="169"/>
      <c r="GL41" s="169"/>
      <c r="GM41" s="169"/>
      <c r="GN41" s="169"/>
      <c r="GO41" s="169"/>
      <c r="GP41" s="169"/>
      <c r="GQ41" s="169"/>
      <c r="GR41" s="169"/>
      <c r="GS41" s="169"/>
      <c r="GT41" s="169"/>
      <c r="GU41" s="169"/>
      <c r="GV41" s="169"/>
      <c r="GW41" s="169"/>
      <c r="GX41" s="169"/>
      <c r="GY41" s="169"/>
      <c r="GZ41" s="169"/>
      <c r="HA41" s="169"/>
      <c r="HB41" s="169"/>
      <c r="HC41" s="169"/>
      <c r="HD41" s="169"/>
      <c r="HE41" s="169"/>
      <c r="HF41" s="169"/>
      <c r="HG41" s="169"/>
      <c r="HH41" s="169"/>
      <c r="HI41" s="169"/>
      <c r="HJ41" s="169"/>
      <c r="HK41" s="169"/>
      <c r="HL41" s="169"/>
      <c r="HM41" s="169"/>
      <c r="HN41" s="169"/>
      <c r="HO41" s="169"/>
      <c r="HP41" s="169"/>
      <c r="HQ41" s="169"/>
      <c r="HR41" s="169"/>
      <c r="HS41" s="169"/>
      <c r="HT41" s="169"/>
      <c r="HU41" s="169"/>
      <c r="HV41" s="169"/>
      <c r="HW41" s="169"/>
      <c r="HX41" s="169"/>
      <c r="HY41" s="169"/>
      <c r="HZ41" s="169"/>
      <c r="IA41" s="169"/>
      <c r="IB41" s="169"/>
      <c r="IC41" s="169"/>
      <c r="ID41" s="169"/>
      <c r="IE41" s="169"/>
      <c r="IF41" s="169"/>
      <c r="IG41" s="169"/>
      <c r="IH41" s="169"/>
      <c r="II41" s="169"/>
      <c r="IJ41" s="169"/>
      <c r="IK41" s="169"/>
      <c r="IL41" s="169"/>
      <c r="IM41" s="169"/>
      <c r="IN41" s="169"/>
      <c r="IO41" s="169"/>
      <c r="IP41" s="169"/>
      <c r="IQ41" s="169"/>
      <c r="IR41" s="169"/>
      <c r="IS41" s="169"/>
      <c r="IT41" s="169"/>
      <c r="IU41" s="169"/>
      <c r="IV41" s="169"/>
      <c r="IW41" s="169"/>
      <c r="IX41" s="169"/>
      <c r="IY41" s="29">
        <v>1</v>
      </c>
      <c r="IZ41" s="33">
        <f>(TEXT(K41,"[m]")/60)*VLOOKUP(IY41,'Income Person-hours'!A$2:C$5,3,FALSE)</f>
        <v>0</v>
      </c>
      <c r="JA41" s="112"/>
      <c r="JB41" s="112"/>
      <c r="JC41" s="112"/>
      <c r="JD41" s="192">
        <f>SUM((TEXT(JA41,"[M]")/60)*'Income Person-hours'!$D$3,(TEXT(JB41,"[M]")/60)*'Income Person-hours'!$D$4,(TEXT(JC41,"[M]")/60)*'Income Person-hours'!$D$5)</f>
        <v>0</v>
      </c>
    </row>
    <row r="42" spans="1:16383" s="11" customFormat="1" ht="13.5">
      <c r="A42" s="252">
        <v>2.7</v>
      </c>
      <c r="B42" s="241" t="s">
        <v>144</v>
      </c>
      <c r="C42" s="228" t="s">
        <v>110</v>
      </c>
      <c r="D42" s="396" t="str">
        <f>IF(OR(j_WEEKDAY(J_ADDDAY(VLOOKUP(I42,A:F,6,FALSE),H42,1),0)=6,SUMIFS(Holieday[ok],Holieday[date],J_ADDDAY(VLOOKUP(I42,A:F,6,FALSE),H42,1)))=FALSE(),J_ADDDAY(VLOOKUP(I42,A:F,6,FALSE),H42,1),IF(OR(j_WEEKDAY(J_ADDDAY(VLOOKUP(I42,A:F,6,FALSE),H42+1,1),0)=6,SUMIFS(Holieday[ok],Holieday[date],J_ADDDAY(VLOOKUP(I42,A:F,6,FALSE),H42+1,1)))=FALSE(),J_ADDDAY(VLOOKUP(I42,A:F,6,FALSE),H42+1,1),IF(OR(j_WEEKDAY(J_ADDDAY(VLOOKUP(I42,A:F,6,FALSE),H42+2,1),0)=6,SUMIFS(Holieday[ok],Holieday[date],J_ADDDAY(VLOOKUP(I42,A:F,6,FALSE),H42+2,1)))=FALSE(),J_ADDDAY(VLOOKUP(I42,A:F,6,FALSE),H42+2,1),IF(OR(j_WEEKDAY(J_ADDDAY(VLOOKUP(I42,A:F,6,FALSE),H42+3,1),0)=6,SUMIFS(Holieday[ok],Holieday[date],J_ADDDAY(VLOOKUP(I42,A:F,6,FALSE),H42+3,1)))=FALSE(),J_ADDDAY(VLOOKUP(I42,A:F,6,FALSE),H42+3,1),IF(OR(j_WEEKDAY(J_ADDDAY(VLOOKUP(I42,A:F,6,FALSE),H42+4,1),0)=6,SUMIFS(Holieday[ok],Holieday[date],J_ADDDAY(VLOOKUP(I42,A:F,6,FALSE),H42+4,1)))=FALSE(),J_ADDDAY(VLOOKUP(I42,A:F,6,FALSE),H42+4,1),J_ADDDAY(VLOOKUP(I42,A:F,6,FALSE),H42+5,1))))))</f>
        <v>1398/07/06</v>
      </c>
      <c r="E42" s="1">
        <f t="shared" si="4"/>
        <v>13980706</v>
      </c>
      <c r="F42" s="357" t="str">
        <f>IF(N42=0,J_SUBDAY(D42,1,1),IF((N42-(NETWORKDAYS.INTL(J_GregorianDate(D42,1),J_GregorianDate(J_SUBDAY(J_ADDDAY(D42,N42,1),1,1),1),16,1)))+SUMIFS(Holieday[ok],Holieday[date],CONCATENATE("&gt;","=",D42),Holieday[date],CONCATENATE("&lt;","=",J_SUBDAY(J_ADDDAY(D42,N42,1),1,1)))-SUMIFS(Holieday[Friday],Holieday[date],CONCATENATE("&gt;","=",D42),Holieday[date],CONCATENATE("&lt;","=",J_SUBDAY(J_ADDDAY(D42,N42,1),1,1)))=0,J_SUBDAY(J_ADDDAY(D42,N42,1),1,1),IF((N42+1-(NETWORKDAYS.INTL(J_GregorianDate(D42,1),J_GregorianDate(J_SUBDAY(J_ADDDAY(D42,N42+1,1),1,1),1),16,1)))+SUMIFS(Holieday[ok],Holieday[date],CONCATENATE("&gt;","=",D42),Holieday[date],CONCATENATE("&lt;","=",J_SUBDAY(J_ADDDAY(D42,N42+1,1),1,1)))-SUMIFS(Holieday[Friday],Holieday[date],CONCATENATE("&gt;","=",D42),Holieday[date],CONCATENATE("&lt;","=",J_SUBDAY(J_ADDDAY(D42,N42+1,1),1,1)))=1,J_SUBDAY(J_ADDDAY(D42,N42+1,1),1,1),IF((N42+2-(NETWORKDAYS.INTL(J_GregorianDate(D42,1),J_GregorianDate(J_SUBDAY(J_ADDDAY(D42,N42+2,1),1,1),1),16,1)))+SUMIFS(Holieday[ok],Holieday[date],CONCATENATE("&gt;","=",D42),Holieday[date],CONCATENATE("&lt;","=",J_SUBDAY(J_ADDDAY(D42,N42+2,1),1,1)))-SUMIFS(Holieday[Friday],Holieday[date],CONCATENATE("&gt;","=",D42),Holieday[date],CONCATENATE("&lt;","=",J_SUBDAY(J_ADDDAY(D42,N42+2,1),1,1)))=2,J_SUBDAY(J_ADDDAY(D42,N42+2,1),1,1),IF((N42+3-(NETWORKDAYS.INTL(J_GregorianDate(D42,1),J_GregorianDate(J_SUBDAY(J_ADDDAY(D42,N42+3,1),1,1),1),16,1)))+SUMIFS(Holieday[ok],Holieday[date],CONCATENATE("&gt;","=",D42),Holieday[date],CONCATENATE("&lt;","=",J_SUBDAY(J_ADDDAY(D42,N42+3,1),1,1)))-SUMIFS(Holieday[Friday],Holieday[date],CONCATENATE("&gt;","=",D42),Holieday[date],CONCATENATE("&lt;","=",J_SUBDAY(J_ADDDAY(D42,N42+3,1),1,1)))=3,J_SUBDAY(J_ADDDAY(D42,N42+3,1),1,1),IF((N42+4-(NETWORKDAYS.INTL(J_GregorianDate(D42,1),J_GregorianDate(J_SUBDAY(J_ADDDAY(D42,N42+4,1),1,1),1),16,1)))+SUMIFS(Holieday[ok],Holieday[date],CONCATENATE("&gt;","=",D42),Holieday[date],CONCATENATE("&lt;","=",J_SUBDAY(J_ADDDAY(D42,N42+4,1),1,1)))-SUMIFS(Holieday[Friday],Holieday[date],CONCATENATE("&gt;","=",D42),Holieday[date],CONCATENATE("&lt;","=",J_SUBDAY(J_ADDDAY(D42,N42+4,1),1,1)))=4,J_SUBDAY(J_ADDDAY(D42,N42+4,1),1,1),IF((N42+5-(NETWORKDAYS.INTL(J_GregorianDate(D42,1),J_GregorianDate(J_SUBDAY(J_ADDDAY(D42,N42+5,1),1,1),1),16,1)))+SUMIFS(Holieday[ok],Holieday[date],CONCATENATE("&gt;","=",D42),Holieday[date],CONCATENATE("&lt;","=",J_SUBDAY(J_ADDDAY(D42,N42+5,1),1,1)))-SUMIFS(Holieday[Friday],Holieday[date],CONCATENATE("&gt;","=",D42),Holieday[date],CONCATENATE("&lt;","=",J_SUBDAY(J_ADDDAY(D42,N42+5,1),1,1)))=5,J_SUBDAY(J_ADDDAY(D42,N42+5,1),1,1),J_SUBDAY(J_ADDDAY(D42,N42+6,1),1,1))))))))</f>
        <v>1398/07/06</v>
      </c>
      <c r="G42" s="2">
        <f t="shared" si="5"/>
        <v>13980706</v>
      </c>
      <c r="H42" s="230">
        <v>1</v>
      </c>
      <c r="I42" s="231">
        <v>2.5</v>
      </c>
      <c r="J42" s="245">
        <f>j_WEEKDAY(D42,2)</f>
        <v>0</v>
      </c>
      <c r="K42" s="21">
        <f t="shared" si="11"/>
        <v>0</v>
      </c>
      <c r="L42" s="246">
        <f t="shared" si="12"/>
        <v>1</v>
      </c>
      <c r="M42" s="233">
        <v>1</v>
      </c>
      <c r="N42" s="234">
        <v>1</v>
      </c>
      <c r="O42" s="10">
        <f t="shared" si="13"/>
        <v>1</v>
      </c>
      <c r="P42" s="10">
        <f>VALUE(J_normdate(J_ADDDAY($D42,$O42,1)))</f>
        <v>13980707</v>
      </c>
      <c r="Q42" s="9">
        <f t="shared" si="14"/>
        <v>0</v>
      </c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29">
        <v>1</v>
      </c>
      <c r="IZ42" s="33">
        <f>(TEXT(K42,"[m]")/60)*VLOOKUP(IY42,'Income Person-hours'!A$2:C$5,3,FALSE)</f>
        <v>0</v>
      </c>
      <c r="JA42" s="112"/>
      <c r="JB42" s="112"/>
      <c r="JC42" s="112"/>
      <c r="JD42" s="66">
        <f>SUM((TEXT(JA42,"[M]")/60)*'Income Person-hours'!$D$3,(TEXT(JB42,"[M]")/60)*'Income Person-hours'!$D$4,(TEXT(JC42,"[M]")/60)*'Income Person-hours'!$D$5)</f>
        <v>0</v>
      </c>
    </row>
    <row r="43" spans="1:16383" s="11" customFormat="1" ht="13.5">
      <c r="A43" s="252">
        <v>2.8</v>
      </c>
      <c r="B43" s="241" t="s">
        <v>143</v>
      </c>
      <c r="C43" s="228" t="s">
        <v>79</v>
      </c>
      <c r="D43" s="396" t="str">
        <f>IF(OR(j_WEEKDAY(J_ADDDAY(VLOOKUP(I43,A:F,6,FALSE),H43,1),0)=6,SUMIFS(Holieday[ok],Holieday[date],J_ADDDAY(VLOOKUP(I43,A:F,6,FALSE),H43,1)))=FALSE(),J_ADDDAY(VLOOKUP(I43,A:F,6,FALSE),H43,1),IF(OR(j_WEEKDAY(J_ADDDAY(VLOOKUP(I43,A:F,6,FALSE),H43+1,1),0)=6,SUMIFS(Holieday[ok],Holieday[date],J_ADDDAY(VLOOKUP(I43,A:F,6,FALSE),H43+1,1)))=FALSE(),J_ADDDAY(VLOOKUP(I43,A:F,6,FALSE),H43+1,1),IF(OR(j_WEEKDAY(J_ADDDAY(VLOOKUP(I43,A:F,6,FALSE),H43+2,1),0)=6,SUMIFS(Holieday[ok],Holieday[date],J_ADDDAY(VLOOKUP(I43,A:F,6,FALSE),H43+2,1)))=FALSE(),J_ADDDAY(VLOOKUP(I43,A:F,6,FALSE),H43+2,1),IF(OR(j_WEEKDAY(J_ADDDAY(VLOOKUP(I43,A:F,6,FALSE),H43+3,1),0)=6,SUMIFS(Holieday[ok],Holieday[date],J_ADDDAY(VLOOKUP(I43,A:F,6,FALSE),H43+3,1)))=FALSE(),J_ADDDAY(VLOOKUP(I43,A:F,6,FALSE),H43+3,1),IF(OR(j_WEEKDAY(J_ADDDAY(VLOOKUP(I43,A:F,6,FALSE),H43+4,1),0)=6,SUMIFS(Holieday[ok],Holieday[date],J_ADDDAY(VLOOKUP(I43,A:F,6,FALSE),H43+4,1)))=FALSE(),J_ADDDAY(VLOOKUP(I43,A:F,6,FALSE),H43+4,1),J_ADDDAY(VLOOKUP(I43,A:F,6,FALSE),H43+5,1))))))</f>
        <v>1398/07/10</v>
      </c>
      <c r="E43" s="1">
        <f t="shared" si="4"/>
        <v>13980710</v>
      </c>
      <c r="F43" s="357" t="str">
        <f>IF(N43=0,J_SUBDAY(D43,1,1),IF((N43-(NETWORKDAYS.INTL(J_GregorianDate(D43,1),J_GregorianDate(J_SUBDAY(J_ADDDAY(D43,N43,1),1,1),1),16,1)))+SUMIFS(Holieday[ok],Holieday[date],CONCATENATE("&gt;","=",D43),Holieday[date],CONCATENATE("&lt;","=",J_SUBDAY(J_ADDDAY(D43,N43,1),1,1)))-SUMIFS(Holieday[Friday],Holieday[date],CONCATENATE("&gt;","=",D43),Holieday[date],CONCATENATE("&lt;","=",J_SUBDAY(J_ADDDAY(D43,N43,1),1,1)))=0,J_SUBDAY(J_ADDDAY(D43,N43,1),1,1),IF((N43+1-(NETWORKDAYS.INTL(J_GregorianDate(D43,1),J_GregorianDate(J_SUBDAY(J_ADDDAY(D43,N43+1,1),1,1),1),16,1)))+SUMIFS(Holieday[ok],Holieday[date],CONCATENATE("&gt;","=",D43),Holieday[date],CONCATENATE("&lt;","=",J_SUBDAY(J_ADDDAY(D43,N43+1,1),1,1)))-SUMIFS(Holieday[Friday],Holieday[date],CONCATENATE("&gt;","=",D43),Holieday[date],CONCATENATE("&lt;","=",J_SUBDAY(J_ADDDAY(D43,N43+1,1),1,1)))=1,J_SUBDAY(J_ADDDAY(D43,N43+1,1),1,1),IF((N43+2-(NETWORKDAYS.INTL(J_GregorianDate(D43,1),J_GregorianDate(J_SUBDAY(J_ADDDAY(D43,N43+2,1),1,1),1),16,1)))+SUMIFS(Holieday[ok],Holieday[date],CONCATENATE("&gt;","=",D43),Holieday[date],CONCATENATE("&lt;","=",J_SUBDAY(J_ADDDAY(D43,N43+2,1),1,1)))-SUMIFS(Holieday[Friday],Holieday[date],CONCATENATE("&gt;","=",D43),Holieday[date],CONCATENATE("&lt;","=",J_SUBDAY(J_ADDDAY(D43,N43+2,1),1,1)))=2,J_SUBDAY(J_ADDDAY(D43,N43+2,1),1,1),IF((N43+3-(NETWORKDAYS.INTL(J_GregorianDate(D43,1),J_GregorianDate(J_SUBDAY(J_ADDDAY(D43,N43+3,1),1,1),1),16,1)))+SUMIFS(Holieday[ok],Holieday[date],CONCATENATE("&gt;","=",D43),Holieday[date],CONCATENATE("&lt;","=",J_SUBDAY(J_ADDDAY(D43,N43+3,1),1,1)))-SUMIFS(Holieday[Friday],Holieday[date],CONCATENATE("&gt;","=",D43),Holieday[date],CONCATENATE("&lt;","=",J_SUBDAY(J_ADDDAY(D43,N43+3,1),1,1)))=3,J_SUBDAY(J_ADDDAY(D43,N43+3,1),1,1),IF((N43+4-(NETWORKDAYS.INTL(J_GregorianDate(D43,1),J_GregorianDate(J_SUBDAY(J_ADDDAY(D43,N43+4,1),1,1),1),16,1)))+SUMIFS(Holieday[ok],Holieday[date],CONCATENATE("&gt;","=",D43),Holieday[date],CONCATENATE("&lt;","=",J_SUBDAY(J_ADDDAY(D43,N43+4,1),1,1)))-SUMIFS(Holieday[Friday],Holieday[date],CONCATENATE("&gt;","=",D43),Holieday[date],CONCATENATE("&lt;","=",J_SUBDAY(J_ADDDAY(D43,N43+4,1),1,1)))=4,J_SUBDAY(J_ADDDAY(D43,N43+4,1),1,1),IF((N43+5-(NETWORKDAYS.INTL(J_GregorianDate(D43,1),J_GregorianDate(J_SUBDAY(J_ADDDAY(D43,N43+5,1),1,1),1),16,1)))+SUMIFS(Holieday[ok],Holieday[date],CONCATENATE("&gt;","=",D43),Holieday[date],CONCATENATE("&lt;","=",J_SUBDAY(J_ADDDAY(D43,N43+5,1),1,1)))-SUMIFS(Holieday[Friday],Holieday[date],CONCATENATE("&gt;","=",D43),Holieday[date],CONCATENATE("&lt;","=",J_SUBDAY(J_ADDDAY(D43,N43+5,1),1,1)))=5,J_SUBDAY(J_ADDDAY(D43,N43+5,1),1,1),J_SUBDAY(J_ADDDAY(D43,N43+6,1),1,1))))))))</f>
        <v>1398/09/10</v>
      </c>
      <c r="G43" s="2">
        <f t="shared" si="5"/>
        <v>13980910</v>
      </c>
      <c r="H43" s="230"/>
      <c r="I43" s="231">
        <v>2.6</v>
      </c>
      <c r="J43" s="245">
        <f>j_WEEKDAY(D43,2)</f>
        <v>4</v>
      </c>
      <c r="K43" s="21">
        <f t="shared" si="11"/>
        <v>0</v>
      </c>
      <c r="L43" s="246">
        <f t="shared" si="12"/>
        <v>61</v>
      </c>
      <c r="M43" s="233">
        <v>0</v>
      </c>
      <c r="N43" s="234">
        <v>55</v>
      </c>
      <c r="O43" s="10">
        <f t="shared" si="13"/>
        <v>0</v>
      </c>
      <c r="P43" s="10">
        <f>VALUE(J_normdate(J_ADDDAY($D43,$O43,1)))</f>
        <v>13980710</v>
      </c>
      <c r="Q43" s="9">
        <f t="shared" si="14"/>
        <v>61</v>
      </c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29">
        <v>1</v>
      </c>
      <c r="IZ43" s="33">
        <f>(TEXT(K43,"[m]")/60)*VLOOKUP(IY43,'Income Person-hours'!A$2:C$5,3,FALSE)</f>
        <v>0</v>
      </c>
      <c r="JA43" s="112"/>
      <c r="JB43" s="112"/>
      <c r="JC43" s="112"/>
      <c r="JD43" s="66">
        <f>SUM((TEXT(JA43,"[M]")/60)*'Income Person-hours'!$D$3,(TEXT(JB43,"[M]")/60)*'Income Person-hours'!$D$4,(TEXT(JC43,"[M]")/60)*'Income Person-hours'!$D$5)</f>
        <v>0</v>
      </c>
    </row>
    <row r="44" spans="1:16383" s="11" customFormat="1" ht="13.5">
      <c r="A44" s="252">
        <v>2.9</v>
      </c>
      <c r="B44" s="241" t="s">
        <v>152</v>
      </c>
      <c r="C44" s="228" t="s">
        <v>110</v>
      </c>
      <c r="D44" s="396" t="str">
        <f>IF(OR(j_WEEKDAY(J_ADDDAY(VLOOKUP(I44,A:F,6,FALSE),H44,1),0)=6,SUMIFS(Holieday[ok],Holieday[date],J_ADDDAY(VLOOKUP(I44,A:F,6,FALSE),H44,1)))=FALSE(),J_ADDDAY(VLOOKUP(I44,A:F,6,FALSE),H44,1),IF(OR(j_WEEKDAY(J_ADDDAY(VLOOKUP(I44,A:F,6,FALSE),H44+1,1),0)=6,SUMIFS(Holieday[ok],Holieday[date],J_ADDDAY(VLOOKUP(I44,A:F,6,FALSE),H44+1,1)))=FALSE(),J_ADDDAY(VLOOKUP(I44,A:F,6,FALSE),H44+1,1),IF(OR(j_WEEKDAY(J_ADDDAY(VLOOKUP(I44,A:F,6,FALSE),H44+2,1),0)=6,SUMIFS(Holieday[ok],Holieday[date],J_ADDDAY(VLOOKUP(I44,A:F,6,FALSE),H44+2,1)))=FALSE(),J_ADDDAY(VLOOKUP(I44,A:F,6,FALSE),H44+2,1),IF(OR(j_WEEKDAY(J_ADDDAY(VLOOKUP(I44,A:F,6,FALSE),H44+3,1),0)=6,SUMIFS(Holieday[ok],Holieday[date],J_ADDDAY(VLOOKUP(I44,A:F,6,FALSE),H44+3,1)))=FALSE(),J_ADDDAY(VLOOKUP(I44,A:F,6,FALSE),H44+3,1),IF(OR(j_WEEKDAY(J_ADDDAY(VLOOKUP(I44,A:F,6,FALSE),H44+4,1),0)=6,SUMIFS(Holieday[ok],Holieday[date],J_ADDDAY(VLOOKUP(I44,A:F,6,FALSE),H44+4,1)))=FALSE(),J_ADDDAY(VLOOKUP(I44,A:F,6,FALSE),H44+4,1),J_ADDDAY(VLOOKUP(I44,A:F,6,FALSE),H44+5,1))))))</f>
        <v>1398/10/01</v>
      </c>
      <c r="E44" s="1">
        <f t="shared" ref="E44:E72" si="15">VALUE(J_normdate(D44))</f>
        <v>13981001</v>
      </c>
      <c r="F44" s="357" t="str">
        <f>IF(N44=0,J_SUBDAY(D44,1,1),IF((N44-(NETWORKDAYS.INTL(J_GregorianDate(D44,1),J_GregorianDate(J_SUBDAY(J_ADDDAY(D44,N44,1),1,1),1),16,1)))+SUMIFS(Holieday[ok],Holieday[date],CONCATENATE("&gt;","=",D44),Holieday[date],CONCATENATE("&lt;","=",J_SUBDAY(J_ADDDAY(D44,N44,1),1,1)))-SUMIFS(Holieday[Friday],Holieday[date],CONCATENATE("&gt;","=",D44),Holieday[date],CONCATENATE("&lt;","=",J_SUBDAY(J_ADDDAY(D44,N44,1),1,1)))=0,J_SUBDAY(J_ADDDAY(D44,N44,1),1,1),IF((N44+1-(NETWORKDAYS.INTL(J_GregorianDate(D44,1),J_GregorianDate(J_SUBDAY(J_ADDDAY(D44,N44+1,1),1,1),1),16,1)))+SUMIFS(Holieday[ok],Holieday[date],CONCATENATE("&gt;","=",D44),Holieday[date],CONCATENATE("&lt;","=",J_SUBDAY(J_ADDDAY(D44,N44+1,1),1,1)))-SUMIFS(Holieday[Friday],Holieday[date],CONCATENATE("&gt;","=",D44),Holieday[date],CONCATENATE("&lt;","=",J_SUBDAY(J_ADDDAY(D44,N44+1,1),1,1)))=1,J_SUBDAY(J_ADDDAY(D44,N44+1,1),1,1),IF((N44+2-(NETWORKDAYS.INTL(J_GregorianDate(D44,1),J_GregorianDate(J_SUBDAY(J_ADDDAY(D44,N44+2,1),1,1),1),16,1)))+SUMIFS(Holieday[ok],Holieday[date],CONCATENATE("&gt;","=",D44),Holieday[date],CONCATENATE("&lt;","=",J_SUBDAY(J_ADDDAY(D44,N44+2,1),1,1)))-SUMIFS(Holieday[Friday],Holieday[date],CONCATENATE("&gt;","=",D44),Holieday[date],CONCATENATE("&lt;","=",J_SUBDAY(J_ADDDAY(D44,N44+2,1),1,1)))=2,J_SUBDAY(J_ADDDAY(D44,N44+2,1),1,1),IF((N44+3-(NETWORKDAYS.INTL(J_GregorianDate(D44,1),J_GregorianDate(J_SUBDAY(J_ADDDAY(D44,N44+3,1),1,1),1),16,1)))+SUMIFS(Holieday[ok],Holieday[date],CONCATENATE("&gt;","=",D44),Holieday[date],CONCATENATE("&lt;","=",J_SUBDAY(J_ADDDAY(D44,N44+3,1),1,1)))-SUMIFS(Holieday[Friday],Holieday[date],CONCATENATE("&gt;","=",D44),Holieday[date],CONCATENATE("&lt;","=",J_SUBDAY(J_ADDDAY(D44,N44+3,1),1,1)))=3,J_SUBDAY(J_ADDDAY(D44,N44+3,1),1,1),IF((N44+4-(NETWORKDAYS.INTL(J_GregorianDate(D44,1),J_GregorianDate(J_SUBDAY(J_ADDDAY(D44,N44+4,1),1,1),1),16,1)))+SUMIFS(Holieday[ok],Holieday[date],CONCATENATE("&gt;","=",D44),Holieday[date],CONCATENATE("&lt;","=",J_SUBDAY(J_ADDDAY(D44,N44+4,1),1,1)))-SUMIFS(Holieday[Friday],Holieday[date],CONCATENATE("&gt;","=",D44),Holieday[date],CONCATENATE("&lt;","=",J_SUBDAY(J_ADDDAY(D44,N44+4,1),1,1)))=4,J_SUBDAY(J_ADDDAY(D44,N44+4,1),1,1),IF((N44+5-(NETWORKDAYS.INTL(J_GregorianDate(D44,1),J_GregorianDate(J_SUBDAY(J_ADDDAY(D44,N44+5,1),1,1),1),16,1)))+SUMIFS(Holieday[ok],Holieday[date],CONCATENATE("&gt;","=",D44),Holieday[date],CONCATENATE("&lt;","=",J_SUBDAY(J_ADDDAY(D44,N44+5,1),1,1)))-SUMIFS(Holieday[Friday],Holieday[date],CONCATENATE("&gt;","=",D44),Holieday[date],CONCATENATE("&lt;","=",J_SUBDAY(J_ADDDAY(D44,N44+5,1),1,1)))=5,J_SUBDAY(J_ADDDAY(D44,N44+5,1),1,1),J_SUBDAY(J_ADDDAY(D44,N44+6,1),1,1))))))))</f>
        <v>1398/10/01</v>
      </c>
      <c r="G44" s="2">
        <f t="shared" ref="G44:G72" si="16">VALUE(J_normdate(F44))</f>
        <v>13981001</v>
      </c>
      <c r="H44" s="230"/>
      <c r="I44" s="231">
        <v>7.2</v>
      </c>
      <c r="J44" s="245">
        <f>j_WEEKDAY(D44,2)</f>
        <v>1</v>
      </c>
      <c r="K44" s="21">
        <f t="shared" si="11"/>
        <v>0</v>
      </c>
      <c r="L44" s="246">
        <f t="shared" si="12"/>
        <v>1</v>
      </c>
      <c r="M44" s="233">
        <v>0</v>
      </c>
      <c r="N44" s="234">
        <v>1</v>
      </c>
      <c r="O44" s="10">
        <f t="shared" si="13"/>
        <v>0</v>
      </c>
      <c r="P44" s="10">
        <f>VALUE(J_normdate(J_ADDDAY($D44,$O44,1)))</f>
        <v>13981001</v>
      </c>
      <c r="Q44" s="9">
        <f t="shared" si="14"/>
        <v>1</v>
      </c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29">
        <v>1</v>
      </c>
      <c r="IZ44" s="33">
        <f>(TEXT(K44,"[m]")/60)*VLOOKUP(IY44,'Income Person-hours'!A$2:C$5,3,FALSE)</f>
        <v>0</v>
      </c>
      <c r="JA44" s="112"/>
      <c r="JB44" s="112"/>
      <c r="JC44" s="112"/>
      <c r="JD44" s="66">
        <f>SUM((TEXT(JA44,"[M]")/60)*'Income Person-hours'!$D$3,(TEXT(JB44,"[M]")/60)*'Income Person-hours'!$D$4,(TEXT(JC44,"[M]")/60)*'Income Person-hours'!$D$5)</f>
        <v>0</v>
      </c>
    </row>
    <row r="45" spans="1:16383" s="11" customFormat="1" ht="11.25" hidden="1">
      <c r="A45" s="30">
        <v>2.11</v>
      </c>
      <c r="B45" s="106"/>
      <c r="C45" s="107"/>
      <c r="D45" s="41" t="str">
        <f>IF(OR(j_WEEKDAY(J_ADDDAY(VLOOKUP(I45,A:F,6,FALSE),H45,1),0)=6,SUMIFS(Holieday[ok],Holieday[date],J_ADDDAY(VLOOKUP(I45,A:F,6,FALSE),H45,1)))=FALSE(),J_ADDDAY(VLOOKUP(I45,A:F,6,FALSE),H45,1),IF(OR(j_WEEKDAY(J_ADDDAY(VLOOKUP(I45,A:F,6,FALSE),H45+1,1),0)=6,SUMIFS(Holieday[ok],Holieday[date],J_ADDDAY(VLOOKUP(I45,A:F,6,FALSE),H45+1,1)))=FALSE(),J_ADDDAY(VLOOKUP(I45,A:F,6,FALSE),H45+1,1),IF(OR(j_WEEKDAY(J_ADDDAY(VLOOKUP(I45,A:F,6,FALSE),H45+2,1),0)=6,SUMIFS(Holieday[ok],Holieday[date],J_ADDDAY(VLOOKUP(I45,A:F,6,FALSE),H45+2,1)))=FALSE(),J_ADDDAY(VLOOKUP(I45,A:F,6,FALSE),H45+2,1),IF(OR(j_WEEKDAY(J_ADDDAY(VLOOKUP(I45,A:F,6,FALSE),H45+3,1),0)=6,SUMIFS(Holieday[ok],Holieday[date],J_ADDDAY(VLOOKUP(I45,A:F,6,FALSE),H45+3,1)))=FALSE(),J_ADDDAY(VLOOKUP(I45,A:F,6,FALSE),H45+3,1),IF(OR(j_WEEKDAY(J_ADDDAY(VLOOKUP(I45,A:F,6,FALSE),H45+4,1),0)=6,SUMIFS(Holieday[ok],Holieday[date],J_ADDDAY(VLOOKUP(I45,A:F,6,FALSE),H45+4,1)))=FALSE(),J_ADDDAY(VLOOKUP(I45,A:F,6,FALSE),H45+4,1),J_ADDDAY(VLOOKUP(I45,A:F,6,FALSE),H45+5,1))))))</f>
        <v>1398/09/10</v>
      </c>
      <c r="E45" s="1">
        <f t="shared" si="15"/>
        <v>13980910</v>
      </c>
      <c r="F45" s="9" t="str">
        <f>IF(N45=0,J_SUBDAY(D45,1,1),IF((N45-NETWORKDAYS.INTL(J_GregorianDate(D45,1),J_GregorianDate(J_SUBDAY(J_ADDDAY(D45,N45,1),1,1),1),16,1)-SUMIFS(Holieday[ok],Holieday[date],CONCATENATE("&gt;","=",D45),Holieday[date],CONCATENATE("&lt;","=",J_SUBDAY(J_ADDDAY(D45,N45,1),1,1)))+SUMIFS(Holieday[Friday],Holieday[date],CONCATENATE("&gt;","=",D45),Holieday[date],CONCATENATE("&lt;","=",J_SUBDAY(J_ADDDAY(D45,N45,1),1,1))))=0,J_SUBDAY(J_ADDDAY(D45,N45,1),1,1),IF((N45-NETWORKDAYS.INTL(J_GregorianDate(D45,1),J_GregorianDate(J_SUBDAY(J_ADDDAY(D45,N45,1),1,1),1),16,1)-SUMIFS(Holieday[ok],Holieday[date],CONCATENATE("&gt;","=",D45),Holieday[date],CONCATENATE("&lt;","=",J_SUBDAY(J_ADDDAY(D45,N45,1),1,1)))+SUMIFS(Holieday[Friday],Holieday[date],CONCATENATE("&gt;","=",D45),Holieday[date],CONCATENATE("&lt;","=",J_SUBDAY(J_ADDDAY(D45,N45,1),1,1))))=1,J_SUBDAY(J_ADDDAY(D45,N45+1,1),1,1),IF((N45-NETWORKDAYS.INTL(J_GregorianDate(D45,1),J_GregorianDate(J_SUBDAY(J_ADDDAY(D45,N45,1),1,1),1),16,1)-SUMIFS(Holieday[ok],Holieday[date],CONCATENATE("&gt;","=",D45),Holieday[date],CONCATENATE("&lt;","=",J_SUBDAY(J_ADDDAY(D45,N45,1),1,1)))+SUMIFS(Holieday[Friday],Holieday[date],CONCATENATE("&gt;","=",D45),Holieday[date],CONCATENATE("&lt;","=",J_SUBDAY(J_ADDDAY(D45,N45,1),1,1))))=2,J_SUBDAY(J_ADDDAY(D45,N45+2,1),1,1),J_SUBDAY(J_ADDDAY(D45,N45+3,1),1,1)))))</f>
        <v>1398/09/09</v>
      </c>
      <c r="G45" s="2">
        <f t="shared" si="16"/>
        <v>13980909</v>
      </c>
      <c r="H45" s="109"/>
      <c r="I45" s="110">
        <v>2.8</v>
      </c>
      <c r="J45" s="9">
        <f>j_WEEKDAY(D45,2)</f>
        <v>1</v>
      </c>
      <c r="K45" s="21">
        <f t="shared" si="11"/>
        <v>0</v>
      </c>
      <c r="L45" s="8">
        <f t="shared" si="12"/>
        <v>0</v>
      </c>
      <c r="M45" s="111">
        <v>0</v>
      </c>
      <c r="N45" s="108">
        <v>0</v>
      </c>
      <c r="O45" s="10">
        <f t="shared" si="13"/>
        <v>0</v>
      </c>
      <c r="P45" s="10">
        <f>VALUE(J_normdate(J_ADDDAY($D45,$O45,1)))</f>
        <v>13980910</v>
      </c>
      <c r="Q45" s="9">
        <f t="shared" si="14"/>
        <v>0</v>
      </c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JA45" s="112"/>
      <c r="JB45" s="112"/>
      <c r="JC45" s="112"/>
      <c r="JD45" s="66">
        <f>SUM((TEXT(JA45,"[M]")/60)*'Income Person-hours'!$D$3,(TEXT(JB45,"[M]")/60)*'Income Person-hours'!$D$4,(TEXT(JC45,"[M]")/60)*'Income Person-hours'!$D$5)</f>
        <v>0</v>
      </c>
    </row>
    <row r="46" spans="1:16383" s="11" customFormat="1" ht="11.25" hidden="1">
      <c r="A46" s="30">
        <v>2.12</v>
      </c>
      <c r="B46" s="106"/>
      <c r="C46" s="107"/>
      <c r="D46" s="7" t="str">
        <f>IF(OR(j_WEEKDAY(J_ADDDAY(VLOOKUP(I46,A:F,6,FALSE),H46,1),0)=6,SUMIFS(Holieday[ok],Holieday[date],J_ADDDAY(VLOOKUP(I46,A:F,6,FALSE),H46,1)))=FALSE(),J_ADDDAY(VLOOKUP(I46,A:F,6,FALSE),H46,1),IF(OR(j_WEEKDAY(J_ADDDAY(VLOOKUP(I46,A:F,6,FALSE),H46+1,1),0)=6,SUMIFS(Holieday[ok],Holieday[date],J_ADDDAY(VLOOKUP(I46,A:F,6,FALSE),H46+1,1)))=FALSE(),J_ADDDAY(VLOOKUP(I46,A:F,6,FALSE),H46+1,1),IF(OR(j_WEEKDAY(J_ADDDAY(VLOOKUP(I46,A:F,6,FALSE),H46+2,1),0)=6,SUMIFS(Holieday[ok],Holieday[date],J_ADDDAY(VLOOKUP(I46,A:F,6,FALSE),H46+2,1)))=FALSE(),J_ADDDAY(VLOOKUP(I46,A:F,6,FALSE),H46+2,1),IF(OR(j_WEEKDAY(J_ADDDAY(VLOOKUP(I46,A:F,6,FALSE),H46+3,1),0)=6,SUMIFS(Holieday[ok],Holieday[date],J_ADDDAY(VLOOKUP(I46,A:F,6,FALSE),H46+3,1)))=FALSE(),J_ADDDAY(VLOOKUP(I46,A:F,6,FALSE),H46+3,1),IF(OR(j_WEEKDAY(J_ADDDAY(VLOOKUP(I46,A:F,6,FALSE),H46+4,1),0)=6,SUMIFS(Holieday[ok],Holieday[date],J_ADDDAY(VLOOKUP(I46,A:F,6,FALSE),H46+4,1)))=FALSE(),J_ADDDAY(VLOOKUP(I46,A:F,6,FALSE),H46+4,1),J_ADDDAY(VLOOKUP(I46,A:F,6,FALSE),H46+5,1))))))</f>
        <v>1398/09/10</v>
      </c>
      <c r="E46" s="1">
        <f t="shared" si="15"/>
        <v>13980910</v>
      </c>
      <c r="F46" s="12" t="str">
        <f>IF(N46=0,J_SUBDAY(D46,1,1),IF((N46-NETWORKDAYS.INTL(J_GregorianDate(D46,1),J_GregorianDate(J_SUBDAY(J_ADDDAY(D46,N46,1),1,1),1),16,1)-SUMIFS(Holieday[ok],Holieday[date],CONCATENATE("&gt;","=",D46),Holieday[date],CONCATENATE("&lt;","=",J_SUBDAY(J_ADDDAY(D46,N46,1),1,1)))+SUMIFS(Holieday[Friday],Holieday[date],CONCATENATE("&gt;","=",D46),Holieday[date],CONCATENATE("&lt;","=",J_SUBDAY(J_ADDDAY(D46,N46,1),1,1))))=0,J_SUBDAY(J_ADDDAY(D46,N46,1),1,1),IF((N46-NETWORKDAYS.INTL(J_GregorianDate(D46,1),J_GregorianDate(J_SUBDAY(J_ADDDAY(D46,N46,1),1,1),1),16,1)-SUMIFS(Holieday[ok],Holieday[date],CONCATENATE("&gt;","=",D46),Holieday[date],CONCATENATE("&lt;","=",J_SUBDAY(J_ADDDAY(D46,N46,1),1,1)))+SUMIFS(Holieday[Friday],Holieday[date],CONCATENATE("&gt;","=",D46),Holieday[date],CONCATENATE("&lt;","=",J_SUBDAY(J_ADDDAY(D46,N46,1),1,1))))=1,J_SUBDAY(J_ADDDAY(D46,N46+1,1),1,1),IF((N46-NETWORKDAYS.INTL(J_GregorianDate(D46,1),J_GregorianDate(J_SUBDAY(J_ADDDAY(D46,N46,1),1,1),1),16,1)-SUMIFS(Holieday[ok],Holieday[date],CONCATENATE("&gt;","=",D46),Holieday[date],CONCATENATE("&lt;","=",J_SUBDAY(J_ADDDAY(D46,N46,1),1,1)))+SUMIFS(Holieday[Friday],Holieday[date],CONCATENATE("&gt;","=",D46),Holieday[date],CONCATENATE("&lt;","=",J_SUBDAY(J_ADDDAY(D46,N46,1),1,1))))=2,J_SUBDAY(J_ADDDAY(D46,N46+2,1),1,1),J_SUBDAY(J_ADDDAY(D46,N46+3,1),1,1)))))</f>
        <v>1398/09/09</v>
      </c>
      <c r="G46" s="2">
        <f t="shared" si="16"/>
        <v>13980909</v>
      </c>
      <c r="H46" s="109"/>
      <c r="I46" s="110">
        <v>2.8</v>
      </c>
      <c r="J46" s="9">
        <f>j_WEEKDAY(D46,2)</f>
        <v>1</v>
      </c>
      <c r="K46" s="21">
        <f t="shared" si="11"/>
        <v>0</v>
      </c>
      <c r="L46" s="8">
        <f t="shared" si="12"/>
        <v>0</v>
      </c>
      <c r="M46" s="111">
        <v>0</v>
      </c>
      <c r="N46" s="108">
        <v>0</v>
      </c>
      <c r="O46" s="10">
        <f t="shared" si="13"/>
        <v>0</v>
      </c>
      <c r="P46" s="10">
        <f>VALUE(J_normdate(J_ADDDAY($D46,$O46,1)))</f>
        <v>13980910</v>
      </c>
      <c r="Q46" s="9">
        <f t="shared" si="14"/>
        <v>0</v>
      </c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JA46" s="112"/>
      <c r="JB46" s="112"/>
      <c r="JC46" s="112"/>
      <c r="JD46" s="66">
        <f>SUM((TEXT(JA46,"[M]")/60)*'Income Person-hours'!$D$3,(TEXT(JB46,"[M]")/60)*'Income Person-hours'!$D$4,(TEXT(JC46,"[M]")/60)*'Income Person-hours'!$D$5)</f>
        <v>0</v>
      </c>
    </row>
    <row r="47" spans="1:16383" s="11" customFormat="1" ht="11.25" hidden="1">
      <c r="A47" s="30">
        <v>2.13</v>
      </c>
      <c r="B47" s="207"/>
      <c r="C47" s="107"/>
      <c r="D47" s="7" t="str">
        <f>IF(OR(j_WEEKDAY(J_ADDDAY(VLOOKUP(I47,A:F,6,FALSE),H47,1),0)=6,SUMIFS(Holieday[ok],Holieday[date],J_ADDDAY(VLOOKUP(I47,A:F,6,FALSE),H47,1)))=FALSE(),J_ADDDAY(VLOOKUP(I47,A:F,6,FALSE),H47,1),IF(OR(j_WEEKDAY(J_ADDDAY(VLOOKUP(I47,A:F,6,FALSE),H47+1,1),0)=6,SUMIFS(Holieday[ok],Holieday[date],J_ADDDAY(VLOOKUP(I47,A:F,6,FALSE),H47+1,1)))=FALSE(),J_ADDDAY(VLOOKUP(I47,A:F,6,FALSE),H47+1,1),IF(OR(j_WEEKDAY(J_ADDDAY(VLOOKUP(I47,A:F,6,FALSE),H47+2,1),0)=6,SUMIFS(Holieday[ok],Holieday[date],J_ADDDAY(VLOOKUP(I47,A:F,6,FALSE),H47+2,1)))=FALSE(),J_ADDDAY(VLOOKUP(I47,A:F,6,FALSE),H47+2,1),IF(OR(j_WEEKDAY(J_ADDDAY(VLOOKUP(I47,A:F,6,FALSE),H47+3,1),0)=6,SUMIFS(Holieday[ok],Holieday[date],J_ADDDAY(VLOOKUP(I47,A:F,6,FALSE),H47+3,1)))=FALSE(),J_ADDDAY(VLOOKUP(I47,A:F,6,FALSE),H47+3,1),IF(OR(j_WEEKDAY(J_ADDDAY(VLOOKUP(I47,A:F,6,FALSE),H47+4,1),0)=6,SUMIFS(Holieday[ok],Holieday[date],J_ADDDAY(VLOOKUP(I47,A:F,6,FALSE),H47+4,1)))=FALSE(),J_ADDDAY(VLOOKUP(I47,A:F,6,FALSE),H47+4,1),J_ADDDAY(VLOOKUP(I47,A:F,6,FALSE),H47+5,1))))))</f>
        <v>1398/09/10</v>
      </c>
      <c r="E47" s="1">
        <f t="shared" si="15"/>
        <v>13980910</v>
      </c>
      <c r="F47" s="12" t="str">
        <f>IF(N47=0,J_SUBDAY(D47,1,1),IF((N47-NETWORKDAYS.INTL(J_GregorianDate(D47,1),J_GregorianDate(J_SUBDAY(J_ADDDAY(D47,N47,1),1,1),1),16,1)-SUMIFS(Holieday[ok],Holieday[date],CONCATENATE("&gt;","=",D47),Holieday[date],CONCATENATE("&lt;","=",J_SUBDAY(J_ADDDAY(D47,N47,1),1,1)))+SUMIFS(Holieday[Friday],Holieday[date],CONCATENATE("&gt;","=",D47),Holieday[date],CONCATENATE("&lt;","=",J_SUBDAY(J_ADDDAY(D47,N47,1),1,1))))=0,J_SUBDAY(J_ADDDAY(D47,N47,1),1,1),IF((N47-NETWORKDAYS.INTL(J_GregorianDate(D47,1),J_GregorianDate(J_SUBDAY(J_ADDDAY(D47,N47,1),1,1),1),16,1)-SUMIFS(Holieday[ok],Holieday[date],CONCATENATE("&gt;","=",D47),Holieday[date],CONCATENATE("&lt;","=",J_SUBDAY(J_ADDDAY(D47,N47,1),1,1)))+SUMIFS(Holieday[Friday],Holieday[date],CONCATENATE("&gt;","=",D47),Holieday[date],CONCATENATE("&lt;","=",J_SUBDAY(J_ADDDAY(D47,N47,1),1,1))))=1,J_SUBDAY(J_ADDDAY(D47,N47+1,1),1,1),IF((N47-NETWORKDAYS.INTL(J_GregorianDate(D47,1),J_GregorianDate(J_SUBDAY(J_ADDDAY(D47,N47,1),1,1),1),16,1)-SUMIFS(Holieday[ok],Holieday[date],CONCATENATE("&gt;","=",D47),Holieday[date],CONCATENATE("&lt;","=",J_SUBDAY(J_ADDDAY(D47,N47,1),1,1)))+SUMIFS(Holieday[Friday],Holieday[date],CONCATENATE("&gt;","=",D47),Holieday[date],CONCATENATE("&lt;","=",J_SUBDAY(J_ADDDAY(D47,N47,1),1,1))))=2,J_SUBDAY(J_ADDDAY(D47,N47+2,1),1,1),J_SUBDAY(J_ADDDAY(D47,N47+3,1),1,1)))))</f>
        <v>1398/09/09</v>
      </c>
      <c r="G47" s="2">
        <f t="shared" si="16"/>
        <v>13980909</v>
      </c>
      <c r="H47" s="109"/>
      <c r="I47" s="110">
        <v>2.8</v>
      </c>
      <c r="J47" s="9">
        <f>j_WEEKDAY(D47,2)</f>
        <v>1</v>
      </c>
      <c r="K47" s="21">
        <f t="shared" si="11"/>
        <v>0</v>
      </c>
      <c r="L47" s="8">
        <f t="shared" si="12"/>
        <v>0</v>
      </c>
      <c r="M47" s="111">
        <v>0</v>
      </c>
      <c r="N47" s="108">
        <v>0</v>
      </c>
      <c r="O47" s="10">
        <f t="shared" si="13"/>
        <v>0</v>
      </c>
      <c r="P47" s="10">
        <f>VALUE(J_normdate(J_ADDDAY($D47,$O47,1)))</f>
        <v>13980910</v>
      </c>
      <c r="Q47" s="9">
        <f t="shared" si="14"/>
        <v>0</v>
      </c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JA47" s="200"/>
      <c r="JB47" s="200"/>
      <c r="JC47" s="201"/>
      <c r="JD47" s="66">
        <f>SUM((TEXT(JA47,"[M]")/60)*'Income Person-hours'!$D$3,(TEXT(JB47,"[M]")/60)*'Income Person-hours'!$D$4,(TEXT(JC47,"[M]")/60)*'Income Person-hours'!$D$5)</f>
        <v>0</v>
      </c>
    </row>
    <row r="48" spans="1:16383" s="11" customFormat="1" ht="11.25" hidden="1">
      <c r="A48" s="30">
        <v>2.14</v>
      </c>
      <c r="B48" s="207"/>
      <c r="C48" s="107"/>
      <c r="D48" s="41" t="str">
        <f>IF(OR(j_WEEKDAY(J_ADDDAY(VLOOKUP(I48,A:F,6,FALSE),H48,1),0)=6,SUMIFS(Holieday[ok],Holieday[date],J_ADDDAY(VLOOKUP(I48,A:F,6,FALSE),H48,1)))=FALSE(),J_ADDDAY(VLOOKUP(I48,A:F,6,FALSE),H48,1),IF(OR(j_WEEKDAY(J_ADDDAY(VLOOKUP(I48,A:F,6,FALSE),H48+1,1),0)=6,SUMIFS(Holieday[ok],Holieday[date],J_ADDDAY(VLOOKUP(I48,A:F,6,FALSE),H48+1,1)))=FALSE(),J_ADDDAY(VLOOKUP(I48,A:F,6,FALSE),H48+1,1),IF(OR(j_WEEKDAY(J_ADDDAY(VLOOKUP(I48,A:F,6,FALSE),H48+2,1),0)=6,SUMIFS(Holieday[ok],Holieday[date],J_ADDDAY(VLOOKUP(I48,A:F,6,FALSE),H48+2,1)))=FALSE(),J_ADDDAY(VLOOKUP(I48,A:F,6,FALSE),H48+2,1),IF(OR(j_WEEKDAY(J_ADDDAY(VLOOKUP(I48,A:F,6,FALSE),H48+3,1),0)=6,SUMIFS(Holieday[ok],Holieday[date],J_ADDDAY(VLOOKUP(I48,A:F,6,FALSE),H48+3,1)))=FALSE(),J_ADDDAY(VLOOKUP(I48,A:F,6,FALSE),H48+3,1),IF(OR(j_WEEKDAY(J_ADDDAY(VLOOKUP(I48,A:F,6,FALSE),H48+4,1),0)=6,SUMIFS(Holieday[ok],Holieday[date],J_ADDDAY(VLOOKUP(I48,A:F,6,FALSE),H48+4,1)))=FALSE(),J_ADDDAY(VLOOKUP(I48,A:F,6,FALSE),H48+4,1),J_ADDDAY(VLOOKUP(I48,A:F,6,FALSE),H48+5,1))))))</f>
        <v>1398/09/10</v>
      </c>
      <c r="E48" s="1">
        <f t="shared" si="15"/>
        <v>13980910</v>
      </c>
      <c r="F48" s="9" t="str">
        <f>IF(N48=0,J_SUBDAY(D48,1,1),IF((N48-NETWORKDAYS.INTL(J_GregorianDate(D48,1),J_GregorianDate(J_SUBDAY(J_ADDDAY(D48,N48,1),1,1),1),16,1)-SUMIFS(Holieday[ok],Holieday[date],CONCATENATE("&gt;","=",D48),Holieday[date],CONCATENATE("&lt;","=",J_SUBDAY(J_ADDDAY(D48,N48,1),1,1)))+SUMIFS(Holieday[Friday],Holieday[date],CONCATENATE("&gt;","=",D48),Holieday[date],CONCATENATE("&lt;","=",J_SUBDAY(J_ADDDAY(D48,N48,1),1,1))))=0,J_SUBDAY(J_ADDDAY(D48,N48,1),1,1),IF((N48-NETWORKDAYS.INTL(J_GregorianDate(D48,1),J_GregorianDate(J_SUBDAY(J_ADDDAY(D48,N48,1),1,1),1),16,1)-SUMIFS(Holieday[ok],Holieday[date],CONCATENATE("&gt;","=",D48),Holieday[date],CONCATENATE("&lt;","=",J_SUBDAY(J_ADDDAY(D48,N48,1),1,1)))+SUMIFS(Holieday[Friday],Holieday[date],CONCATENATE("&gt;","=",D48),Holieday[date],CONCATENATE("&lt;","=",J_SUBDAY(J_ADDDAY(D48,N48,1),1,1))))=1,J_SUBDAY(J_ADDDAY(D48,N48+1,1),1,1),IF((N48-NETWORKDAYS.INTL(J_GregorianDate(D48,1),J_GregorianDate(J_SUBDAY(J_ADDDAY(D48,N48,1),1,1),1),16,1)-SUMIFS(Holieday[ok],Holieday[date],CONCATENATE("&gt;","=",D48),Holieday[date],CONCATENATE("&lt;","=",J_SUBDAY(J_ADDDAY(D48,N48,1),1,1)))+SUMIFS(Holieday[Friday],Holieday[date],CONCATENATE("&gt;","=",D48),Holieday[date],CONCATENATE("&lt;","=",J_SUBDAY(J_ADDDAY(D48,N48,1),1,1))))=2,J_SUBDAY(J_ADDDAY(D48,N48+2,1),1,1),J_SUBDAY(J_ADDDAY(D48,N48+3,1),1,1)))))</f>
        <v>1398/09/09</v>
      </c>
      <c r="G48" s="2">
        <f t="shared" si="16"/>
        <v>13980909</v>
      </c>
      <c r="H48" s="109"/>
      <c r="I48" s="110">
        <v>2.8</v>
      </c>
      <c r="J48" s="9">
        <f>j_WEEKDAY(D48,2)</f>
        <v>1</v>
      </c>
      <c r="K48" s="21">
        <f t="shared" si="11"/>
        <v>0</v>
      </c>
      <c r="L48" s="8">
        <f t="shared" si="12"/>
        <v>0</v>
      </c>
      <c r="M48" s="111">
        <v>0</v>
      </c>
      <c r="N48" s="108">
        <v>0</v>
      </c>
      <c r="O48" s="10">
        <f t="shared" si="13"/>
        <v>0</v>
      </c>
      <c r="P48" s="10">
        <f>VALUE(J_normdate(J_ADDDAY($D48,$O48,1)))</f>
        <v>13980910</v>
      </c>
      <c r="Q48" s="9">
        <f t="shared" si="14"/>
        <v>0</v>
      </c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JA48" s="200"/>
      <c r="JB48" s="200"/>
      <c r="JC48" s="201"/>
      <c r="JD48" s="66">
        <f>SUM((TEXT(JA48,"[M]")/60)*'Income Person-hours'!$D$3,(TEXT(JB48,"[M]")/60)*'Income Person-hours'!$D$4,(TEXT(JC48,"[M]")/60)*'Income Person-hours'!$D$5)</f>
        <v>0</v>
      </c>
    </row>
    <row r="49" spans="1:16384" s="11" customFormat="1" ht="11.25" hidden="1">
      <c r="A49" s="30">
        <v>2.15</v>
      </c>
      <c r="B49" s="106"/>
      <c r="C49" s="107"/>
      <c r="D49" s="7" t="str">
        <f>IF(OR(j_WEEKDAY(J_ADDDAY(VLOOKUP(I49,A:F,6,FALSE),H49,1),0)=6,SUMIFS(Holieday[ok],Holieday[date],J_ADDDAY(VLOOKUP(I49,A:F,6,FALSE),H49,1)))=FALSE(),J_ADDDAY(VLOOKUP(I49,A:F,6,FALSE),H49,1),IF(OR(j_WEEKDAY(J_ADDDAY(VLOOKUP(I49,A:F,6,FALSE),H49+1,1),0)=6,SUMIFS(Holieday[ok],Holieday[date],J_ADDDAY(VLOOKUP(I49,A:F,6,FALSE),H49+1,1)))=FALSE(),J_ADDDAY(VLOOKUP(I49,A:F,6,FALSE),H49+1,1),IF(OR(j_WEEKDAY(J_ADDDAY(VLOOKUP(I49,A:F,6,FALSE),H49+2,1),0)=6,SUMIFS(Holieday[ok],Holieday[date],J_ADDDAY(VLOOKUP(I49,A:F,6,FALSE),H49+2,1)))=FALSE(),J_ADDDAY(VLOOKUP(I49,A:F,6,FALSE),H49+2,1),IF(OR(j_WEEKDAY(J_ADDDAY(VLOOKUP(I49,A:F,6,FALSE),H49+3,1),0)=6,SUMIFS(Holieday[ok],Holieday[date],J_ADDDAY(VLOOKUP(I49,A:F,6,FALSE),H49+3,1)))=FALSE(),J_ADDDAY(VLOOKUP(I49,A:F,6,FALSE),H49+3,1),IF(OR(j_WEEKDAY(J_ADDDAY(VLOOKUP(I49,A:F,6,FALSE),H49+4,1),0)=6,SUMIFS(Holieday[ok],Holieday[date],J_ADDDAY(VLOOKUP(I49,A:F,6,FALSE),H49+4,1)))=FALSE(),J_ADDDAY(VLOOKUP(I49,A:F,6,FALSE),H49+4,1),J_ADDDAY(VLOOKUP(I49,A:F,6,FALSE),H49+5,1))))))</f>
        <v>1398/09/10</v>
      </c>
      <c r="E49" s="1">
        <f t="shared" si="15"/>
        <v>13980910</v>
      </c>
      <c r="F49" s="12" t="str">
        <f>IF(N49=0,J_SUBDAY(D49,1,1),IF((N49-NETWORKDAYS.INTL(J_GregorianDate(D49,1),J_GregorianDate(J_SUBDAY(J_ADDDAY(D49,N49,1),1,1),1),16,1)-SUMIFS(Holieday[ok],Holieday[date],CONCATENATE("&gt;","=",D49),Holieday[date],CONCATENATE("&lt;","=",J_SUBDAY(J_ADDDAY(D49,N49,1),1,1)))+SUMIFS(Holieday[Friday],Holieday[date],CONCATENATE("&gt;","=",D49),Holieday[date],CONCATENATE("&lt;","=",J_SUBDAY(J_ADDDAY(D49,N49,1),1,1))))=0,J_SUBDAY(J_ADDDAY(D49,N49,1),1,1),IF((N49-NETWORKDAYS.INTL(J_GregorianDate(D49,1),J_GregorianDate(J_SUBDAY(J_ADDDAY(D49,N49,1),1,1),1),16,1)-SUMIFS(Holieday[ok],Holieday[date],CONCATENATE("&gt;","=",D49),Holieday[date],CONCATENATE("&lt;","=",J_SUBDAY(J_ADDDAY(D49,N49,1),1,1)))+SUMIFS(Holieday[Friday],Holieday[date],CONCATENATE("&gt;","=",D49),Holieday[date],CONCATENATE("&lt;","=",J_SUBDAY(J_ADDDAY(D49,N49,1),1,1))))=1,J_SUBDAY(J_ADDDAY(D49,N49+1,1),1,1),IF((N49-NETWORKDAYS.INTL(J_GregorianDate(D49,1),J_GregorianDate(J_SUBDAY(J_ADDDAY(D49,N49,1),1,1),1),16,1)-SUMIFS(Holieday[ok],Holieday[date],CONCATENATE("&gt;","=",D49),Holieday[date],CONCATENATE("&lt;","=",J_SUBDAY(J_ADDDAY(D49,N49,1),1,1)))+SUMIFS(Holieday[Friday],Holieday[date],CONCATENATE("&gt;","=",D49),Holieday[date],CONCATENATE("&lt;","=",J_SUBDAY(J_ADDDAY(D49,N49,1),1,1))))=2,J_SUBDAY(J_ADDDAY(D49,N49+2,1),1,1),J_SUBDAY(J_ADDDAY(D49,N49+3,1),1,1)))))</f>
        <v>1398/09/09</v>
      </c>
      <c r="G49" s="2">
        <f t="shared" si="16"/>
        <v>13980909</v>
      </c>
      <c r="H49" s="109"/>
      <c r="I49" s="110">
        <v>2.8</v>
      </c>
      <c r="J49" s="9">
        <f>j_WEEKDAY(D49,2)</f>
        <v>1</v>
      </c>
      <c r="K49" s="21">
        <f t="shared" si="11"/>
        <v>0</v>
      </c>
      <c r="L49" s="8">
        <f t="shared" si="12"/>
        <v>0</v>
      </c>
      <c r="M49" s="111">
        <v>1</v>
      </c>
      <c r="N49" s="108">
        <v>0</v>
      </c>
      <c r="O49" s="10">
        <f t="shared" si="13"/>
        <v>0</v>
      </c>
      <c r="P49" s="10">
        <f>VALUE(J_normdate(J_ADDDAY($D49,$O49,1)))</f>
        <v>13980910</v>
      </c>
      <c r="Q49" s="9">
        <f t="shared" si="14"/>
        <v>0</v>
      </c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JA49" s="113"/>
      <c r="JB49" s="113"/>
      <c r="JC49" s="113"/>
      <c r="JD49" s="66">
        <f>SUM((TEXT(JA49,"[M]")/60)*'Income Person-hours'!$D$3,(TEXT(JB49,"[M]")/60)*'Income Person-hours'!$D$4,(TEXT(JC49,"[M]")/60)*'Income Person-hours'!$D$5)</f>
        <v>0</v>
      </c>
    </row>
    <row r="50" spans="1:16384" s="11" customFormat="1" ht="11.25" hidden="1">
      <c r="A50" s="30">
        <v>2.16</v>
      </c>
      <c r="B50" s="106"/>
      <c r="C50" s="107"/>
      <c r="D50" s="7" t="str">
        <f>IF(OR(j_WEEKDAY(J_ADDDAY(VLOOKUP(I50,A:F,6,FALSE),H50,1),0)=6,SUMIFS(Holieday[ok],Holieday[date],J_ADDDAY(VLOOKUP(I50,A:F,6,FALSE),H50,1)))=FALSE(),J_ADDDAY(VLOOKUP(I50,A:F,6,FALSE),H50,1),IF(OR(j_WEEKDAY(J_ADDDAY(VLOOKUP(I50,A:F,6,FALSE),H50+1,1),0)=6,SUMIFS(Holieday[ok],Holieday[date],J_ADDDAY(VLOOKUP(I50,A:F,6,FALSE),H50+1,1)))=FALSE(),J_ADDDAY(VLOOKUP(I50,A:F,6,FALSE),H50+1,1),IF(OR(j_WEEKDAY(J_ADDDAY(VLOOKUP(I50,A:F,6,FALSE),H50+2,1),0)=6,SUMIFS(Holieday[ok],Holieday[date],J_ADDDAY(VLOOKUP(I50,A:F,6,FALSE),H50+2,1)))=FALSE(),J_ADDDAY(VLOOKUP(I50,A:F,6,FALSE),H50+2,1),IF(OR(j_WEEKDAY(J_ADDDAY(VLOOKUP(I50,A:F,6,FALSE),H50+3,1),0)=6,SUMIFS(Holieday[ok],Holieday[date],J_ADDDAY(VLOOKUP(I50,A:F,6,FALSE),H50+3,1)))=FALSE(),J_ADDDAY(VLOOKUP(I50,A:F,6,FALSE),H50+3,1),IF(OR(j_WEEKDAY(J_ADDDAY(VLOOKUP(I50,A:F,6,FALSE),H50+4,1),0)=6,SUMIFS(Holieday[ok],Holieday[date],J_ADDDAY(VLOOKUP(I50,A:F,6,FALSE),H50+4,1)))=FALSE(),J_ADDDAY(VLOOKUP(I50,A:F,6,FALSE),H50+4,1),J_ADDDAY(VLOOKUP(I50,A:F,6,FALSE),H50+5,1))))))</f>
        <v>1398/09/10</v>
      </c>
      <c r="E50" s="1">
        <f t="shared" si="15"/>
        <v>13980910</v>
      </c>
      <c r="F50" s="12" t="str">
        <f>IF(N50=0,J_SUBDAY(D50,1,1),IF((N50-NETWORKDAYS.INTL(J_GregorianDate(D50,1),J_GregorianDate(J_SUBDAY(J_ADDDAY(D50,N50,1),1,1),1),16,1)-SUMIFS(Holieday[ok],Holieday[date],CONCATENATE("&gt;","=",D50),Holieday[date],CONCATENATE("&lt;","=",J_SUBDAY(J_ADDDAY(D50,N50,1),1,1)))+SUMIFS(Holieday[Friday],Holieday[date],CONCATENATE("&gt;","=",D50),Holieday[date],CONCATENATE("&lt;","=",J_SUBDAY(J_ADDDAY(D50,N50,1),1,1))))=0,J_SUBDAY(J_ADDDAY(D50,N50,1),1,1),IF((N50-NETWORKDAYS.INTL(J_GregorianDate(D50,1),J_GregorianDate(J_SUBDAY(J_ADDDAY(D50,N50,1),1,1),1),16,1)-SUMIFS(Holieday[ok],Holieday[date],CONCATENATE("&gt;","=",D50),Holieday[date],CONCATENATE("&lt;","=",J_SUBDAY(J_ADDDAY(D50,N50,1),1,1)))+SUMIFS(Holieday[Friday],Holieday[date],CONCATENATE("&gt;","=",D50),Holieday[date],CONCATENATE("&lt;","=",J_SUBDAY(J_ADDDAY(D50,N50,1),1,1))))=1,J_SUBDAY(J_ADDDAY(D50,N50+1,1),1,1),IF((N50-NETWORKDAYS.INTL(J_GregorianDate(D50,1),J_GregorianDate(J_SUBDAY(J_ADDDAY(D50,N50,1),1,1),1),16,1)-SUMIFS(Holieday[ok],Holieday[date],CONCATENATE("&gt;","=",D50),Holieday[date],CONCATENATE("&lt;","=",J_SUBDAY(J_ADDDAY(D50,N50,1),1,1)))+SUMIFS(Holieday[Friday],Holieday[date],CONCATENATE("&gt;","=",D50),Holieday[date],CONCATENATE("&lt;","=",J_SUBDAY(J_ADDDAY(D50,N50,1),1,1))))=2,J_SUBDAY(J_ADDDAY(D50,N50+2,1),1,1),J_SUBDAY(J_ADDDAY(D50,N50+3,1),1,1)))))</f>
        <v>1398/09/09</v>
      </c>
      <c r="G50" s="2">
        <f t="shared" si="16"/>
        <v>13980909</v>
      </c>
      <c r="H50" s="109"/>
      <c r="I50" s="110">
        <v>2.8</v>
      </c>
      <c r="J50" s="9">
        <f>j_WEEKDAY(D50,2)</f>
        <v>1</v>
      </c>
      <c r="K50" s="21">
        <f t="shared" si="11"/>
        <v>0</v>
      </c>
      <c r="L50" s="8">
        <f t="shared" si="12"/>
        <v>0</v>
      </c>
      <c r="M50" s="111">
        <v>1</v>
      </c>
      <c r="N50" s="108">
        <v>0</v>
      </c>
      <c r="O50" s="10">
        <f t="shared" si="13"/>
        <v>0</v>
      </c>
      <c r="P50" s="10">
        <f>VALUE(J_normdate(J_ADDDAY($D50,$O50,1)))</f>
        <v>13980910</v>
      </c>
      <c r="Q50" s="9">
        <f t="shared" si="14"/>
        <v>0</v>
      </c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JA50" s="113"/>
      <c r="JB50" s="113"/>
      <c r="JC50" s="113"/>
      <c r="JD50" s="66">
        <f>SUM((TEXT(JA50,"[M]")/60)*'Income Person-hours'!$D$3,(TEXT(JB50,"[M]")/60)*'Income Person-hours'!$D$4,(TEXT(JC50,"[M]")/60)*'Income Person-hours'!$D$5)</f>
        <v>0</v>
      </c>
    </row>
    <row r="51" spans="1:16384" s="11" customFormat="1" ht="11.25" hidden="1">
      <c r="A51" s="30">
        <v>2.17</v>
      </c>
      <c r="B51" s="106"/>
      <c r="C51" s="107"/>
      <c r="D51" s="7" t="str">
        <f>IF(OR(j_WEEKDAY(J_ADDDAY(VLOOKUP(I51,A:F,6,FALSE),H51,1),0)=6,SUMIFS(Holieday[ok],Holieday[date],J_ADDDAY(VLOOKUP(I51,A:F,6,FALSE),H51,1)))=FALSE(),J_ADDDAY(VLOOKUP(I51,A:F,6,FALSE),H51,1),IF(OR(j_WEEKDAY(J_ADDDAY(VLOOKUP(I51,A:F,6,FALSE),H51+1,1),0)=6,SUMIFS(Holieday[ok],Holieday[date],J_ADDDAY(VLOOKUP(I51,A:F,6,FALSE),H51+1,1)))=FALSE(),J_ADDDAY(VLOOKUP(I51,A:F,6,FALSE),H51+1,1),IF(OR(j_WEEKDAY(J_ADDDAY(VLOOKUP(I51,A:F,6,FALSE),H51+2,1),0)=6,SUMIFS(Holieday[ok],Holieday[date],J_ADDDAY(VLOOKUP(I51,A:F,6,FALSE),H51+2,1)))=FALSE(),J_ADDDAY(VLOOKUP(I51,A:F,6,FALSE),H51+2,1),IF(OR(j_WEEKDAY(J_ADDDAY(VLOOKUP(I51,A:F,6,FALSE),H51+3,1),0)=6,SUMIFS(Holieday[ok],Holieday[date],J_ADDDAY(VLOOKUP(I51,A:F,6,FALSE),H51+3,1)))=FALSE(),J_ADDDAY(VLOOKUP(I51,A:F,6,FALSE),H51+3,1),IF(OR(j_WEEKDAY(J_ADDDAY(VLOOKUP(I51,A:F,6,FALSE),H51+4,1),0)=6,SUMIFS(Holieday[ok],Holieday[date],J_ADDDAY(VLOOKUP(I51,A:F,6,FALSE),H51+4,1)))=FALSE(),J_ADDDAY(VLOOKUP(I51,A:F,6,FALSE),H51+4,1),J_ADDDAY(VLOOKUP(I51,A:F,6,FALSE),H51+5,1))))))</f>
        <v>1398/09/10</v>
      </c>
      <c r="E51" s="1">
        <f t="shared" si="15"/>
        <v>13980910</v>
      </c>
      <c r="F51" s="12" t="str">
        <f>IF(N51=0,J_SUBDAY(D51,1,1)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0,J_SUBDAY(J_ADDDAY(D51,N51,1)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1,J_SUBDAY(J_ADDDAY(D51,N51+1,1)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2,J_SUBDAY(J_ADDDAY(D51,N51+2,1),1,1),J_SUBDAY(J_ADDDAY(D51,N51+3,1),1,1)))))</f>
        <v>1398/09/09</v>
      </c>
      <c r="G51" s="2">
        <f t="shared" si="16"/>
        <v>13980909</v>
      </c>
      <c r="H51" s="109"/>
      <c r="I51" s="110">
        <v>2.8</v>
      </c>
      <c r="J51" s="9">
        <f>j_WEEKDAY(D51,2)</f>
        <v>1</v>
      </c>
      <c r="K51" s="21">
        <f t="shared" si="11"/>
        <v>0</v>
      </c>
      <c r="L51" s="8">
        <f t="shared" si="12"/>
        <v>0</v>
      </c>
      <c r="M51" s="111">
        <v>0</v>
      </c>
      <c r="N51" s="108">
        <v>0</v>
      </c>
      <c r="O51" s="10">
        <f t="shared" si="13"/>
        <v>0</v>
      </c>
      <c r="P51" s="10">
        <f>VALUE(J_normdate(J_ADDDAY($D51,$O51,1)))</f>
        <v>13980910</v>
      </c>
      <c r="Q51" s="9">
        <f t="shared" si="14"/>
        <v>0</v>
      </c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JA51" s="113"/>
      <c r="JB51" s="113"/>
      <c r="JC51" s="113"/>
      <c r="JD51" s="66">
        <f>SUM((TEXT(JA51,"[M]")/60)*'Income Person-hours'!$D$3,(TEXT(JB51,"[M]")/60)*'Income Person-hours'!$D$4,(TEXT(JC51,"[M]")/60)*'Income Person-hours'!$D$5)</f>
        <v>0</v>
      </c>
    </row>
    <row r="52" spans="1:16384" s="11" customFormat="1" ht="11.25" hidden="1">
      <c r="A52" s="30">
        <v>2.1800000000000002</v>
      </c>
      <c r="B52" s="106"/>
      <c r="C52" s="107"/>
      <c r="D52" s="7" t="str">
        <f>IF(OR(j_WEEKDAY(J_ADDDAY(VLOOKUP(I52,A:F,6,FALSE),H52,1),0)=6,SUMIFS(Holieday[ok],Holieday[date],J_ADDDAY(VLOOKUP(I52,A:F,6,FALSE),H52,1)))=FALSE(),J_ADDDAY(VLOOKUP(I52,A:F,6,FALSE),H52,1),IF(OR(j_WEEKDAY(J_ADDDAY(VLOOKUP(I52,A:F,6,FALSE),H52+1,1),0)=6,SUMIFS(Holieday[ok],Holieday[date],J_ADDDAY(VLOOKUP(I52,A:F,6,FALSE),H52+1,1)))=FALSE(),J_ADDDAY(VLOOKUP(I52,A:F,6,FALSE),H52+1,1),IF(OR(j_WEEKDAY(J_ADDDAY(VLOOKUP(I52,A:F,6,FALSE),H52+2,1),0)=6,SUMIFS(Holieday[ok],Holieday[date],J_ADDDAY(VLOOKUP(I52,A:F,6,FALSE),H52+2,1)))=FALSE(),J_ADDDAY(VLOOKUP(I52,A:F,6,FALSE),H52+2,1),IF(OR(j_WEEKDAY(J_ADDDAY(VLOOKUP(I52,A:F,6,FALSE),H52+3,1),0)=6,SUMIFS(Holieday[ok],Holieday[date],J_ADDDAY(VLOOKUP(I52,A:F,6,FALSE),H52+3,1)))=FALSE(),J_ADDDAY(VLOOKUP(I52,A:F,6,FALSE),H52+3,1),IF(OR(j_WEEKDAY(J_ADDDAY(VLOOKUP(I52,A:F,6,FALSE),H52+4,1),0)=6,SUMIFS(Holieday[ok],Holieday[date],J_ADDDAY(VLOOKUP(I52,A:F,6,FALSE),H52+4,1)))=FALSE(),J_ADDDAY(VLOOKUP(I52,A:F,6,FALSE),H52+4,1),J_ADDDAY(VLOOKUP(I52,A:F,6,FALSE),H52+5,1))))))</f>
        <v>1398/09/10</v>
      </c>
      <c r="E52" s="1">
        <f t="shared" si="15"/>
        <v>13980910</v>
      </c>
      <c r="F52" s="12" t="str">
        <f>IF(N52=0,J_SUBDAY(D52,1,1)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0,J_SUBDAY(J_ADDDAY(D52,N52,1)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1,J_SUBDAY(J_ADDDAY(D52,N52+1,1)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2,J_SUBDAY(J_ADDDAY(D52,N52+2,1),1,1),J_SUBDAY(J_ADDDAY(D52,N52+3,1),1,1)))))</f>
        <v>1398/09/09</v>
      </c>
      <c r="G52" s="2">
        <f t="shared" si="16"/>
        <v>13980909</v>
      </c>
      <c r="H52" s="109"/>
      <c r="I52" s="110">
        <v>2.8</v>
      </c>
      <c r="J52" s="9">
        <f>j_WEEKDAY(D52,2)</f>
        <v>1</v>
      </c>
      <c r="K52" s="21">
        <f t="shared" si="11"/>
        <v>0</v>
      </c>
      <c r="L52" s="8">
        <f t="shared" si="12"/>
        <v>0</v>
      </c>
      <c r="M52" s="111">
        <v>0</v>
      </c>
      <c r="N52" s="108">
        <v>0</v>
      </c>
      <c r="O52" s="10">
        <f t="shared" si="13"/>
        <v>0</v>
      </c>
      <c r="P52" s="10">
        <f>VALUE(J_normdate(J_ADDDAY($D52,$O52,1)))</f>
        <v>13980910</v>
      </c>
      <c r="Q52" s="9">
        <f t="shared" si="14"/>
        <v>0</v>
      </c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JA52" s="113"/>
      <c r="JB52" s="113"/>
      <c r="JC52" s="113"/>
      <c r="JD52" s="66">
        <f>SUM((TEXT(JA52,"[M]")/60)*'Income Person-hours'!$D$3,(TEXT(JB52,"[M]")/60)*'Income Person-hours'!$D$4,(TEXT(JC52,"[M]")/60)*'Income Person-hours'!$D$5)</f>
        <v>0</v>
      </c>
    </row>
    <row r="53" spans="1:16384" s="11" customFormat="1" ht="11.25" hidden="1">
      <c r="A53" s="30">
        <v>2.19</v>
      </c>
      <c r="B53" s="106"/>
      <c r="C53" s="107"/>
      <c r="D53" s="7" t="str">
        <f>IF(OR(j_WEEKDAY(J_ADDDAY(VLOOKUP(I53,A:F,6,FALSE),H53,1),0)=6,SUMIFS(Holieday[ok],Holieday[date],J_ADDDAY(VLOOKUP(I53,A:F,6,FALSE),H53,1)))=FALSE(),J_ADDDAY(VLOOKUP(I53,A:F,6,FALSE),H53,1),IF(OR(j_WEEKDAY(J_ADDDAY(VLOOKUP(I53,A:F,6,FALSE),H53+1,1),0)=6,SUMIFS(Holieday[ok],Holieday[date],J_ADDDAY(VLOOKUP(I53,A:F,6,FALSE),H53+1,1)))=FALSE(),J_ADDDAY(VLOOKUP(I53,A:F,6,FALSE),H53+1,1),IF(OR(j_WEEKDAY(J_ADDDAY(VLOOKUP(I53,A:F,6,FALSE),H53+2,1),0)=6,SUMIFS(Holieday[ok],Holieday[date],J_ADDDAY(VLOOKUP(I53,A:F,6,FALSE),H53+2,1)))=FALSE(),J_ADDDAY(VLOOKUP(I53,A:F,6,FALSE),H53+2,1),IF(OR(j_WEEKDAY(J_ADDDAY(VLOOKUP(I53,A:F,6,FALSE),H53+3,1),0)=6,SUMIFS(Holieday[ok],Holieday[date],J_ADDDAY(VLOOKUP(I53,A:F,6,FALSE),H53+3,1)))=FALSE(),J_ADDDAY(VLOOKUP(I53,A:F,6,FALSE),H53+3,1),IF(OR(j_WEEKDAY(J_ADDDAY(VLOOKUP(I53,A:F,6,FALSE),H53+4,1),0)=6,SUMIFS(Holieday[ok],Holieday[date],J_ADDDAY(VLOOKUP(I53,A:F,6,FALSE),H53+4,1)))=FALSE(),J_ADDDAY(VLOOKUP(I53,A:F,6,FALSE),H53+4,1),J_ADDDAY(VLOOKUP(I53,A:F,6,FALSE),H53+5,1))))))</f>
        <v>1398/09/10</v>
      </c>
      <c r="E53" s="1">
        <f t="shared" si="15"/>
        <v>13980910</v>
      </c>
      <c r="F53" s="12" t="str">
        <f>IF(N53=0,J_SUBDAY(D53,1,1),IF((N53-NETWORKDAYS.INTL(J_GregorianDate(D53,1),J_GregorianDate(J_SUBDAY(J_ADDDAY(D53,N53,1),1,1),1),16,1)-SUMIFS(Holieday[ok],Holieday[date],CONCATENATE("&gt;","=",D53),Holieday[date],CONCATENATE("&lt;","=",J_SUBDAY(J_ADDDAY(D53,N53,1),1,1)))+SUMIFS(Holieday[Friday],Holieday[date],CONCATENATE("&gt;","=",D53),Holieday[date],CONCATENATE("&lt;","=",J_SUBDAY(J_ADDDAY(D53,N53,1),1,1))))=0,J_SUBDAY(J_ADDDAY(D53,N53,1),1,1),IF((N53-NETWORKDAYS.INTL(J_GregorianDate(D53,1),J_GregorianDate(J_SUBDAY(J_ADDDAY(D53,N53,1),1,1),1),16,1)-SUMIFS(Holieday[ok],Holieday[date],CONCATENATE("&gt;","=",D53),Holieday[date],CONCATENATE("&lt;","=",J_SUBDAY(J_ADDDAY(D53,N53,1),1,1)))+SUMIFS(Holieday[Friday],Holieday[date],CONCATENATE("&gt;","=",D53),Holieday[date],CONCATENATE("&lt;","=",J_SUBDAY(J_ADDDAY(D53,N53,1),1,1))))=1,J_SUBDAY(J_ADDDAY(D53,N53+1,1),1,1),IF((N53-NETWORKDAYS.INTL(J_GregorianDate(D53,1),J_GregorianDate(J_SUBDAY(J_ADDDAY(D53,N53,1),1,1),1),16,1)-SUMIFS(Holieday[ok],Holieday[date],CONCATENATE("&gt;","=",D53),Holieday[date],CONCATENATE("&lt;","=",J_SUBDAY(J_ADDDAY(D53,N53,1),1,1)))+SUMIFS(Holieday[Friday],Holieday[date],CONCATENATE("&gt;","=",D53),Holieday[date],CONCATENATE("&lt;","=",J_SUBDAY(J_ADDDAY(D53,N53,1),1,1))))=2,J_SUBDAY(J_ADDDAY(D53,N53+2,1),1,1),J_SUBDAY(J_ADDDAY(D53,N53+3,1),1,1)))))</f>
        <v>1398/09/09</v>
      </c>
      <c r="G53" s="2">
        <f t="shared" si="16"/>
        <v>13980909</v>
      </c>
      <c r="H53" s="109"/>
      <c r="I53" s="110">
        <v>2.8</v>
      </c>
      <c r="J53" s="9">
        <f>j_WEEKDAY(D53,2)</f>
        <v>1</v>
      </c>
      <c r="K53" s="21">
        <f t="shared" si="11"/>
        <v>0</v>
      </c>
      <c r="L53" s="8">
        <f t="shared" si="12"/>
        <v>0</v>
      </c>
      <c r="M53" s="111">
        <v>0</v>
      </c>
      <c r="N53" s="108">
        <v>0</v>
      </c>
      <c r="O53" s="10">
        <f t="shared" si="13"/>
        <v>0</v>
      </c>
      <c r="P53" s="10">
        <f>VALUE(J_normdate(J_ADDDAY($D53,$O53,1)))</f>
        <v>13980910</v>
      </c>
      <c r="Q53" s="9">
        <f t="shared" si="14"/>
        <v>0</v>
      </c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JA53" s="113"/>
      <c r="JB53" s="113"/>
      <c r="JC53" s="113"/>
      <c r="JD53" s="66">
        <f>SUM((TEXT(JA53,"[M]")/60)*'Income Person-hours'!$D$3,(TEXT(JB53,"[M]")/60)*'Income Person-hours'!$D$4,(TEXT(JC53,"[M]")/60)*'Income Person-hours'!$D$5)</f>
        <v>0</v>
      </c>
    </row>
    <row r="54" spans="1:16384" s="11" customFormat="1" ht="11.25" hidden="1">
      <c r="A54" s="5" t="s">
        <v>73</v>
      </c>
      <c r="B54" s="106"/>
      <c r="C54" s="107"/>
      <c r="D54" s="7" t="str">
        <f>IF(OR(j_WEEKDAY(J_ADDDAY(VLOOKUP(I54,A:F,6,FALSE),H54,1),0)=6,SUMIFS(Holieday[ok],Holieday[date],J_ADDDAY(VLOOKUP(I54,A:F,6,FALSE),H54,1)))=FALSE(),J_ADDDAY(VLOOKUP(I54,A:F,6,FALSE),H54,1),IF(OR(j_WEEKDAY(J_ADDDAY(VLOOKUP(I54,A:F,6,FALSE),H54+1,1),0)=6,SUMIFS(Holieday[ok],Holieday[date],J_ADDDAY(VLOOKUP(I54,A:F,6,FALSE),H54+1,1)))=FALSE(),J_ADDDAY(VLOOKUP(I54,A:F,6,FALSE),H54+1,1),IF(OR(j_WEEKDAY(J_ADDDAY(VLOOKUP(I54,A:F,6,FALSE),H54+2,1),0)=6,SUMIFS(Holieday[ok],Holieday[date],J_ADDDAY(VLOOKUP(I54,A:F,6,FALSE),H54+2,1)))=FALSE(),J_ADDDAY(VLOOKUP(I54,A:F,6,FALSE),H54+2,1),IF(OR(j_WEEKDAY(J_ADDDAY(VLOOKUP(I54,A:F,6,FALSE),H54+3,1),0)=6,SUMIFS(Holieday[ok],Holieday[date],J_ADDDAY(VLOOKUP(I54,A:F,6,FALSE),H54+3,1)))=FALSE(),J_ADDDAY(VLOOKUP(I54,A:F,6,FALSE),H54+3,1),IF(OR(j_WEEKDAY(J_ADDDAY(VLOOKUP(I54,A:F,6,FALSE),H54+4,1),0)=6,SUMIFS(Holieday[ok],Holieday[date],J_ADDDAY(VLOOKUP(I54,A:F,6,FALSE),H54+4,1)))=FALSE(),J_ADDDAY(VLOOKUP(I54,A:F,6,FALSE),H54+4,1),J_ADDDAY(VLOOKUP(I54,A:F,6,FALSE),H54+5,1))))))</f>
        <v>1398/09/10</v>
      </c>
      <c r="E54" s="1">
        <f t="shared" si="15"/>
        <v>13980910</v>
      </c>
      <c r="F54" s="12" t="str">
        <f>IF(N54=0,J_SUBDAY(D54,1,1),IF((N54-NETWORKDAYS.INTL(J_GregorianDate(D54,1),J_GregorianDate(J_SUBDAY(J_ADDDAY(D54,N54,1),1,1),1),16,1)-SUMIFS(Holieday[ok],Holieday[date],CONCATENATE("&gt;","=",D54),Holieday[date],CONCATENATE("&lt;","=",J_SUBDAY(J_ADDDAY(D54,N54,1),1,1)))+SUMIFS(Holieday[Friday],Holieday[date],CONCATENATE("&gt;","=",D54),Holieday[date],CONCATENATE("&lt;","=",J_SUBDAY(J_ADDDAY(D54,N54,1),1,1))))=0,J_SUBDAY(J_ADDDAY(D54,N54,1),1,1),IF((N54-NETWORKDAYS.INTL(J_GregorianDate(D54,1),J_GregorianDate(J_SUBDAY(J_ADDDAY(D54,N54,1),1,1),1),16,1)-SUMIFS(Holieday[ok],Holieday[date],CONCATENATE("&gt;","=",D54),Holieday[date],CONCATENATE("&lt;","=",J_SUBDAY(J_ADDDAY(D54,N54,1),1,1)))+SUMIFS(Holieday[Friday],Holieday[date],CONCATENATE("&gt;","=",D54),Holieday[date],CONCATENATE("&lt;","=",J_SUBDAY(J_ADDDAY(D54,N54,1),1,1))))=1,J_SUBDAY(J_ADDDAY(D54,N54+1,1),1,1),IF((N54-NETWORKDAYS.INTL(J_GregorianDate(D54,1),J_GregorianDate(J_SUBDAY(J_ADDDAY(D54,N54,1),1,1),1),16,1)-SUMIFS(Holieday[ok],Holieday[date],CONCATENATE("&gt;","=",D54),Holieday[date],CONCATENATE("&lt;","=",J_SUBDAY(J_ADDDAY(D54,N54,1),1,1)))+SUMIFS(Holieday[Friday],Holieday[date],CONCATENATE("&gt;","=",D54),Holieday[date],CONCATENATE("&lt;","=",J_SUBDAY(J_ADDDAY(D54,N54,1),1,1))))=2,J_SUBDAY(J_ADDDAY(D54,N54+2,1),1,1),J_SUBDAY(J_ADDDAY(D54,N54+3,1),1,1)))))</f>
        <v>1398/09/09</v>
      </c>
      <c r="G54" s="2">
        <f t="shared" si="16"/>
        <v>13980909</v>
      </c>
      <c r="H54" s="109"/>
      <c r="I54" s="110">
        <v>2.8</v>
      </c>
      <c r="J54" s="9">
        <f>j_WEEKDAY(D54,2)</f>
        <v>1</v>
      </c>
      <c r="K54" s="21">
        <f t="shared" si="11"/>
        <v>0</v>
      </c>
      <c r="L54" s="8">
        <f t="shared" si="12"/>
        <v>0</v>
      </c>
      <c r="M54" s="111">
        <v>0</v>
      </c>
      <c r="N54" s="108">
        <v>0</v>
      </c>
      <c r="O54" s="10">
        <f t="shared" si="13"/>
        <v>0</v>
      </c>
      <c r="P54" s="10">
        <f>VALUE(J_normdate(J_ADDDAY($D54,$O54,1)))</f>
        <v>13980910</v>
      </c>
      <c r="Q54" s="9">
        <f t="shared" si="14"/>
        <v>0</v>
      </c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JA54" s="113"/>
      <c r="JB54" s="113"/>
      <c r="JC54" s="113"/>
      <c r="JD54" s="66">
        <f>SUM((TEXT(JA54,"[M]")/60)*'Income Person-hours'!$D$3,(TEXT(JB54,"[M]")/60)*'Income Person-hours'!$D$4,(TEXT(JC54,"[M]")/60)*'Income Person-hours'!$D$5)</f>
        <v>0</v>
      </c>
    </row>
    <row r="55" spans="1:16384" s="11" customFormat="1" ht="11.25" hidden="1">
      <c r="A55" s="5" t="s">
        <v>74</v>
      </c>
      <c r="B55" s="116"/>
      <c r="C55" s="107"/>
      <c r="D55" s="7" t="str">
        <f>IF(OR(j_WEEKDAY(J_ADDDAY(VLOOKUP(I55,A:F,6,FALSE),H55,1),0)=6,SUMIFS(Holieday[ok],Holieday[date],J_ADDDAY(VLOOKUP(I55,A:F,6,FALSE),H55,1)))=FALSE(),J_ADDDAY(VLOOKUP(I55,A:F,6,FALSE),H55,1),IF(OR(j_WEEKDAY(J_ADDDAY(VLOOKUP(I55,A:F,6,FALSE),H55+1,1),0)=6,SUMIFS(Holieday[ok],Holieday[date],J_ADDDAY(VLOOKUP(I55,A:F,6,FALSE),H55+1,1)))=FALSE(),J_ADDDAY(VLOOKUP(I55,A:F,6,FALSE),H55+1,1),IF(OR(j_WEEKDAY(J_ADDDAY(VLOOKUP(I55,A:F,6,FALSE),H55+2,1),0)=6,SUMIFS(Holieday[ok],Holieday[date],J_ADDDAY(VLOOKUP(I55,A:F,6,FALSE),H55+2,1)))=FALSE(),J_ADDDAY(VLOOKUP(I55,A:F,6,FALSE),H55+2,1),IF(OR(j_WEEKDAY(J_ADDDAY(VLOOKUP(I55,A:F,6,FALSE),H55+3,1),0)=6,SUMIFS(Holieday[ok],Holieday[date],J_ADDDAY(VLOOKUP(I55,A:F,6,FALSE),H55+3,1)))=FALSE(),J_ADDDAY(VLOOKUP(I55,A:F,6,FALSE),H55+3,1),IF(OR(j_WEEKDAY(J_ADDDAY(VLOOKUP(I55,A:F,6,FALSE),H55+4,1),0)=6,SUMIFS(Holieday[ok],Holieday[date],J_ADDDAY(VLOOKUP(I55,A:F,6,FALSE),H55+4,1)))=FALSE(),J_ADDDAY(VLOOKUP(I55,A:F,6,FALSE),H55+4,1),J_ADDDAY(VLOOKUP(I55,A:F,6,FALSE),H55+5,1))))))</f>
        <v>1398/09/10</v>
      </c>
      <c r="E55" s="1">
        <f t="shared" si="15"/>
        <v>13980910</v>
      </c>
      <c r="F55" s="12" t="str">
        <f>IF(N55=0,J_SUBDAY(D55,1,1),IF((N55-NETWORKDAYS.INTL(J_GregorianDate(D55,1),J_GregorianDate(J_SUBDAY(J_ADDDAY(D55,N55,1),1,1),1),16,1)-SUMIFS(Holieday[ok],Holieday[date],CONCATENATE("&gt;","=",D55),Holieday[date],CONCATENATE("&lt;","=",J_SUBDAY(J_ADDDAY(D55,N55,1),1,1)))+SUMIFS(Holieday[Friday],Holieday[date],CONCATENATE("&gt;","=",D55),Holieday[date],CONCATENATE("&lt;","=",J_SUBDAY(J_ADDDAY(D55,N55,1),1,1))))=0,J_SUBDAY(J_ADDDAY(D55,N55,1),1,1),IF((N55-NETWORKDAYS.INTL(J_GregorianDate(D55,1),J_GregorianDate(J_SUBDAY(J_ADDDAY(D55,N55,1),1,1),1),16,1)-SUMIFS(Holieday[ok],Holieday[date],CONCATENATE("&gt;","=",D55),Holieday[date],CONCATENATE("&lt;","=",J_SUBDAY(J_ADDDAY(D55,N55,1),1,1)))+SUMIFS(Holieday[Friday],Holieday[date],CONCATENATE("&gt;","=",D55),Holieday[date],CONCATENATE("&lt;","=",J_SUBDAY(J_ADDDAY(D55,N55,1),1,1))))=1,J_SUBDAY(J_ADDDAY(D55,N55+1,1),1,1),IF((N55-NETWORKDAYS.INTL(J_GregorianDate(D55,1),J_GregorianDate(J_SUBDAY(J_ADDDAY(D55,N55,1),1,1),1),16,1)-SUMIFS(Holieday[ok],Holieday[date],CONCATENATE("&gt;","=",D55),Holieday[date],CONCATENATE("&lt;","=",J_SUBDAY(J_ADDDAY(D55,N55,1),1,1)))+SUMIFS(Holieday[Friday],Holieday[date],CONCATENATE("&gt;","=",D55),Holieday[date],CONCATENATE("&lt;","=",J_SUBDAY(J_ADDDAY(D55,N55,1),1,1))))=2,J_SUBDAY(J_ADDDAY(D55,N55+2,1),1,1),J_SUBDAY(J_ADDDAY(D55,N55+3,1),1,1)))))</f>
        <v>1398/09/09</v>
      </c>
      <c r="G55" s="2">
        <f t="shared" si="16"/>
        <v>13980909</v>
      </c>
      <c r="H55" s="109"/>
      <c r="I55" s="110">
        <v>2.8</v>
      </c>
      <c r="J55" s="9">
        <f>j_WEEKDAY(D55,2)</f>
        <v>1</v>
      </c>
      <c r="K55" s="21">
        <f t="shared" si="11"/>
        <v>0</v>
      </c>
      <c r="L55" s="8">
        <f t="shared" si="12"/>
        <v>0</v>
      </c>
      <c r="M55" s="111">
        <v>0</v>
      </c>
      <c r="N55" s="108">
        <v>0</v>
      </c>
      <c r="O55" s="10">
        <f t="shared" si="13"/>
        <v>0</v>
      </c>
      <c r="P55" s="10">
        <f>VALUE(J_normdate(J_ADDDAY($D55,$O55,1)))</f>
        <v>13980910</v>
      </c>
      <c r="Q55" s="9">
        <f t="shared" si="14"/>
        <v>0</v>
      </c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JA55" s="113"/>
      <c r="JB55" s="113"/>
      <c r="JC55" s="113"/>
      <c r="JD55" s="66">
        <f>SUM((TEXT(JA55,"[M]")/60)*'Income Person-hours'!$D$3,(TEXT(JB55,"[M]")/60)*'Income Person-hours'!$D$4,(TEXT(JC55,"[M]")/60)*'Income Person-hours'!$D$5)</f>
        <v>0</v>
      </c>
    </row>
    <row r="56" spans="1:16384" s="11" customFormat="1" ht="11.25" hidden="1">
      <c r="A56" s="5" t="s">
        <v>75</v>
      </c>
      <c r="B56" s="116"/>
      <c r="C56" s="107"/>
      <c r="D56" s="7" t="str">
        <f>IF(OR(j_WEEKDAY(J_ADDDAY(VLOOKUP(I56,A:F,6,FALSE),H56,1),0)=6,SUMIFS(Holieday[ok],Holieday[date],J_ADDDAY(VLOOKUP(I56,A:F,6,FALSE),H56,1)))=FALSE(),J_ADDDAY(VLOOKUP(I56,A:F,6,FALSE),H56,1),IF(OR(j_WEEKDAY(J_ADDDAY(VLOOKUP(I56,A:F,6,FALSE),H56+1,1),0)=6,SUMIFS(Holieday[ok],Holieday[date],J_ADDDAY(VLOOKUP(I56,A:F,6,FALSE),H56+1,1)))=FALSE(),J_ADDDAY(VLOOKUP(I56,A:F,6,FALSE),H56+1,1),IF(OR(j_WEEKDAY(J_ADDDAY(VLOOKUP(I56,A:F,6,FALSE),H56+2,1),0)=6,SUMIFS(Holieday[ok],Holieday[date],J_ADDDAY(VLOOKUP(I56,A:F,6,FALSE),H56+2,1)))=FALSE(),J_ADDDAY(VLOOKUP(I56,A:F,6,FALSE),H56+2,1),IF(OR(j_WEEKDAY(J_ADDDAY(VLOOKUP(I56,A:F,6,FALSE),H56+3,1),0)=6,SUMIFS(Holieday[ok],Holieday[date],J_ADDDAY(VLOOKUP(I56,A:F,6,FALSE),H56+3,1)))=FALSE(),J_ADDDAY(VLOOKUP(I56,A:F,6,FALSE),H56+3,1),IF(OR(j_WEEKDAY(J_ADDDAY(VLOOKUP(I56,A:F,6,FALSE),H56+4,1),0)=6,SUMIFS(Holieday[ok],Holieday[date],J_ADDDAY(VLOOKUP(I56,A:F,6,FALSE),H56+4,1)))=FALSE(),J_ADDDAY(VLOOKUP(I56,A:F,6,FALSE),H56+4,1),J_ADDDAY(VLOOKUP(I56,A:F,6,FALSE),H56+5,1))))))</f>
        <v>1398/09/10</v>
      </c>
      <c r="E56" s="1">
        <f t="shared" si="15"/>
        <v>13980910</v>
      </c>
      <c r="F56" s="12" t="str">
        <f>IF(N56=0,J_SUBDAY(D56,1,1),IF((N56-NETWORKDAYS.INTL(J_GregorianDate(D56,1),J_GregorianDate(J_SUBDAY(J_ADDDAY(D56,N56,1),1,1),1),16,1)-SUMIFS(Holieday[ok],Holieday[date],CONCATENATE("&gt;","=",D56),Holieday[date],CONCATENATE("&lt;","=",J_SUBDAY(J_ADDDAY(D56,N56,1),1,1)))+SUMIFS(Holieday[Friday],Holieday[date],CONCATENATE("&gt;","=",D56),Holieday[date],CONCATENATE("&lt;","=",J_SUBDAY(J_ADDDAY(D56,N56,1),1,1))))=0,J_SUBDAY(J_ADDDAY(D56,N56,1),1,1),IF((N56-NETWORKDAYS.INTL(J_GregorianDate(D56,1),J_GregorianDate(J_SUBDAY(J_ADDDAY(D56,N56,1),1,1),1),16,1)-SUMIFS(Holieday[ok],Holieday[date],CONCATENATE("&gt;","=",D56),Holieday[date],CONCATENATE("&lt;","=",J_SUBDAY(J_ADDDAY(D56,N56,1),1,1)))+SUMIFS(Holieday[Friday],Holieday[date],CONCATENATE("&gt;","=",D56),Holieday[date],CONCATENATE("&lt;","=",J_SUBDAY(J_ADDDAY(D56,N56,1),1,1))))=1,J_SUBDAY(J_ADDDAY(D56,N56+1,1),1,1),IF((N56-NETWORKDAYS.INTL(J_GregorianDate(D56,1),J_GregorianDate(J_SUBDAY(J_ADDDAY(D56,N56,1),1,1),1),16,1)-SUMIFS(Holieday[ok],Holieday[date],CONCATENATE("&gt;","=",D56),Holieday[date],CONCATENATE("&lt;","=",J_SUBDAY(J_ADDDAY(D56,N56,1),1,1)))+SUMIFS(Holieday[Friday],Holieday[date],CONCATENATE("&gt;","=",D56),Holieday[date],CONCATENATE("&lt;","=",J_SUBDAY(J_ADDDAY(D56,N56,1),1,1))))=2,J_SUBDAY(J_ADDDAY(D56,N56+2,1),1,1),J_SUBDAY(J_ADDDAY(D56,N56+3,1),1,1)))))</f>
        <v>1398/09/09</v>
      </c>
      <c r="G56" s="2">
        <f t="shared" si="16"/>
        <v>13980909</v>
      </c>
      <c r="H56" s="109"/>
      <c r="I56" s="110">
        <v>2.8</v>
      </c>
      <c r="J56" s="9">
        <f>j_WEEKDAY(D56,2)</f>
        <v>1</v>
      </c>
      <c r="K56" s="21">
        <f t="shared" si="11"/>
        <v>0</v>
      </c>
      <c r="L56" s="8">
        <f t="shared" si="12"/>
        <v>0</v>
      </c>
      <c r="M56" s="111">
        <v>0</v>
      </c>
      <c r="N56" s="108">
        <v>0</v>
      </c>
      <c r="O56" s="10">
        <f t="shared" si="13"/>
        <v>0</v>
      </c>
      <c r="P56" s="10">
        <f>VALUE(J_normdate(J_ADDDAY($D56,$O56,1)))</f>
        <v>13980910</v>
      </c>
      <c r="Q56" s="9">
        <f t="shared" si="14"/>
        <v>0</v>
      </c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JA56" s="113"/>
      <c r="JB56" s="113"/>
      <c r="JC56" s="113"/>
      <c r="JD56" s="66">
        <f>SUM((TEXT(JA56,"[M]")/60)*'Income Person-hours'!$D$3,(TEXT(JB56,"[M]")/60)*'Income Person-hours'!$D$4,(TEXT(JC56,"[M]")/60)*'Income Person-hours'!$D$5)</f>
        <v>0</v>
      </c>
    </row>
    <row r="57" spans="1:16384" s="242" customFormat="1" ht="13.5">
      <c r="A57" s="325">
        <v>3</v>
      </c>
      <c r="B57" s="326" t="s">
        <v>145</v>
      </c>
      <c r="C57" s="327"/>
      <c r="D57" s="356" t="str">
        <f>FDate(MIN(E58:E94))</f>
        <v>1398/06/31</v>
      </c>
      <c r="E57" s="160">
        <f t="shared" si="15"/>
        <v>13980631</v>
      </c>
      <c r="F57" s="355" t="str">
        <f>J_SUBDAY(J_ADDDAY(D57,L57,1),1,1)</f>
        <v>1398/10/02</v>
      </c>
      <c r="G57" s="163">
        <f t="shared" si="16"/>
        <v>13981002</v>
      </c>
      <c r="H57" s="329"/>
      <c r="I57" s="330"/>
      <c r="J57" s="328">
        <f>j_WEEKDAY(D57,2)</f>
        <v>1</v>
      </c>
      <c r="K57" s="164">
        <f>SUM(K58:K94)</f>
        <v>0</v>
      </c>
      <c r="L57" s="331">
        <f>J_DIFF(D57,FDate(MAX(G58:G94)))+1</f>
        <v>93</v>
      </c>
      <c r="M57" s="332">
        <f>IF(SUM(L58:L94)&lt;&gt;0,SUMPRODUCT(L58:L94,M58:M94)/SUM(L58:L94),0)</f>
        <v>5.0761421319796954E-2</v>
      </c>
      <c r="N57" s="333">
        <f>IF(F57&gt;=D57,NETWORKDAYS.INTL(J_GregorianDate(D57,1),J_GregorianDate(F57,1),16,1)-SUMIFS(Holieday[ok],Holieday[date],CONCATENATE("&gt;","=",D57),Holieday[date],CONCATENATE("&lt;","=",F57))+SUMIFS(Holieday[Friday],Holieday[date],CONCATENATE("&gt;","=",D57),Holieday[date],CONCATENATE("&lt;","=",F57)),0)</f>
        <v>76</v>
      </c>
      <c r="O57" s="159">
        <f t="shared" ref="O57:O72" si="17">ROUNDDOWN(M57*L57,0)</f>
        <v>4</v>
      </c>
      <c r="P57" s="162">
        <f>VALUE(J_normdate(J_ADDDAY($D57,$O57,1)))</f>
        <v>13980704</v>
      </c>
      <c r="Q57" s="161">
        <f>L57-O57</f>
        <v>89</v>
      </c>
      <c r="R57" s="334"/>
      <c r="S57" s="334"/>
      <c r="T57" s="334"/>
      <c r="U57" s="334"/>
      <c r="V57" s="334"/>
      <c r="W57" s="334"/>
      <c r="X57" s="334"/>
      <c r="Y57" s="334"/>
      <c r="Z57" s="334"/>
      <c r="AA57" s="334"/>
      <c r="AB57" s="334"/>
      <c r="AC57" s="334"/>
      <c r="AD57" s="334"/>
      <c r="AE57" s="334"/>
      <c r="AF57" s="334"/>
      <c r="AG57" s="334"/>
      <c r="AH57" s="334"/>
      <c r="AI57" s="334"/>
      <c r="AJ57" s="334"/>
      <c r="AK57" s="334"/>
      <c r="AL57" s="334"/>
      <c r="AM57" s="334"/>
      <c r="AN57" s="334"/>
      <c r="AO57" s="334"/>
      <c r="AP57" s="334"/>
      <c r="AQ57" s="334"/>
      <c r="AR57" s="334"/>
      <c r="AS57" s="334"/>
      <c r="AT57" s="334"/>
      <c r="AU57" s="334"/>
      <c r="AV57" s="334"/>
      <c r="AW57" s="334"/>
      <c r="AX57" s="334"/>
      <c r="AY57" s="334"/>
      <c r="AZ57" s="334"/>
      <c r="BA57" s="334"/>
      <c r="BB57" s="334"/>
      <c r="BC57" s="334"/>
      <c r="BD57" s="334"/>
      <c r="BE57" s="334"/>
      <c r="BF57" s="334"/>
      <c r="BG57" s="334"/>
      <c r="BH57" s="334"/>
      <c r="BI57" s="334"/>
      <c r="BJ57" s="334"/>
      <c r="BK57" s="334"/>
      <c r="BL57" s="334"/>
      <c r="BM57" s="334"/>
      <c r="BN57" s="334"/>
      <c r="BO57" s="334"/>
      <c r="BP57" s="334"/>
      <c r="BQ57" s="334"/>
      <c r="BR57" s="334"/>
      <c r="BS57" s="334"/>
      <c r="BT57" s="334"/>
      <c r="BU57" s="334"/>
      <c r="BV57" s="334"/>
      <c r="BW57" s="334"/>
      <c r="BX57" s="334"/>
      <c r="BY57" s="334"/>
      <c r="BZ57" s="334"/>
      <c r="CA57" s="334"/>
      <c r="CB57" s="334"/>
      <c r="CC57" s="334"/>
      <c r="CD57" s="334"/>
      <c r="CE57" s="334"/>
      <c r="CF57" s="334"/>
      <c r="CG57" s="334"/>
      <c r="CH57" s="334"/>
      <c r="CI57" s="334"/>
      <c r="CJ57" s="334"/>
      <c r="CK57" s="334"/>
      <c r="CL57" s="334"/>
      <c r="CM57" s="334"/>
      <c r="CN57" s="334"/>
      <c r="CO57" s="334"/>
      <c r="CP57" s="334"/>
      <c r="CQ57" s="334"/>
      <c r="CR57" s="334"/>
      <c r="CS57" s="334"/>
      <c r="CT57" s="334"/>
      <c r="CU57" s="334"/>
      <c r="CV57" s="334"/>
      <c r="CW57" s="334"/>
      <c r="CX57" s="334"/>
      <c r="CY57" s="334"/>
      <c r="CZ57" s="334"/>
      <c r="DA57" s="334"/>
      <c r="DB57" s="334"/>
      <c r="DC57" s="334"/>
      <c r="DD57" s="334"/>
      <c r="DE57" s="334"/>
      <c r="DF57" s="334"/>
      <c r="DG57" s="334"/>
      <c r="DH57" s="334"/>
      <c r="DI57" s="334"/>
      <c r="DJ57" s="334"/>
      <c r="DK57" s="334"/>
      <c r="DL57" s="334"/>
      <c r="DM57" s="334"/>
      <c r="DN57" s="334"/>
      <c r="DO57" s="334"/>
      <c r="DP57" s="334"/>
      <c r="DQ57" s="334"/>
      <c r="DR57" s="334"/>
      <c r="DS57" s="334"/>
      <c r="DT57" s="334"/>
      <c r="DU57" s="334"/>
      <c r="DV57" s="334"/>
      <c r="DW57" s="334"/>
      <c r="DX57" s="334"/>
      <c r="DY57" s="334"/>
      <c r="DZ57" s="334"/>
      <c r="EA57" s="334"/>
      <c r="EB57" s="334"/>
      <c r="EC57" s="334"/>
      <c r="ED57" s="334"/>
      <c r="EE57" s="334"/>
      <c r="EF57" s="334"/>
      <c r="EG57" s="334"/>
      <c r="EH57" s="334"/>
      <c r="EI57" s="334"/>
      <c r="EJ57" s="334"/>
      <c r="EK57" s="334"/>
      <c r="EL57" s="334"/>
      <c r="EM57" s="334"/>
      <c r="EN57" s="334"/>
      <c r="EO57" s="334"/>
      <c r="EP57" s="334"/>
      <c r="EQ57" s="334"/>
      <c r="ER57" s="334"/>
      <c r="ES57" s="334"/>
      <c r="ET57" s="334"/>
      <c r="EU57" s="334"/>
      <c r="EV57" s="334"/>
      <c r="EW57" s="334"/>
      <c r="EX57" s="334"/>
      <c r="EY57" s="334"/>
      <c r="EZ57" s="334"/>
      <c r="FA57" s="334"/>
      <c r="FB57" s="334"/>
      <c r="FC57" s="334"/>
      <c r="FD57" s="334"/>
      <c r="FE57" s="334"/>
      <c r="FF57" s="334"/>
      <c r="FG57" s="334"/>
      <c r="FH57" s="334"/>
      <c r="FI57" s="334"/>
      <c r="FJ57" s="334"/>
      <c r="FK57" s="334"/>
      <c r="FL57" s="334"/>
      <c r="FM57" s="334"/>
      <c r="FN57" s="334"/>
      <c r="FO57" s="334"/>
      <c r="FP57" s="334"/>
      <c r="FQ57" s="334"/>
      <c r="FR57" s="334"/>
      <c r="FS57" s="334"/>
      <c r="FT57" s="334"/>
      <c r="FU57" s="334"/>
      <c r="FV57" s="334"/>
      <c r="FW57" s="334"/>
      <c r="FX57" s="334"/>
      <c r="FY57" s="334"/>
      <c r="FZ57" s="334"/>
      <c r="GA57" s="334"/>
      <c r="GB57" s="334"/>
      <c r="GC57" s="334"/>
      <c r="GD57" s="334"/>
      <c r="GE57" s="334"/>
      <c r="GF57" s="334"/>
      <c r="GG57" s="334"/>
      <c r="GH57" s="334"/>
      <c r="GI57" s="334"/>
      <c r="GJ57" s="334"/>
      <c r="GK57" s="334"/>
      <c r="GL57" s="334"/>
      <c r="GM57" s="334"/>
      <c r="GN57" s="334"/>
      <c r="GO57" s="334"/>
      <c r="GP57" s="334"/>
      <c r="GQ57" s="334"/>
      <c r="GR57" s="334"/>
      <c r="GS57" s="334"/>
      <c r="GT57" s="334"/>
      <c r="GU57" s="334"/>
      <c r="GV57" s="334"/>
      <c r="GW57" s="334"/>
      <c r="GX57" s="334"/>
      <c r="GY57" s="334"/>
      <c r="GZ57" s="334"/>
      <c r="HA57" s="334"/>
      <c r="HB57" s="334"/>
      <c r="HC57" s="334"/>
      <c r="HD57" s="334"/>
      <c r="HE57" s="334"/>
      <c r="HF57" s="334"/>
      <c r="HG57" s="334"/>
      <c r="HH57" s="334"/>
      <c r="HI57" s="334"/>
      <c r="HJ57" s="334"/>
      <c r="HK57" s="334"/>
      <c r="HL57" s="334"/>
      <c r="HM57" s="334"/>
      <c r="HN57" s="334"/>
      <c r="HO57" s="334"/>
      <c r="HP57" s="334"/>
      <c r="HQ57" s="334"/>
      <c r="HR57" s="334"/>
      <c r="HS57" s="334"/>
      <c r="HT57" s="334"/>
      <c r="HU57" s="334"/>
      <c r="HV57" s="334"/>
      <c r="HW57" s="334"/>
      <c r="HX57" s="334"/>
      <c r="HY57" s="334"/>
      <c r="HZ57" s="334"/>
      <c r="IA57" s="334"/>
      <c r="IB57" s="334"/>
      <c r="IC57" s="334"/>
      <c r="ID57" s="334"/>
      <c r="IE57" s="334"/>
      <c r="IF57" s="334"/>
      <c r="IG57" s="334"/>
      <c r="IH57" s="334"/>
      <c r="II57" s="334"/>
      <c r="IJ57" s="334"/>
      <c r="IK57" s="334"/>
      <c r="IL57" s="334"/>
      <c r="IM57" s="334"/>
      <c r="IN57" s="334"/>
      <c r="IO57" s="334"/>
      <c r="IP57" s="334"/>
      <c r="IQ57" s="334"/>
      <c r="IR57" s="334"/>
      <c r="IS57" s="334"/>
      <c r="IT57" s="334"/>
      <c r="IU57" s="334"/>
      <c r="IV57" s="334"/>
      <c r="IW57" s="334"/>
      <c r="IX57" s="334"/>
      <c r="IY57" s="335"/>
      <c r="IZ57" s="336"/>
      <c r="JA57" s="337"/>
      <c r="JB57" s="337"/>
      <c r="JC57" s="337"/>
      <c r="JD57" s="338"/>
      <c r="JE57" s="334"/>
      <c r="JF57" s="334"/>
      <c r="JG57" s="334"/>
      <c r="JH57" s="334"/>
      <c r="JI57" s="334"/>
      <c r="JJ57" s="334"/>
      <c r="JK57" s="334"/>
      <c r="JL57" s="334"/>
      <c r="JM57" s="334"/>
      <c r="JN57" s="334"/>
      <c r="JO57" s="334"/>
      <c r="JP57" s="334"/>
      <c r="JQ57" s="334"/>
      <c r="JR57" s="334"/>
      <c r="JS57" s="334"/>
      <c r="JT57" s="334"/>
      <c r="JU57" s="334"/>
      <c r="JV57" s="334"/>
      <c r="JW57" s="334"/>
      <c r="JX57" s="334"/>
      <c r="JY57" s="334"/>
      <c r="JZ57" s="334"/>
      <c r="KA57" s="334"/>
      <c r="KB57" s="334"/>
      <c r="KC57" s="334"/>
      <c r="KD57" s="334"/>
      <c r="KE57" s="334"/>
      <c r="KF57" s="334"/>
      <c r="KG57" s="334"/>
      <c r="KH57" s="334"/>
      <c r="KI57" s="334"/>
      <c r="KJ57" s="334"/>
      <c r="KK57" s="334"/>
      <c r="KL57" s="334"/>
      <c r="KM57" s="334"/>
      <c r="KN57" s="334"/>
      <c r="KO57" s="334"/>
      <c r="KP57" s="334"/>
      <c r="KQ57" s="334"/>
      <c r="KR57" s="334"/>
      <c r="KS57" s="334"/>
      <c r="KT57" s="334"/>
      <c r="KU57" s="334"/>
      <c r="KV57" s="334"/>
      <c r="KW57" s="334"/>
      <c r="KX57" s="334"/>
      <c r="KY57" s="334"/>
      <c r="KZ57" s="334"/>
      <c r="LA57" s="334"/>
      <c r="LB57" s="334"/>
      <c r="LC57" s="334"/>
      <c r="LD57" s="334"/>
      <c r="LE57" s="334"/>
      <c r="LF57" s="334"/>
      <c r="LG57" s="334"/>
      <c r="LH57" s="334"/>
      <c r="LI57" s="334"/>
      <c r="LJ57" s="334"/>
      <c r="LK57" s="334"/>
      <c r="LL57" s="334"/>
      <c r="LM57" s="334"/>
      <c r="LN57" s="334"/>
      <c r="LO57" s="334"/>
      <c r="LP57" s="334"/>
      <c r="LQ57" s="334"/>
      <c r="LR57" s="334"/>
      <c r="LS57" s="334"/>
      <c r="LT57" s="334"/>
      <c r="LU57" s="334"/>
      <c r="LV57" s="334"/>
      <c r="LW57" s="334"/>
      <c r="LX57" s="334"/>
      <c r="LY57" s="334"/>
      <c r="LZ57" s="334"/>
      <c r="MA57" s="334"/>
      <c r="MB57" s="334"/>
      <c r="MC57" s="334"/>
      <c r="MD57" s="334"/>
      <c r="ME57" s="334"/>
      <c r="MF57" s="334"/>
      <c r="MG57" s="334"/>
      <c r="MH57" s="334"/>
      <c r="MI57" s="334"/>
      <c r="MJ57" s="334"/>
      <c r="MK57" s="334"/>
      <c r="ML57" s="334"/>
      <c r="MM57" s="334"/>
      <c r="MN57" s="334"/>
      <c r="MO57" s="334"/>
      <c r="MP57" s="334"/>
      <c r="MQ57" s="334"/>
      <c r="MR57" s="334"/>
      <c r="MS57" s="334"/>
      <c r="MT57" s="334"/>
      <c r="MU57" s="334"/>
      <c r="MV57" s="334"/>
      <c r="MW57" s="334"/>
      <c r="MX57" s="334"/>
      <c r="MY57" s="334"/>
      <c r="MZ57" s="334"/>
      <c r="NA57" s="334"/>
      <c r="NB57" s="334"/>
      <c r="NC57" s="334"/>
      <c r="ND57" s="334"/>
      <c r="NE57" s="334"/>
      <c r="NF57" s="334"/>
      <c r="NG57" s="334"/>
      <c r="NH57" s="334"/>
      <c r="NI57" s="334"/>
      <c r="NJ57" s="334"/>
      <c r="NK57" s="334"/>
      <c r="NL57" s="334"/>
      <c r="NM57" s="334"/>
      <c r="NN57" s="334"/>
      <c r="NO57" s="334"/>
      <c r="NP57" s="334"/>
      <c r="NQ57" s="334"/>
      <c r="NR57" s="334"/>
      <c r="NS57" s="334"/>
      <c r="NT57" s="334"/>
      <c r="NU57" s="334"/>
      <c r="NV57" s="334"/>
      <c r="NW57" s="334"/>
      <c r="NX57" s="334"/>
      <c r="NY57" s="334"/>
      <c r="NZ57" s="334"/>
      <c r="OA57" s="334"/>
      <c r="OB57" s="334"/>
      <c r="OC57" s="334"/>
      <c r="OD57" s="334"/>
      <c r="OE57" s="334"/>
      <c r="OF57" s="334"/>
      <c r="OG57" s="334"/>
      <c r="OH57" s="334"/>
      <c r="OI57" s="334"/>
      <c r="OJ57" s="334"/>
      <c r="OK57" s="334"/>
      <c r="OL57" s="334"/>
      <c r="OM57" s="334"/>
      <c r="ON57" s="334"/>
      <c r="OO57" s="334"/>
      <c r="OP57" s="334"/>
      <c r="OQ57" s="334"/>
      <c r="OR57" s="334"/>
      <c r="OS57" s="334"/>
      <c r="OT57" s="334"/>
      <c r="OU57" s="334"/>
      <c r="OV57" s="334"/>
      <c r="OW57" s="334"/>
      <c r="OX57" s="334"/>
      <c r="OY57" s="334"/>
      <c r="OZ57" s="334"/>
      <c r="PA57" s="334"/>
      <c r="PB57" s="334"/>
      <c r="PC57" s="334"/>
      <c r="PD57" s="334"/>
      <c r="PE57" s="334"/>
      <c r="PF57" s="334"/>
      <c r="PG57" s="334"/>
      <c r="PH57" s="334"/>
      <c r="PI57" s="334"/>
      <c r="PJ57" s="334"/>
      <c r="PK57" s="334"/>
      <c r="PL57" s="334"/>
      <c r="PM57" s="334"/>
      <c r="PN57" s="334"/>
      <c r="PO57" s="334"/>
      <c r="PP57" s="334"/>
      <c r="PQ57" s="334"/>
      <c r="PR57" s="334"/>
      <c r="PS57" s="334"/>
      <c r="PT57" s="334"/>
      <c r="PU57" s="334"/>
      <c r="PV57" s="334"/>
      <c r="PW57" s="334"/>
      <c r="PX57" s="334"/>
      <c r="PY57" s="334"/>
      <c r="PZ57" s="334"/>
      <c r="QA57" s="334"/>
      <c r="QB57" s="334"/>
      <c r="QC57" s="334"/>
      <c r="QD57" s="334"/>
      <c r="QE57" s="334"/>
      <c r="QF57" s="334"/>
      <c r="QG57" s="334"/>
      <c r="QH57" s="334"/>
      <c r="QI57" s="334"/>
      <c r="QJ57" s="334"/>
      <c r="QK57" s="334"/>
      <c r="QL57" s="334"/>
      <c r="QM57" s="334"/>
      <c r="QN57" s="334"/>
      <c r="QO57" s="334"/>
      <c r="QP57" s="334"/>
      <c r="QQ57" s="334"/>
      <c r="QR57" s="334"/>
      <c r="QS57" s="334"/>
      <c r="QT57" s="334"/>
      <c r="QU57" s="334"/>
      <c r="QV57" s="334"/>
      <c r="QW57" s="334"/>
      <c r="QX57" s="334"/>
      <c r="QY57" s="334"/>
      <c r="QZ57" s="334"/>
      <c r="RA57" s="334"/>
      <c r="RB57" s="334"/>
      <c r="RC57" s="334"/>
      <c r="RD57" s="334"/>
      <c r="RE57" s="334"/>
      <c r="RF57" s="334"/>
      <c r="RG57" s="334"/>
      <c r="RH57" s="334"/>
      <c r="RI57" s="334"/>
      <c r="RJ57" s="334"/>
      <c r="RK57" s="334"/>
      <c r="RL57" s="334"/>
      <c r="RM57" s="334"/>
      <c r="RN57" s="334"/>
      <c r="RO57" s="334"/>
      <c r="RP57" s="334"/>
      <c r="RQ57" s="334"/>
      <c r="RR57" s="334"/>
      <c r="RS57" s="334"/>
      <c r="RT57" s="334"/>
      <c r="RU57" s="334"/>
      <c r="RV57" s="334"/>
      <c r="RW57" s="334"/>
      <c r="RX57" s="334"/>
      <c r="RY57" s="334"/>
      <c r="RZ57" s="334"/>
      <c r="SA57" s="334"/>
      <c r="SB57" s="334"/>
      <c r="SC57" s="334"/>
      <c r="SD57" s="334"/>
      <c r="SE57" s="334"/>
      <c r="SF57" s="334"/>
      <c r="SG57" s="334"/>
      <c r="SH57" s="334"/>
      <c r="SI57" s="334"/>
      <c r="SJ57" s="334"/>
      <c r="SK57" s="334"/>
      <c r="SL57" s="334"/>
      <c r="SM57" s="334"/>
      <c r="SN57" s="334"/>
      <c r="SO57" s="334"/>
      <c r="SP57" s="334"/>
      <c r="SQ57" s="334"/>
      <c r="SR57" s="334"/>
      <c r="SS57" s="334"/>
      <c r="ST57" s="334"/>
      <c r="SU57" s="334"/>
      <c r="SV57" s="334"/>
      <c r="SW57" s="334"/>
      <c r="SX57" s="334"/>
      <c r="SY57" s="334"/>
      <c r="SZ57" s="334"/>
      <c r="TA57" s="334"/>
      <c r="TB57" s="334"/>
      <c r="TC57" s="334"/>
      <c r="TD57" s="334"/>
      <c r="TE57" s="334"/>
      <c r="TF57" s="334"/>
      <c r="TG57" s="334"/>
      <c r="TH57" s="334"/>
      <c r="TI57" s="334"/>
      <c r="TJ57" s="334"/>
      <c r="TK57" s="334"/>
      <c r="TL57" s="334"/>
      <c r="TM57" s="334"/>
      <c r="TN57" s="334"/>
      <c r="TO57" s="334"/>
      <c r="TP57" s="334"/>
      <c r="TQ57" s="334"/>
      <c r="TR57" s="334"/>
      <c r="TS57" s="334"/>
      <c r="TT57" s="334"/>
      <c r="TU57" s="334"/>
      <c r="TV57" s="334"/>
      <c r="TW57" s="334"/>
      <c r="TX57" s="334"/>
      <c r="TY57" s="334"/>
      <c r="TZ57" s="334"/>
      <c r="UA57" s="334"/>
      <c r="UB57" s="334"/>
      <c r="UC57" s="334"/>
      <c r="UD57" s="334"/>
      <c r="UE57" s="334"/>
      <c r="UF57" s="334"/>
      <c r="UG57" s="334"/>
      <c r="UH57" s="334"/>
      <c r="UI57" s="334"/>
      <c r="UJ57" s="334"/>
      <c r="UK57" s="334"/>
      <c r="UL57" s="334"/>
      <c r="UM57" s="334"/>
      <c r="UN57" s="334"/>
      <c r="UO57" s="334"/>
      <c r="UP57" s="334"/>
      <c r="UQ57" s="334"/>
      <c r="UR57" s="334"/>
      <c r="US57" s="334"/>
      <c r="UT57" s="334"/>
      <c r="UU57" s="334"/>
      <c r="UV57" s="334"/>
      <c r="UW57" s="334"/>
      <c r="UX57" s="334"/>
      <c r="UY57" s="334"/>
      <c r="UZ57" s="334"/>
      <c r="VA57" s="334"/>
      <c r="VB57" s="334"/>
      <c r="VC57" s="334"/>
      <c r="VD57" s="334"/>
      <c r="VE57" s="334"/>
      <c r="VF57" s="334"/>
      <c r="VG57" s="334"/>
      <c r="VH57" s="334"/>
      <c r="VI57" s="334"/>
      <c r="VJ57" s="334"/>
      <c r="VK57" s="334"/>
      <c r="VL57" s="334"/>
      <c r="VM57" s="334"/>
      <c r="VN57" s="334"/>
      <c r="VO57" s="334"/>
      <c r="VP57" s="334"/>
      <c r="VQ57" s="334"/>
      <c r="VR57" s="334"/>
      <c r="VS57" s="334"/>
      <c r="VT57" s="334"/>
      <c r="VU57" s="334"/>
      <c r="VV57" s="334"/>
      <c r="VW57" s="334"/>
      <c r="VX57" s="334"/>
      <c r="VY57" s="334"/>
      <c r="VZ57" s="334"/>
      <c r="WA57" s="334"/>
      <c r="WB57" s="334"/>
      <c r="WC57" s="334"/>
      <c r="WD57" s="334"/>
      <c r="WE57" s="334"/>
      <c r="WF57" s="334"/>
      <c r="WG57" s="334"/>
      <c r="WH57" s="334"/>
      <c r="WI57" s="334"/>
      <c r="WJ57" s="334"/>
      <c r="WK57" s="334"/>
      <c r="WL57" s="334"/>
      <c r="WM57" s="334"/>
      <c r="WN57" s="334"/>
      <c r="WO57" s="334"/>
      <c r="WP57" s="334"/>
      <c r="WQ57" s="334"/>
      <c r="WR57" s="334"/>
      <c r="WS57" s="334"/>
      <c r="WT57" s="334"/>
      <c r="WU57" s="334"/>
      <c r="WV57" s="334"/>
      <c r="WW57" s="334"/>
      <c r="WX57" s="334"/>
      <c r="WY57" s="334"/>
      <c r="WZ57" s="334"/>
      <c r="XA57" s="334"/>
      <c r="XB57" s="334"/>
      <c r="XC57" s="334"/>
      <c r="XD57" s="334"/>
      <c r="XE57" s="334"/>
      <c r="XF57" s="334"/>
      <c r="XG57" s="334"/>
      <c r="XH57" s="334"/>
      <c r="XI57" s="334"/>
      <c r="XJ57" s="334"/>
      <c r="XK57" s="334"/>
      <c r="XL57" s="334"/>
      <c r="XM57" s="334"/>
      <c r="XN57" s="334"/>
      <c r="XO57" s="334"/>
      <c r="XP57" s="334"/>
      <c r="XQ57" s="334"/>
      <c r="XR57" s="334"/>
      <c r="XS57" s="334"/>
      <c r="XT57" s="334"/>
      <c r="XU57" s="334"/>
      <c r="XV57" s="334"/>
      <c r="XW57" s="334"/>
      <c r="XX57" s="334"/>
      <c r="XY57" s="334"/>
      <c r="XZ57" s="334"/>
      <c r="YA57" s="334"/>
      <c r="YB57" s="334"/>
      <c r="YC57" s="334"/>
      <c r="YD57" s="334"/>
      <c r="YE57" s="334"/>
      <c r="YF57" s="334"/>
      <c r="YG57" s="334"/>
      <c r="YH57" s="334"/>
      <c r="YI57" s="334"/>
      <c r="YJ57" s="334"/>
      <c r="YK57" s="334"/>
      <c r="YL57" s="334"/>
      <c r="YM57" s="334"/>
      <c r="YN57" s="334"/>
      <c r="YO57" s="334"/>
      <c r="YP57" s="334"/>
      <c r="YQ57" s="334"/>
      <c r="YR57" s="334"/>
      <c r="YS57" s="334"/>
      <c r="YT57" s="334"/>
      <c r="YU57" s="334"/>
      <c r="YV57" s="334"/>
      <c r="YW57" s="334"/>
      <c r="YX57" s="334"/>
      <c r="YY57" s="334"/>
      <c r="YZ57" s="334"/>
      <c r="ZA57" s="334"/>
      <c r="ZB57" s="334"/>
      <c r="ZC57" s="334"/>
      <c r="ZD57" s="334"/>
      <c r="ZE57" s="334"/>
      <c r="ZF57" s="334"/>
      <c r="ZG57" s="334"/>
      <c r="ZH57" s="334"/>
      <c r="ZI57" s="334"/>
      <c r="ZJ57" s="334"/>
      <c r="ZK57" s="334"/>
      <c r="ZL57" s="334"/>
      <c r="ZM57" s="334"/>
      <c r="ZN57" s="334"/>
      <c r="ZO57" s="334"/>
      <c r="ZP57" s="334"/>
      <c r="ZQ57" s="334"/>
      <c r="ZR57" s="334"/>
      <c r="ZS57" s="334"/>
      <c r="ZT57" s="334"/>
      <c r="ZU57" s="334"/>
      <c r="ZV57" s="334"/>
      <c r="ZW57" s="334"/>
      <c r="ZX57" s="334"/>
      <c r="ZY57" s="334"/>
      <c r="ZZ57" s="334"/>
      <c r="AAA57" s="334"/>
      <c r="AAB57" s="334"/>
      <c r="AAC57" s="334"/>
      <c r="AAD57" s="334"/>
      <c r="AAE57" s="334"/>
      <c r="AAF57" s="334"/>
      <c r="AAG57" s="334"/>
      <c r="AAH57" s="334"/>
      <c r="AAI57" s="334"/>
      <c r="AAJ57" s="334"/>
      <c r="AAK57" s="334"/>
      <c r="AAL57" s="334"/>
      <c r="AAM57" s="334"/>
      <c r="AAN57" s="334"/>
      <c r="AAO57" s="334"/>
      <c r="AAP57" s="334"/>
      <c r="AAQ57" s="334"/>
      <c r="AAR57" s="334"/>
      <c r="AAS57" s="334"/>
      <c r="AAT57" s="334"/>
      <c r="AAU57" s="334"/>
      <c r="AAV57" s="334"/>
      <c r="AAW57" s="334"/>
      <c r="AAX57" s="334"/>
      <c r="AAY57" s="334"/>
      <c r="AAZ57" s="334"/>
      <c r="ABA57" s="334"/>
      <c r="ABB57" s="334"/>
      <c r="ABC57" s="334"/>
      <c r="ABD57" s="334"/>
      <c r="ABE57" s="334"/>
      <c r="ABF57" s="334"/>
      <c r="ABG57" s="334"/>
      <c r="ABH57" s="334"/>
      <c r="ABI57" s="334"/>
      <c r="ABJ57" s="334"/>
      <c r="ABK57" s="334"/>
      <c r="ABL57" s="334"/>
      <c r="ABM57" s="334"/>
      <c r="ABN57" s="334"/>
      <c r="ABO57" s="334"/>
      <c r="ABP57" s="334"/>
      <c r="ABQ57" s="334"/>
      <c r="ABR57" s="334"/>
      <c r="ABS57" s="334"/>
      <c r="ABT57" s="334"/>
      <c r="ABU57" s="334"/>
      <c r="ABV57" s="334"/>
      <c r="ABW57" s="334"/>
      <c r="ABX57" s="334"/>
      <c r="ABY57" s="334"/>
      <c r="ABZ57" s="334"/>
      <c r="ACA57" s="334"/>
      <c r="ACB57" s="334"/>
      <c r="ACC57" s="334"/>
      <c r="ACD57" s="334"/>
      <c r="ACE57" s="334"/>
      <c r="ACF57" s="334"/>
      <c r="ACG57" s="334"/>
      <c r="ACH57" s="334"/>
      <c r="ACI57" s="334"/>
      <c r="ACJ57" s="334"/>
      <c r="ACK57" s="334"/>
      <c r="ACL57" s="334"/>
      <c r="ACM57" s="334"/>
      <c r="ACN57" s="334"/>
      <c r="ACO57" s="334"/>
      <c r="ACP57" s="334"/>
      <c r="ACQ57" s="334"/>
      <c r="ACR57" s="334"/>
      <c r="ACS57" s="334"/>
      <c r="ACT57" s="334"/>
      <c r="ACU57" s="334"/>
      <c r="ACV57" s="334"/>
      <c r="ACW57" s="334"/>
      <c r="ACX57" s="334"/>
      <c r="ACY57" s="334"/>
      <c r="ACZ57" s="334"/>
      <c r="ADA57" s="334"/>
      <c r="ADB57" s="334"/>
      <c r="ADC57" s="334"/>
      <c r="ADD57" s="334"/>
      <c r="ADE57" s="334"/>
      <c r="ADF57" s="334"/>
      <c r="ADG57" s="334"/>
      <c r="ADH57" s="334"/>
      <c r="ADI57" s="334"/>
      <c r="ADJ57" s="334"/>
      <c r="ADK57" s="334"/>
      <c r="ADL57" s="334"/>
      <c r="ADM57" s="334"/>
      <c r="ADN57" s="334"/>
      <c r="ADO57" s="334"/>
      <c r="ADP57" s="334"/>
      <c r="ADQ57" s="334"/>
      <c r="ADR57" s="334"/>
      <c r="ADS57" s="334"/>
      <c r="ADT57" s="334"/>
      <c r="ADU57" s="334"/>
      <c r="ADV57" s="334"/>
      <c r="ADW57" s="334"/>
      <c r="ADX57" s="334"/>
      <c r="ADY57" s="334"/>
      <c r="ADZ57" s="334"/>
      <c r="AEA57" s="334"/>
      <c r="AEB57" s="334"/>
      <c r="AEC57" s="334"/>
      <c r="AED57" s="334"/>
      <c r="AEE57" s="334"/>
      <c r="AEF57" s="334"/>
      <c r="AEG57" s="334"/>
      <c r="AEH57" s="334"/>
      <c r="AEI57" s="334"/>
      <c r="AEJ57" s="334"/>
      <c r="AEK57" s="334"/>
      <c r="AEL57" s="334"/>
      <c r="AEM57" s="334"/>
      <c r="AEN57" s="334"/>
      <c r="AEO57" s="334"/>
      <c r="AEP57" s="334"/>
      <c r="AEQ57" s="334"/>
      <c r="AER57" s="334"/>
      <c r="AES57" s="334"/>
      <c r="AET57" s="334"/>
      <c r="AEU57" s="334"/>
      <c r="AEV57" s="334"/>
      <c r="AEW57" s="334"/>
      <c r="AEX57" s="334"/>
      <c r="AEY57" s="334"/>
      <c r="AEZ57" s="334"/>
      <c r="AFA57" s="334"/>
      <c r="AFB57" s="334"/>
      <c r="AFC57" s="334"/>
      <c r="AFD57" s="334"/>
      <c r="AFE57" s="334"/>
      <c r="AFF57" s="334"/>
      <c r="AFG57" s="334"/>
      <c r="AFH57" s="334"/>
      <c r="AFI57" s="334"/>
      <c r="AFJ57" s="334"/>
      <c r="AFK57" s="334"/>
      <c r="AFL57" s="334"/>
      <c r="AFM57" s="334"/>
      <c r="AFN57" s="334"/>
      <c r="AFO57" s="334"/>
      <c r="AFP57" s="334"/>
      <c r="AFQ57" s="334"/>
      <c r="AFR57" s="334"/>
      <c r="AFS57" s="334"/>
      <c r="AFT57" s="334"/>
      <c r="AFU57" s="334"/>
      <c r="AFV57" s="334"/>
      <c r="AFW57" s="334"/>
      <c r="AFX57" s="334"/>
      <c r="AFY57" s="334"/>
      <c r="AFZ57" s="334"/>
      <c r="AGA57" s="334"/>
      <c r="AGB57" s="334"/>
      <c r="AGC57" s="334"/>
      <c r="AGD57" s="334"/>
      <c r="AGE57" s="334"/>
      <c r="AGF57" s="334"/>
      <c r="AGG57" s="334"/>
      <c r="AGH57" s="334"/>
      <c r="AGI57" s="334"/>
      <c r="AGJ57" s="334"/>
      <c r="AGK57" s="334"/>
      <c r="AGL57" s="334"/>
      <c r="AGM57" s="334"/>
      <c r="AGN57" s="334"/>
      <c r="AGO57" s="334"/>
      <c r="AGP57" s="334"/>
      <c r="AGQ57" s="334"/>
      <c r="AGR57" s="334"/>
      <c r="AGS57" s="334"/>
      <c r="AGT57" s="334"/>
      <c r="AGU57" s="334"/>
      <c r="AGV57" s="334"/>
      <c r="AGW57" s="334"/>
      <c r="AGX57" s="334"/>
      <c r="AGY57" s="334"/>
      <c r="AGZ57" s="334"/>
      <c r="AHA57" s="334"/>
      <c r="AHB57" s="334"/>
      <c r="AHC57" s="334"/>
      <c r="AHD57" s="334"/>
      <c r="AHE57" s="334"/>
      <c r="AHF57" s="334"/>
      <c r="AHG57" s="334"/>
      <c r="AHH57" s="334"/>
      <c r="AHI57" s="334"/>
      <c r="AHJ57" s="334"/>
      <c r="AHK57" s="334"/>
      <c r="AHL57" s="334"/>
      <c r="AHM57" s="334"/>
      <c r="AHN57" s="334"/>
      <c r="AHO57" s="334"/>
      <c r="AHP57" s="334"/>
      <c r="AHQ57" s="334"/>
      <c r="AHR57" s="334"/>
      <c r="AHS57" s="334"/>
      <c r="AHT57" s="334"/>
      <c r="AHU57" s="334"/>
      <c r="AHV57" s="334"/>
      <c r="AHW57" s="334"/>
      <c r="AHX57" s="334"/>
      <c r="AHY57" s="334"/>
      <c r="AHZ57" s="334"/>
      <c r="AIA57" s="334"/>
      <c r="AIB57" s="334"/>
      <c r="AIC57" s="334"/>
      <c r="AID57" s="334"/>
      <c r="AIE57" s="334"/>
      <c r="AIF57" s="334"/>
      <c r="AIG57" s="334"/>
      <c r="AIH57" s="334"/>
      <c r="AII57" s="334"/>
      <c r="AIJ57" s="334"/>
      <c r="AIK57" s="334"/>
      <c r="AIL57" s="334"/>
      <c r="AIM57" s="334"/>
      <c r="AIN57" s="334"/>
      <c r="AIO57" s="334"/>
      <c r="AIP57" s="334"/>
      <c r="AIQ57" s="334"/>
      <c r="AIR57" s="334"/>
      <c r="AIS57" s="334"/>
      <c r="AIT57" s="334"/>
      <c r="AIU57" s="334"/>
      <c r="AIV57" s="334"/>
      <c r="AIW57" s="334"/>
      <c r="AIX57" s="334"/>
      <c r="AIY57" s="334"/>
      <c r="AIZ57" s="334"/>
      <c r="AJA57" s="334"/>
      <c r="AJB57" s="334"/>
      <c r="AJC57" s="334"/>
      <c r="AJD57" s="334"/>
      <c r="AJE57" s="334"/>
      <c r="AJF57" s="334"/>
      <c r="AJG57" s="334"/>
      <c r="AJH57" s="334"/>
      <c r="AJI57" s="334"/>
      <c r="AJJ57" s="334"/>
      <c r="AJK57" s="334"/>
      <c r="AJL57" s="334"/>
      <c r="AJM57" s="334"/>
      <c r="AJN57" s="334"/>
      <c r="AJO57" s="334"/>
      <c r="AJP57" s="334"/>
      <c r="AJQ57" s="334"/>
      <c r="AJR57" s="334"/>
      <c r="AJS57" s="334"/>
      <c r="AJT57" s="334"/>
      <c r="AJU57" s="334"/>
      <c r="AJV57" s="334"/>
      <c r="AJW57" s="334"/>
      <c r="AJX57" s="334"/>
      <c r="AJY57" s="334"/>
      <c r="AJZ57" s="334"/>
      <c r="AKA57" s="334"/>
      <c r="AKB57" s="334"/>
      <c r="AKC57" s="334"/>
      <c r="AKD57" s="334"/>
      <c r="AKE57" s="334"/>
      <c r="AKF57" s="334"/>
      <c r="AKG57" s="334"/>
      <c r="AKH57" s="334"/>
      <c r="AKI57" s="334"/>
      <c r="AKJ57" s="334"/>
      <c r="AKK57" s="334"/>
      <c r="AKL57" s="334"/>
      <c r="AKM57" s="334"/>
      <c r="AKN57" s="334"/>
      <c r="AKO57" s="334"/>
      <c r="AKP57" s="334"/>
      <c r="AKQ57" s="334"/>
      <c r="AKR57" s="334"/>
      <c r="AKS57" s="334"/>
      <c r="AKT57" s="334"/>
      <c r="AKU57" s="334"/>
      <c r="AKV57" s="334"/>
      <c r="AKW57" s="334"/>
      <c r="AKX57" s="334"/>
      <c r="AKY57" s="334"/>
      <c r="AKZ57" s="334"/>
      <c r="ALA57" s="334"/>
      <c r="ALB57" s="334"/>
      <c r="ALC57" s="334"/>
      <c r="ALD57" s="334"/>
      <c r="ALE57" s="334"/>
      <c r="ALF57" s="334"/>
      <c r="ALG57" s="334"/>
      <c r="ALH57" s="334"/>
      <c r="ALI57" s="334"/>
      <c r="ALJ57" s="334"/>
      <c r="ALK57" s="334"/>
      <c r="ALL57" s="334"/>
      <c r="ALM57" s="334"/>
      <c r="ALN57" s="334"/>
      <c r="ALO57" s="334"/>
      <c r="ALP57" s="334"/>
      <c r="ALQ57" s="334"/>
      <c r="ALR57" s="334"/>
      <c r="ALS57" s="334"/>
      <c r="ALT57" s="334"/>
      <c r="ALU57" s="334"/>
      <c r="ALV57" s="334"/>
      <c r="ALW57" s="334"/>
      <c r="ALX57" s="334"/>
      <c r="ALY57" s="334"/>
      <c r="ALZ57" s="334"/>
      <c r="AMA57" s="334"/>
      <c r="AMB57" s="334"/>
      <c r="AMC57" s="334"/>
      <c r="AMD57" s="334"/>
      <c r="AME57" s="334"/>
      <c r="AMF57" s="334"/>
      <c r="AMG57" s="334"/>
      <c r="AMH57" s="334"/>
      <c r="AMI57" s="334"/>
      <c r="AMJ57" s="334"/>
      <c r="AMK57" s="334"/>
      <c r="AML57" s="334"/>
      <c r="AMM57" s="334"/>
      <c r="AMN57" s="334"/>
      <c r="AMO57" s="334"/>
      <c r="AMP57" s="334"/>
      <c r="AMQ57" s="334"/>
      <c r="AMR57" s="334"/>
      <c r="AMS57" s="334"/>
      <c r="AMT57" s="334"/>
      <c r="AMU57" s="334"/>
      <c r="AMV57" s="334"/>
      <c r="AMW57" s="334"/>
      <c r="AMX57" s="334"/>
      <c r="AMY57" s="334"/>
      <c r="AMZ57" s="334"/>
      <c r="ANA57" s="334"/>
      <c r="ANB57" s="334"/>
      <c r="ANC57" s="334"/>
      <c r="AND57" s="334"/>
      <c r="ANE57" s="334"/>
      <c r="ANF57" s="334"/>
      <c r="ANG57" s="334"/>
      <c r="ANH57" s="334"/>
      <c r="ANI57" s="334"/>
      <c r="ANJ57" s="334"/>
      <c r="ANK57" s="334"/>
      <c r="ANL57" s="334"/>
      <c r="ANM57" s="334"/>
      <c r="ANN57" s="334"/>
      <c r="ANO57" s="334"/>
      <c r="ANP57" s="334"/>
      <c r="ANQ57" s="334"/>
      <c r="ANR57" s="334"/>
      <c r="ANS57" s="334"/>
      <c r="ANT57" s="334"/>
      <c r="ANU57" s="334"/>
      <c r="ANV57" s="334"/>
      <c r="ANW57" s="334"/>
      <c r="ANX57" s="334"/>
      <c r="ANY57" s="334"/>
      <c r="ANZ57" s="334"/>
      <c r="AOA57" s="334"/>
      <c r="AOB57" s="334"/>
      <c r="AOC57" s="334"/>
      <c r="AOD57" s="334"/>
      <c r="AOE57" s="334"/>
      <c r="AOF57" s="334"/>
      <c r="AOG57" s="334"/>
      <c r="AOH57" s="334"/>
      <c r="AOI57" s="334"/>
      <c r="AOJ57" s="334"/>
      <c r="AOK57" s="334"/>
      <c r="AOL57" s="334"/>
      <c r="AOM57" s="334"/>
      <c r="AON57" s="334"/>
      <c r="AOO57" s="334"/>
      <c r="AOP57" s="334"/>
      <c r="AOQ57" s="334"/>
      <c r="AOR57" s="334"/>
      <c r="AOS57" s="334"/>
      <c r="AOT57" s="334"/>
      <c r="AOU57" s="334"/>
      <c r="AOV57" s="334"/>
      <c r="AOW57" s="334"/>
      <c r="AOX57" s="334"/>
      <c r="AOY57" s="334"/>
      <c r="AOZ57" s="334"/>
      <c r="APA57" s="334"/>
      <c r="APB57" s="334"/>
      <c r="APC57" s="334"/>
      <c r="APD57" s="334"/>
      <c r="APE57" s="334"/>
      <c r="APF57" s="334"/>
      <c r="APG57" s="334"/>
      <c r="APH57" s="334"/>
      <c r="API57" s="334"/>
      <c r="APJ57" s="334"/>
      <c r="APK57" s="334"/>
      <c r="APL57" s="334"/>
      <c r="APM57" s="334"/>
      <c r="APN57" s="334"/>
      <c r="APO57" s="334"/>
      <c r="APP57" s="334"/>
      <c r="APQ57" s="334"/>
      <c r="APR57" s="334"/>
      <c r="APS57" s="334"/>
      <c r="APT57" s="334"/>
      <c r="APU57" s="334"/>
      <c r="APV57" s="334"/>
      <c r="APW57" s="334"/>
      <c r="APX57" s="334"/>
      <c r="APY57" s="334"/>
      <c r="APZ57" s="334"/>
      <c r="AQA57" s="334"/>
      <c r="AQB57" s="334"/>
      <c r="AQC57" s="334"/>
      <c r="AQD57" s="334"/>
      <c r="AQE57" s="334"/>
      <c r="AQF57" s="334"/>
      <c r="AQG57" s="334"/>
      <c r="AQH57" s="334"/>
      <c r="AQI57" s="334"/>
      <c r="AQJ57" s="334"/>
      <c r="AQK57" s="334"/>
      <c r="AQL57" s="334"/>
      <c r="AQM57" s="334"/>
      <c r="AQN57" s="334"/>
      <c r="AQO57" s="334"/>
      <c r="AQP57" s="334"/>
      <c r="AQQ57" s="334"/>
      <c r="AQR57" s="334"/>
      <c r="AQS57" s="334"/>
      <c r="AQT57" s="334"/>
      <c r="AQU57" s="334"/>
      <c r="AQV57" s="334"/>
      <c r="AQW57" s="334"/>
      <c r="AQX57" s="334"/>
      <c r="AQY57" s="334"/>
      <c r="AQZ57" s="334"/>
      <c r="ARA57" s="334"/>
      <c r="ARB57" s="334"/>
      <c r="ARC57" s="334"/>
      <c r="ARD57" s="334"/>
      <c r="ARE57" s="334"/>
      <c r="ARF57" s="334"/>
      <c r="ARG57" s="334"/>
      <c r="ARH57" s="334"/>
      <c r="ARI57" s="334"/>
      <c r="ARJ57" s="334"/>
      <c r="ARK57" s="334"/>
      <c r="ARL57" s="334"/>
      <c r="ARM57" s="334"/>
      <c r="ARN57" s="334"/>
      <c r="ARO57" s="334"/>
      <c r="ARP57" s="334"/>
      <c r="ARQ57" s="334"/>
      <c r="ARR57" s="334"/>
      <c r="ARS57" s="334"/>
      <c r="ART57" s="334"/>
      <c r="ARU57" s="334"/>
      <c r="ARV57" s="334"/>
      <c r="ARW57" s="334"/>
      <c r="ARX57" s="334"/>
      <c r="ARY57" s="334"/>
      <c r="ARZ57" s="334"/>
      <c r="ASA57" s="334"/>
      <c r="ASB57" s="334"/>
      <c r="ASC57" s="334"/>
      <c r="ASD57" s="334"/>
      <c r="ASE57" s="334"/>
      <c r="ASF57" s="334"/>
      <c r="ASG57" s="334"/>
      <c r="ASH57" s="334"/>
      <c r="ASI57" s="334"/>
      <c r="ASJ57" s="334"/>
      <c r="ASK57" s="334"/>
      <c r="ASL57" s="334"/>
      <c r="ASM57" s="334"/>
      <c r="ASN57" s="334"/>
      <c r="ASO57" s="334"/>
      <c r="ASP57" s="334"/>
      <c r="ASQ57" s="334"/>
      <c r="ASR57" s="334"/>
      <c r="ASS57" s="334"/>
      <c r="AST57" s="334"/>
      <c r="ASU57" s="334"/>
      <c r="ASV57" s="334"/>
      <c r="ASW57" s="334"/>
      <c r="ASX57" s="334"/>
      <c r="ASY57" s="334"/>
      <c r="ASZ57" s="334"/>
      <c r="ATA57" s="334"/>
      <c r="ATB57" s="334"/>
      <c r="ATC57" s="334"/>
      <c r="ATD57" s="334"/>
      <c r="ATE57" s="334"/>
      <c r="ATF57" s="334"/>
      <c r="ATG57" s="334"/>
      <c r="ATH57" s="334"/>
      <c r="ATI57" s="334"/>
      <c r="ATJ57" s="334"/>
      <c r="ATK57" s="334"/>
      <c r="ATL57" s="334"/>
      <c r="ATM57" s="334"/>
      <c r="ATN57" s="334"/>
      <c r="ATO57" s="334"/>
      <c r="ATP57" s="334"/>
      <c r="ATQ57" s="334"/>
      <c r="ATR57" s="334"/>
      <c r="ATS57" s="334"/>
      <c r="ATT57" s="334"/>
      <c r="ATU57" s="334"/>
      <c r="ATV57" s="334"/>
      <c r="ATW57" s="334"/>
      <c r="ATX57" s="334"/>
      <c r="ATY57" s="334"/>
      <c r="ATZ57" s="334"/>
      <c r="AUA57" s="334"/>
      <c r="AUB57" s="334"/>
      <c r="AUC57" s="334"/>
      <c r="AUD57" s="334"/>
      <c r="AUE57" s="334"/>
      <c r="AUF57" s="334"/>
      <c r="AUG57" s="334"/>
      <c r="AUH57" s="334"/>
      <c r="AUI57" s="334"/>
      <c r="AUJ57" s="334"/>
      <c r="AUK57" s="334"/>
      <c r="AUL57" s="334"/>
      <c r="AUM57" s="334"/>
      <c r="AUN57" s="334"/>
      <c r="AUO57" s="334"/>
      <c r="AUP57" s="334"/>
      <c r="AUQ57" s="334"/>
      <c r="AUR57" s="334"/>
      <c r="AUS57" s="334"/>
      <c r="AUT57" s="334"/>
      <c r="AUU57" s="334"/>
      <c r="AUV57" s="334"/>
      <c r="AUW57" s="334"/>
      <c r="AUX57" s="334"/>
      <c r="AUY57" s="334"/>
      <c r="AUZ57" s="334"/>
      <c r="AVA57" s="334"/>
      <c r="AVB57" s="334"/>
      <c r="AVC57" s="334"/>
      <c r="AVD57" s="334"/>
      <c r="AVE57" s="334"/>
      <c r="AVF57" s="334"/>
      <c r="AVG57" s="334"/>
      <c r="AVH57" s="334"/>
      <c r="AVI57" s="334"/>
      <c r="AVJ57" s="334"/>
      <c r="AVK57" s="334"/>
      <c r="AVL57" s="334"/>
      <c r="AVM57" s="334"/>
      <c r="AVN57" s="334"/>
      <c r="AVO57" s="334"/>
      <c r="AVP57" s="334"/>
      <c r="AVQ57" s="334"/>
      <c r="AVR57" s="334"/>
      <c r="AVS57" s="334"/>
      <c r="AVT57" s="334"/>
      <c r="AVU57" s="334"/>
      <c r="AVV57" s="334"/>
      <c r="AVW57" s="334"/>
      <c r="AVX57" s="334"/>
      <c r="AVY57" s="334"/>
      <c r="AVZ57" s="334"/>
      <c r="AWA57" s="334"/>
      <c r="AWB57" s="334"/>
      <c r="AWC57" s="334"/>
      <c r="AWD57" s="334"/>
      <c r="AWE57" s="334"/>
      <c r="AWF57" s="334"/>
      <c r="AWG57" s="334"/>
      <c r="AWH57" s="334"/>
      <c r="AWI57" s="334"/>
      <c r="AWJ57" s="334"/>
      <c r="AWK57" s="334"/>
      <c r="AWL57" s="334"/>
      <c r="AWM57" s="334"/>
      <c r="AWN57" s="334"/>
      <c r="AWO57" s="334"/>
      <c r="AWP57" s="334"/>
      <c r="AWQ57" s="334"/>
      <c r="AWR57" s="334"/>
      <c r="AWS57" s="334"/>
      <c r="AWT57" s="334"/>
      <c r="AWU57" s="334"/>
      <c r="AWV57" s="334"/>
      <c r="AWW57" s="334"/>
      <c r="AWX57" s="334"/>
      <c r="AWY57" s="334"/>
      <c r="AWZ57" s="334"/>
      <c r="AXA57" s="334"/>
      <c r="AXB57" s="334"/>
      <c r="AXC57" s="334"/>
      <c r="AXD57" s="334"/>
      <c r="AXE57" s="334"/>
      <c r="AXF57" s="334"/>
      <c r="AXG57" s="334"/>
      <c r="AXH57" s="334"/>
      <c r="AXI57" s="334"/>
      <c r="AXJ57" s="334"/>
      <c r="AXK57" s="334"/>
      <c r="AXL57" s="334"/>
      <c r="AXM57" s="334"/>
      <c r="AXN57" s="334"/>
      <c r="AXO57" s="334"/>
      <c r="AXP57" s="334"/>
      <c r="AXQ57" s="334"/>
      <c r="AXR57" s="334"/>
      <c r="AXS57" s="334"/>
      <c r="AXT57" s="334"/>
      <c r="AXU57" s="334"/>
      <c r="AXV57" s="334"/>
      <c r="AXW57" s="334"/>
      <c r="AXX57" s="334"/>
      <c r="AXY57" s="334"/>
      <c r="AXZ57" s="334"/>
      <c r="AYA57" s="334"/>
      <c r="AYB57" s="334"/>
      <c r="AYC57" s="334"/>
      <c r="AYD57" s="334"/>
      <c r="AYE57" s="334"/>
      <c r="AYF57" s="334"/>
      <c r="AYG57" s="334"/>
      <c r="AYH57" s="334"/>
      <c r="AYI57" s="334"/>
      <c r="AYJ57" s="334"/>
      <c r="AYK57" s="334"/>
      <c r="AYL57" s="334"/>
      <c r="AYM57" s="334"/>
      <c r="AYN57" s="334"/>
      <c r="AYO57" s="334"/>
      <c r="AYP57" s="334"/>
      <c r="AYQ57" s="334"/>
      <c r="AYR57" s="334"/>
      <c r="AYS57" s="334"/>
      <c r="AYT57" s="334"/>
      <c r="AYU57" s="334"/>
      <c r="AYV57" s="334"/>
      <c r="AYW57" s="334"/>
      <c r="AYX57" s="334"/>
      <c r="AYY57" s="334"/>
      <c r="AYZ57" s="334"/>
      <c r="AZA57" s="334"/>
      <c r="AZB57" s="334"/>
      <c r="AZC57" s="334"/>
      <c r="AZD57" s="334"/>
      <c r="AZE57" s="334"/>
      <c r="AZF57" s="334"/>
      <c r="AZG57" s="334"/>
      <c r="AZH57" s="334"/>
      <c r="AZI57" s="334"/>
      <c r="AZJ57" s="334"/>
      <c r="AZK57" s="334"/>
      <c r="AZL57" s="334"/>
      <c r="AZM57" s="334"/>
      <c r="AZN57" s="334"/>
      <c r="AZO57" s="334"/>
      <c r="AZP57" s="334"/>
      <c r="AZQ57" s="334"/>
      <c r="AZR57" s="334"/>
      <c r="AZS57" s="334"/>
      <c r="AZT57" s="334"/>
      <c r="AZU57" s="334"/>
      <c r="AZV57" s="334"/>
      <c r="AZW57" s="334"/>
      <c r="AZX57" s="334"/>
      <c r="AZY57" s="334"/>
      <c r="AZZ57" s="334"/>
      <c r="BAA57" s="334"/>
      <c r="BAB57" s="334"/>
      <c r="BAC57" s="334"/>
      <c r="BAD57" s="334"/>
      <c r="BAE57" s="334"/>
      <c r="BAF57" s="334"/>
      <c r="BAG57" s="334"/>
      <c r="BAH57" s="334"/>
      <c r="BAI57" s="334"/>
      <c r="BAJ57" s="334"/>
      <c r="BAK57" s="334"/>
      <c r="BAL57" s="334"/>
      <c r="BAM57" s="334"/>
      <c r="BAN57" s="334"/>
      <c r="BAO57" s="334"/>
      <c r="BAP57" s="334"/>
      <c r="BAQ57" s="334"/>
      <c r="BAR57" s="334"/>
      <c r="BAS57" s="334"/>
      <c r="BAT57" s="334"/>
      <c r="BAU57" s="334"/>
      <c r="BAV57" s="334"/>
      <c r="BAW57" s="334"/>
      <c r="BAX57" s="334"/>
      <c r="BAY57" s="334"/>
      <c r="BAZ57" s="334"/>
      <c r="BBA57" s="334"/>
      <c r="BBB57" s="334"/>
      <c r="BBC57" s="334"/>
      <c r="BBD57" s="334"/>
      <c r="BBE57" s="334"/>
      <c r="BBF57" s="334"/>
      <c r="BBG57" s="334"/>
      <c r="BBH57" s="334"/>
      <c r="BBI57" s="334"/>
      <c r="BBJ57" s="334"/>
      <c r="BBK57" s="334"/>
      <c r="BBL57" s="334"/>
      <c r="BBM57" s="334"/>
      <c r="BBN57" s="334"/>
      <c r="BBO57" s="334"/>
      <c r="BBP57" s="334"/>
      <c r="BBQ57" s="334"/>
      <c r="BBR57" s="334"/>
      <c r="BBS57" s="334"/>
      <c r="BBT57" s="334"/>
      <c r="BBU57" s="334"/>
      <c r="BBV57" s="334"/>
      <c r="BBW57" s="334"/>
      <c r="BBX57" s="334"/>
      <c r="BBY57" s="334"/>
      <c r="BBZ57" s="334"/>
      <c r="BCA57" s="334"/>
      <c r="BCB57" s="334"/>
      <c r="BCC57" s="334"/>
      <c r="BCD57" s="334"/>
      <c r="BCE57" s="334"/>
      <c r="BCF57" s="334"/>
      <c r="BCG57" s="334"/>
      <c r="BCH57" s="334"/>
      <c r="BCI57" s="334"/>
      <c r="BCJ57" s="334"/>
      <c r="BCK57" s="334"/>
      <c r="BCL57" s="334"/>
      <c r="BCM57" s="334"/>
      <c r="BCN57" s="334"/>
      <c r="BCO57" s="334"/>
      <c r="BCP57" s="334"/>
      <c r="BCQ57" s="334"/>
      <c r="BCR57" s="334"/>
      <c r="BCS57" s="334"/>
      <c r="BCT57" s="334"/>
      <c r="BCU57" s="334"/>
      <c r="BCV57" s="334"/>
      <c r="BCW57" s="334"/>
      <c r="BCX57" s="334"/>
      <c r="BCY57" s="334"/>
      <c r="BCZ57" s="334"/>
      <c r="BDA57" s="334"/>
      <c r="BDB57" s="334"/>
      <c r="BDC57" s="334"/>
      <c r="BDD57" s="334"/>
      <c r="BDE57" s="334"/>
      <c r="BDF57" s="334"/>
      <c r="BDG57" s="334"/>
      <c r="BDH57" s="334"/>
      <c r="BDI57" s="334"/>
      <c r="BDJ57" s="334"/>
      <c r="BDK57" s="334"/>
      <c r="BDL57" s="334"/>
      <c r="BDM57" s="334"/>
      <c r="BDN57" s="334"/>
      <c r="BDO57" s="334"/>
      <c r="BDP57" s="334"/>
      <c r="BDQ57" s="334"/>
      <c r="BDR57" s="334"/>
      <c r="BDS57" s="334"/>
      <c r="BDT57" s="334"/>
      <c r="BDU57" s="334"/>
      <c r="BDV57" s="334"/>
      <c r="BDW57" s="334"/>
      <c r="BDX57" s="334"/>
      <c r="BDY57" s="334"/>
      <c r="BDZ57" s="334"/>
      <c r="BEA57" s="334"/>
      <c r="BEB57" s="334"/>
      <c r="BEC57" s="334"/>
      <c r="BED57" s="334"/>
      <c r="BEE57" s="334"/>
      <c r="BEF57" s="334"/>
      <c r="BEG57" s="334"/>
      <c r="BEH57" s="334"/>
      <c r="BEI57" s="334"/>
      <c r="BEJ57" s="334"/>
      <c r="BEK57" s="334"/>
      <c r="BEL57" s="334"/>
      <c r="BEM57" s="334"/>
      <c r="BEN57" s="334"/>
      <c r="BEO57" s="334"/>
      <c r="BEP57" s="334"/>
      <c r="BEQ57" s="334"/>
      <c r="BER57" s="334"/>
      <c r="BES57" s="334"/>
      <c r="BET57" s="334"/>
      <c r="BEU57" s="334"/>
      <c r="BEV57" s="334"/>
      <c r="BEW57" s="334"/>
      <c r="BEX57" s="334"/>
      <c r="BEY57" s="334"/>
      <c r="BEZ57" s="334"/>
      <c r="BFA57" s="334"/>
      <c r="BFB57" s="334"/>
      <c r="BFC57" s="334"/>
      <c r="BFD57" s="334"/>
      <c r="BFE57" s="334"/>
      <c r="BFF57" s="334"/>
      <c r="BFG57" s="334"/>
      <c r="BFH57" s="334"/>
      <c r="BFI57" s="334"/>
      <c r="BFJ57" s="334"/>
      <c r="BFK57" s="334"/>
      <c r="BFL57" s="334"/>
      <c r="BFM57" s="334"/>
      <c r="BFN57" s="334"/>
      <c r="BFO57" s="334"/>
      <c r="BFP57" s="334"/>
      <c r="BFQ57" s="334"/>
      <c r="BFR57" s="334"/>
      <c r="BFS57" s="334"/>
      <c r="BFT57" s="334"/>
      <c r="BFU57" s="334"/>
      <c r="BFV57" s="334"/>
      <c r="BFW57" s="334"/>
      <c r="BFX57" s="334"/>
      <c r="BFY57" s="334"/>
      <c r="BFZ57" s="334"/>
      <c r="BGA57" s="334"/>
      <c r="BGB57" s="334"/>
      <c r="BGC57" s="334"/>
      <c r="BGD57" s="334"/>
      <c r="BGE57" s="334"/>
      <c r="BGF57" s="334"/>
      <c r="BGG57" s="334"/>
      <c r="BGH57" s="334"/>
      <c r="BGI57" s="334"/>
      <c r="BGJ57" s="334"/>
      <c r="BGK57" s="334"/>
      <c r="BGL57" s="334"/>
      <c r="BGM57" s="334"/>
      <c r="BGN57" s="334"/>
      <c r="BGO57" s="334"/>
      <c r="BGP57" s="334"/>
      <c r="BGQ57" s="334"/>
      <c r="BGR57" s="334"/>
      <c r="BGS57" s="334"/>
      <c r="BGT57" s="334"/>
      <c r="BGU57" s="334"/>
      <c r="BGV57" s="334"/>
      <c r="BGW57" s="334"/>
      <c r="BGX57" s="334"/>
      <c r="BGY57" s="334"/>
      <c r="BGZ57" s="334"/>
      <c r="BHA57" s="334"/>
      <c r="BHB57" s="334"/>
      <c r="BHC57" s="334"/>
      <c r="BHD57" s="334"/>
      <c r="BHE57" s="334"/>
      <c r="BHF57" s="334"/>
      <c r="BHG57" s="334"/>
      <c r="BHH57" s="334"/>
      <c r="BHI57" s="334"/>
      <c r="BHJ57" s="334"/>
      <c r="BHK57" s="334"/>
      <c r="BHL57" s="334"/>
      <c r="BHM57" s="334"/>
      <c r="BHN57" s="334"/>
      <c r="BHO57" s="334"/>
      <c r="BHP57" s="334"/>
      <c r="BHQ57" s="334"/>
      <c r="BHR57" s="334"/>
      <c r="BHS57" s="334"/>
      <c r="BHT57" s="334"/>
      <c r="BHU57" s="334"/>
      <c r="BHV57" s="334"/>
      <c r="BHW57" s="334"/>
      <c r="BHX57" s="334"/>
      <c r="BHY57" s="334"/>
      <c r="BHZ57" s="334"/>
      <c r="BIA57" s="334"/>
      <c r="BIB57" s="334"/>
      <c r="BIC57" s="334"/>
      <c r="BID57" s="334"/>
      <c r="BIE57" s="334"/>
      <c r="BIF57" s="334"/>
      <c r="BIG57" s="334"/>
      <c r="BIH57" s="334"/>
      <c r="BII57" s="334"/>
      <c r="BIJ57" s="334"/>
      <c r="BIK57" s="334"/>
      <c r="BIL57" s="334"/>
      <c r="BIM57" s="334"/>
      <c r="BIN57" s="334"/>
      <c r="BIO57" s="334"/>
      <c r="BIP57" s="334"/>
      <c r="BIQ57" s="334"/>
      <c r="BIR57" s="334"/>
      <c r="BIS57" s="334"/>
      <c r="BIT57" s="334"/>
      <c r="BIU57" s="334"/>
      <c r="BIV57" s="334"/>
      <c r="BIW57" s="334"/>
      <c r="BIX57" s="334"/>
      <c r="BIY57" s="334"/>
      <c r="BIZ57" s="334"/>
      <c r="BJA57" s="334"/>
      <c r="BJB57" s="334"/>
      <c r="BJC57" s="334"/>
      <c r="BJD57" s="334"/>
      <c r="BJE57" s="334"/>
      <c r="BJF57" s="334"/>
      <c r="BJG57" s="334"/>
      <c r="BJH57" s="334"/>
      <c r="BJI57" s="334"/>
      <c r="BJJ57" s="334"/>
      <c r="BJK57" s="334"/>
      <c r="BJL57" s="334"/>
      <c r="BJM57" s="334"/>
      <c r="BJN57" s="334"/>
      <c r="BJO57" s="334"/>
      <c r="BJP57" s="334"/>
      <c r="BJQ57" s="334"/>
      <c r="BJR57" s="334"/>
      <c r="BJS57" s="334"/>
      <c r="BJT57" s="334"/>
      <c r="BJU57" s="334"/>
      <c r="BJV57" s="334"/>
      <c r="BJW57" s="334"/>
      <c r="BJX57" s="334"/>
      <c r="BJY57" s="334"/>
      <c r="BJZ57" s="334"/>
      <c r="BKA57" s="334"/>
      <c r="BKB57" s="334"/>
      <c r="BKC57" s="334"/>
      <c r="BKD57" s="334"/>
      <c r="BKE57" s="334"/>
      <c r="BKF57" s="334"/>
      <c r="BKG57" s="334"/>
      <c r="BKH57" s="334"/>
      <c r="BKI57" s="334"/>
      <c r="BKJ57" s="334"/>
      <c r="BKK57" s="334"/>
      <c r="BKL57" s="334"/>
      <c r="BKM57" s="334"/>
      <c r="BKN57" s="334"/>
      <c r="BKO57" s="334"/>
      <c r="BKP57" s="334"/>
      <c r="BKQ57" s="334"/>
      <c r="BKR57" s="334"/>
      <c r="BKS57" s="334"/>
      <c r="BKT57" s="334"/>
      <c r="BKU57" s="334"/>
      <c r="BKV57" s="334"/>
      <c r="BKW57" s="334"/>
      <c r="BKX57" s="334"/>
      <c r="BKY57" s="334"/>
      <c r="BKZ57" s="334"/>
      <c r="BLA57" s="334"/>
      <c r="BLB57" s="334"/>
      <c r="BLC57" s="334"/>
      <c r="BLD57" s="334"/>
      <c r="BLE57" s="334"/>
      <c r="BLF57" s="334"/>
      <c r="BLG57" s="334"/>
      <c r="BLH57" s="334"/>
      <c r="BLI57" s="334"/>
      <c r="BLJ57" s="334"/>
      <c r="BLK57" s="334"/>
      <c r="BLL57" s="334"/>
      <c r="BLM57" s="334"/>
      <c r="BLN57" s="334"/>
      <c r="BLO57" s="334"/>
      <c r="BLP57" s="334"/>
      <c r="BLQ57" s="334"/>
      <c r="BLR57" s="334"/>
      <c r="BLS57" s="334"/>
      <c r="BLT57" s="334"/>
      <c r="BLU57" s="334"/>
      <c r="BLV57" s="334"/>
      <c r="BLW57" s="334"/>
      <c r="BLX57" s="334"/>
      <c r="BLY57" s="334"/>
      <c r="BLZ57" s="334"/>
      <c r="BMA57" s="334"/>
      <c r="BMB57" s="334"/>
      <c r="BMC57" s="334"/>
      <c r="BMD57" s="334"/>
      <c r="BME57" s="334"/>
      <c r="BMF57" s="334"/>
      <c r="BMG57" s="334"/>
      <c r="BMH57" s="334"/>
      <c r="BMI57" s="334"/>
      <c r="BMJ57" s="334"/>
      <c r="BMK57" s="334"/>
      <c r="BML57" s="334"/>
      <c r="BMM57" s="334"/>
      <c r="BMN57" s="334"/>
      <c r="BMO57" s="334"/>
      <c r="BMP57" s="334"/>
      <c r="BMQ57" s="334"/>
      <c r="BMR57" s="334"/>
      <c r="BMS57" s="334"/>
      <c r="BMT57" s="334"/>
      <c r="BMU57" s="334"/>
      <c r="BMV57" s="334"/>
      <c r="BMW57" s="334"/>
      <c r="BMX57" s="334"/>
      <c r="BMY57" s="334"/>
      <c r="BMZ57" s="334"/>
      <c r="BNA57" s="334"/>
      <c r="BNB57" s="334"/>
      <c r="BNC57" s="334"/>
      <c r="BND57" s="334"/>
      <c r="BNE57" s="334"/>
      <c r="BNF57" s="334"/>
      <c r="BNG57" s="334"/>
      <c r="BNH57" s="334"/>
      <c r="BNI57" s="334"/>
      <c r="BNJ57" s="334"/>
      <c r="BNK57" s="334"/>
      <c r="BNL57" s="334"/>
      <c r="BNM57" s="334"/>
      <c r="BNN57" s="334"/>
      <c r="BNO57" s="334"/>
      <c r="BNP57" s="334"/>
      <c r="BNQ57" s="334"/>
      <c r="BNR57" s="334"/>
      <c r="BNS57" s="334"/>
      <c r="BNT57" s="334"/>
      <c r="BNU57" s="334"/>
      <c r="BNV57" s="334"/>
      <c r="BNW57" s="334"/>
      <c r="BNX57" s="334"/>
      <c r="BNY57" s="334"/>
      <c r="BNZ57" s="334"/>
      <c r="BOA57" s="334"/>
      <c r="BOB57" s="334"/>
      <c r="BOC57" s="334"/>
      <c r="BOD57" s="334"/>
      <c r="BOE57" s="334"/>
      <c r="BOF57" s="334"/>
      <c r="BOG57" s="334"/>
      <c r="BOH57" s="334"/>
      <c r="BOI57" s="334"/>
      <c r="BOJ57" s="334"/>
      <c r="BOK57" s="334"/>
      <c r="BOL57" s="334"/>
      <c r="BOM57" s="334"/>
      <c r="BON57" s="334"/>
      <c r="BOO57" s="334"/>
      <c r="BOP57" s="334"/>
      <c r="BOQ57" s="334"/>
      <c r="BOR57" s="334"/>
      <c r="BOS57" s="334"/>
      <c r="BOT57" s="334"/>
      <c r="BOU57" s="334"/>
      <c r="BOV57" s="334"/>
      <c r="BOW57" s="334"/>
      <c r="BOX57" s="334"/>
      <c r="BOY57" s="334"/>
      <c r="BOZ57" s="334"/>
      <c r="BPA57" s="334"/>
      <c r="BPB57" s="334"/>
      <c r="BPC57" s="334"/>
      <c r="BPD57" s="334"/>
      <c r="BPE57" s="334"/>
      <c r="BPF57" s="334"/>
      <c r="BPG57" s="334"/>
      <c r="BPH57" s="334"/>
      <c r="BPI57" s="334"/>
      <c r="BPJ57" s="334"/>
      <c r="BPK57" s="334"/>
      <c r="BPL57" s="334"/>
      <c r="BPM57" s="334"/>
      <c r="BPN57" s="334"/>
      <c r="BPO57" s="334"/>
      <c r="BPP57" s="334"/>
      <c r="BPQ57" s="334"/>
      <c r="BPR57" s="334"/>
      <c r="BPS57" s="334"/>
      <c r="BPT57" s="334"/>
      <c r="BPU57" s="334"/>
      <c r="BPV57" s="334"/>
      <c r="BPW57" s="334"/>
      <c r="BPX57" s="334"/>
      <c r="BPY57" s="334"/>
      <c r="BPZ57" s="334"/>
      <c r="BQA57" s="334"/>
      <c r="BQB57" s="334"/>
      <c r="BQC57" s="334"/>
      <c r="BQD57" s="334"/>
      <c r="BQE57" s="334"/>
      <c r="BQF57" s="334"/>
      <c r="BQG57" s="334"/>
      <c r="BQH57" s="334"/>
      <c r="BQI57" s="334"/>
      <c r="BQJ57" s="334"/>
      <c r="BQK57" s="334"/>
      <c r="BQL57" s="334"/>
      <c r="BQM57" s="334"/>
      <c r="BQN57" s="334"/>
      <c r="BQO57" s="334"/>
      <c r="BQP57" s="334"/>
      <c r="BQQ57" s="334"/>
      <c r="BQR57" s="334"/>
      <c r="BQS57" s="334"/>
      <c r="BQT57" s="334"/>
      <c r="BQU57" s="334"/>
      <c r="BQV57" s="334"/>
      <c r="BQW57" s="334"/>
      <c r="BQX57" s="334"/>
      <c r="BQY57" s="334"/>
      <c r="BQZ57" s="334"/>
      <c r="BRA57" s="334"/>
      <c r="BRB57" s="334"/>
      <c r="BRC57" s="334"/>
      <c r="BRD57" s="334"/>
      <c r="BRE57" s="334"/>
      <c r="BRF57" s="334"/>
      <c r="BRG57" s="334"/>
      <c r="BRH57" s="334"/>
      <c r="BRI57" s="334"/>
      <c r="BRJ57" s="334"/>
      <c r="BRK57" s="334"/>
      <c r="BRL57" s="334"/>
      <c r="BRM57" s="334"/>
      <c r="BRN57" s="334"/>
      <c r="BRO57" s="334"/>
      <c r="BRP57" s="334"/>
      <c r="BRQ57" s="334"/>
      <c r="BRR57" s="334"/>
      <c r="BRS57" s="334"/>
      <c r="BRT57" s="334"/>
      <c r="BRU57" s="334"/>
      <c r="BRV57" s="334"/>
      <c r="BRW57" s="334"/>
      <c r="BRX57" s="334"/>
      <c r="BRY57" s="334"/>
      <c r="BRZ57" s="334"/>
      <c r="BSA57" s="334"/>
      <c r="BSB57" s="334"/>
      <c r="BSC57" s="334"/>
      <c r="BSD57" s="334"/>
      <c r="BSE57" s="334"/>
      <c r="BSF57" s="334"/>
      <c r="BSG57" s="334"/>
      <c r="BSH57" s="334"/>
      <c r="BSI57" s="334"/>
      <c r="BSJ57" s="334"/>
      <c r="BSK57" s="334"/>
      <c r="BSL57" s="334"/>
      <c r="BSM57" s="334"/>
      <c r="BSN57" s="334"/>
      <c r="BSO57" s="334"/>
      <c r="BSP57" s="334"/>
      <c r="BSQ57" s="334"/>
      <c r="BSR57" s="334"/>
      <c r="BSS57" s="334"/>
      <c r="BST57" s="334"/>
      <c r="BSU57" s="334"/>
      <c r="BSV57" s="334"/>
      <c r="BSW57" s="334"/>
      <c r="BSX57" s="334"/>
      <c r="BSY57" s="334"/>
      <c r="BSZ57" s="334"/>
      <c r="BTA57" s="334"/>
      <c r="BTB57" s="334"/>
      <c r="BTC57" s="334"/>
      <c r="BTD57" s="334"/>
      <c r="BTE57" s="334"/>
      <c r="BTF57" s="334"/>
      <c r="BTG57" s="334"/>
      <c r="BTH57" s="334"/>
      <c r="BTI57" s="334"/>
      <c r="BTJ57" s="334"/>
      <c r="BTK57" s="334"/>
      <c r="BTL57" s="334"/>
      <c r="BTM57" s="334"/>
      <c r="BTN57" s="334"/>
      <c r="BTO57" s="334"/>
      <c r="BTP57" s="334"/>
      <c r="BTQ57" s="334"/>
      <c r="BTR57" s="334"/>
      <c r="BTS57" s="334"/>
      <c r="BTT57" s="334"/>
      <c r="BTU57" s="334"/>
      <c r="BTV57" s="334"/>
      <c r="BTW57" s="334"/>
      <c r="BTX57" s="334"/>
      <c r="BTY57" s="334"/>
      <c r="BTZ57" s="334"/>
      <c r="BUA57" s="334"/>
      <c r="BUB57" s="334"/>
      <c r="BUC57" s="334"/>
      <c r="BUD57" s="334"/>
      <c r="BUE57" s="334"/>
      <c r="BUF57" s="334"/>
      <c r="BUG57" s="334"/>
      <c r="BUH57" s="334"/>
      <c r="BUI57" s="334"/>
      <c r="BUJ57" s="334"/>
      <c r="BUK57" s="334"/>
      <c r="BUL57" s="334"/>
      <c r="BUM57" s="334"/>
      <c r="BUN57" s="334"/>
      <c r="BUO57" s="334"/>
      <c r="BUP57" s="334"/>
      <c r="BUQ57" s="334"/>
      <c r="BUR57" s="334"/>
      <c r="BUS57" s="334"/>
      <c r="BUT57" s="334"/>
      <c r="BUU57" s="334"/>
      <c r="BUV57" s="334"/>
      <c r="BUW57" s="334"/>
      <c r="BUX57" s="334"/>
      <c r="BUY57" s="334"/>
      <c r="BUZ57" s="334"/>
      <c r="BVA57" s="334"/>
      <c r="BVB57" s="334"/>
      <c r="BVC57" s="334"/>
      <c r="BVD57" s="334"/>
      <c r="BVE57" s="334"/>
      <c r="BVF57" s="334"/>
      <c r="BVG57" s="334"/>
      <c r="BVH57" s="334"/>
      <c r="BVI57" s="334"/>
      <c r="BVJ57" s="334"/>
      <c r="BVK57" s="334"/>
      <c r="BVL57" s="334"/>
      <c r="BVM57" s="334"/>
      <c r="BVN57" s="334"/>
      <c r="BVO57" s="334"/>
      <c r="BVP57" s="334"/>
      <c r="BVQ57" s="334"/>
      <c r="BVR57" s="334"/>
      <c r="BVS57" s="334"/>
      <c r="BVT57" s="334"/>
      <c r="BVU57" s="334"/>
      <c r="BVV57" s="334"/>
      <c r="BVW57" s="334"/>
      <c r="BVX57" s="334"/>
      <c r="BVY57" s="334"/>
      <c r="BVZ57" s="334"/>
      <c r="BWA57" s="334"/>
      <c r="BWB57" s="334"/>
      <c r="BWC57" s="334"/>
      <c r="BWD57" s="334"/>
      <c r="BWE57" s="334"/>
      <c r="BWF57" s="334"/>
      <c r="BWG57" s="334"/>
      <c r="BWH57" s="334"/>
      <c r="BWI57" s="334"/>
      <c r="BWJ57" s="334"/>
      <c r="BWK57" s="334"/>
      <c r="BWL57" s="334"/>
      <c r="BWM57" s="334"/>
      <c r="BWN57" s="334"/>
      <c r="BWO57" s="334"/>
      <c r="BWP57" s="334"/>
      <c r="BWQ57" s="334"/>
      <c r="BWR57" s="334"/>
      <c r="BWS57" s="334"/>
      <c r="BWT57" s="334"/>
      <c r="BWU57" s="334"/>
      <c r="BWV57" s="334"/>
      <c r="BWW57" s="334"/>
      <c r="BWX57" s="334"/>
      <c r="BWY57" s="334"/>
      <c r="BWZ57" s="334"/>
      <c r="BXA57" s="334"/>
      <c r="BXB57" s="334"/>
      <c r="BXC57" s="334"/>
      <c r="BXD57" s="334"/>
      <c r="BXE57" s="334"/>
      <c r="BXF57" s="334"/>
      <c r="BXG57" s="334"/>
      <c r="BXH57" s="334"/>
      <c r="BXI57" s="334"/>
      <c r="BXJ57" s="334"/>
      <c r="BXK57" s="334"/>
      <c r="BXL57" s="334"/>
      <c r="BXM57" s="334"/>
      <c r="BXN57" s="334"/>
      <c r="BXO57" s="334"/>
      <c r="BXP57" s="334"/>
      <c r="BXQ57" s="334"/>
      <c r="BXR57" s="334"/>
      <c r="BXS57" s="334"/>
      <c r="BXT57" s="334"/>
      <c r="BXU57" s="334"/>
      <c r="BXV57" s="334"/>
      <c r="BXW57" s="334"/>
      <c r="BXX57" s="334"/>
      <c r="BXY57" s="334"/>
      <c r="BXZ57" s="334"/>
      <c r="BYA57" s="334"/>
      <c r="BYB57" s="334"/>
      <c r="BYC57" s="334"/>
      <c r="BYD57" s="334"/>
      <c r="BYE57" s="334"/>
      <c r="BYF57" s="334"/>
      <c r="BYG57" s="334"/>
      <c r="BYH57" s="334"/>
      <c r="BYI57" s="334"/>
      <c r="BYJ57" s="334"/>
      <c r="BYK57" s="334"/>
      <c r="BYL57" s="334"/>
      <c r="BYM57" s="334"/>
      <c r="BYN57" s="334"/>
      <c r="BYO57" s="334"/>
      <c r="BYP57" s="334"/>
      <c r="BYQ57" s="334"/>
      <c r="BYR57" s="334"/>
      <c r="BYS57" s="334"/>
      <c r="BYT57" s="334"/>
      <c r="BYU57" s="334"/>
      <c r="BYV57" s="334"/>
      <c r="BYW57" s="334"/>
      <c r="BYX57" s="334"/>
      <c r="BYY57" s="334"/>
      <c r="BYZ57" s="334"/>
      <c r="BZA57" s="334"/>
      <c r="BZB57" s="334"/>
      <c r="BZC57" s="334"/>
      <c r="BZD57" s="334"/>
      <c r="BZE57" s="334"/>
      <c r="BZF57" s="334"/>
      <c r="BZG57" s="334"/>
      <c r="BZH57" s="334"/>
      <c r="BZI57" s="334"/>
      <c r="BZJ57" s="334"/>
      <c r="BZK57" s="334"/>
      <c r="BZL57" s="334"/>
      <c r="BZM57" s="334"/>
      <c r="BZN57" s="334"/>
      <c r="BZO57" s="334"/>
      <c r="BZP57" s="334"/>
      <c r="BZQ57" s="334"/>
      <c r="BZR57" s="334"/>
      <c r="BZS57" s="334"/>
      <c r="BZT57" s="334"/>
      <c r="BZU57" s="334"/>
      <c r="BZV57" s="334"/>
      <c r="BZW57" s="334"/>
      <c r="BZX57" s="334"/>
      <c r="BZY57" s="334"/>
      <c r="BZZ57" s="334"/>
      <c r="CAA57" s="334"/>
      <c r="CAB57" s="334"/>
      <c r="CAC57" s="334"/>
      <c r="CAD57" s="334"/>
      <c r="CAE57" s="334"/>
      <c r="CAF57" s="334"/>
      <c r="CAG57" s="334"/>
      <c r="CAH57" s="334"/>
      <c r="CAI57" s="334"/>
      <c r="CAJ57" s="334"/>
      <c r="CAK57" s="334"/>
      <c r="CAL57" s="334"/>
      <c r="CAM57" s="334"/>
      <c r="CAN57" s="334"/>
      <c r="CAO57" s="334"/>
      <c r="CAP57" s="334"/>
      <c r="CAQ57" s="334"/>
      <c r="CAR57" s="334"/>
      <c r="CAS57" s="334"/>
      <c r="CAT57" s="334"/>
      <c r="CAU57" s="334"/>
      <c r="CAV57" s="334"/>
      <c r="CAW57" s="334"/>
      <c r="CAX57" s="334"/>
      <c r="CAY57" s="334"/>
      <c r="CAZ57" s="334"/>
      <c r="CBA57" s="334"/>
      <c r="CBB57" s="334"/>
      <c r="CBC57" s="334"/>
      <c r="CBD57" s="334"/>
      <c r="CBE57" s="334"/>
      <c r="CBF57" s="334"/>
      <c r="CBG57" s="334"/>
      <c r="CBH57" s="334"/>
      <c r="CBI57" s="334"/>
      <c r="CBJ57" s="334"/>
      <c r="CBK57" s="334"/>
      <c r="CBL57" s="334"/>
      <c r="CBM57" s="334"/>
      <c r="CBN57" s="334"/>
      <c r="CBO57" s="334"/>
      <c r="CBP57" s="334"/>
      <c r="CBQ57" s="334"/>
      <c r="CBR57" s="334"/>
      <c r="CBS57" s="334"/>
      <c r="CBT57" s="334"/>
      <c r="CBU57" s="334"/>
      <c r="CBV57" s="334"/>
      <c r="CBW57" s="334"/>
      <c r="CBX57" s="334"/>
      <c r="CBY57" s="334"/>
      <c r="CBZ57" s="334"/>
      <c r="CCA57" s="334"/>
      <c r="CCB57" s="334"/>
      <c r="CCC57" s="334"/>
      <c r="CCD57" s="334"/>
      <c r="CCE57" s="334"/>
      <c r="CCF57" s="334"/>
      <c r="CCG57" s="334"/>
      <c r="CCH57" s="334"/>
      <c r="CCI57" s="334"/>
      <c r="CCJ57" s="334"/>
      <c r="CCK57" s="334"/>
      <c r="CCL57" s="334"/>
      <c r="CCM57" s="334"/>
      <c r="CCN57" s="334"/>
      <c r="CCO57" s="334"/>
      <c r="CCP57" s="334"/>
      <c r="CCQ57" s="334"/>
      <c r="CCR57" s="334"/>
      <c r="CCS57" s="334"/>
      <c r="CCT57" s="334"/>
      <c r="CCU57" s="334"/>
      <c r="CCV57" s="334"/>
      <c r="CCW57" s="334"/>
      <c r="CCX57" s="334"/>
      <c r="CCY57" s="334"/>
      <c r="CCZ57" s="334"/>
      <c r="CDA57" s="334"/>
      <c r="CDB57" s="334"/>
      <c r="CDC57" s="334"/>
      <c r="CDD57" s="334"/>
      <c r="CDE57" s="334"/>
      <c r="CDF57" s="334"/>
      <c r="CDG57" s="334"/>
      <c r="CDH57" s="334"/>
      <c r="CDI57" s="334"/>
      <c r="CDJ57" s="334"/>
      <c r="CDK57" s="334"/>
      <c r="CDL57" s="334"/>
      <c r="CDM57" s="334"/>
      <c r="CDN57" s="334"/>
      <c r="CDO57" s="334"/>
      <c r="CDP57" s="334"/>
      <c r="CDQ57" s="334"/>
      <c r="CDR57" s="334"/>
      <c r="CDS57" s="334"/>
      <c r="CDT57" s="334"/>
      <c r="CDU57" s="334"/>
      <c r="CDV57" s="334"/>
      <c r="CDW57" s="334"/>
      <c r="CDX57" s="334"/>
      <c r="CDY57" s="334"/>
      <c r="CDZ57" s="334"/>
      <c r="CEA57" s="334"/>
      <c r="CEB57" s="334"/>
      <c r="CEC57" s="334"/>
      <c r="CED57" s="334"/>
      <c r="CEE57" s="334"/>
      <c r="CEF57" s="334"/>
      <c r="CEG57" s="334"/>
      <c r="CEH57" s="334"/>
      <c r="CEI57" s="334"/>
      <c r="CEJ57" s="334"/>
      <c r="CEK57" s="334"/>
      <c r="CEL57" s="334"/>
      <c r="CEM57" s="334"/>
      <c r="CEN57" s="334"/>
      <c r="CEO57" s="334"/>
      <c r="CEP57" s="334"/>
      <c r="CEQ57" s="334"/>
      <c r="CER57" s="334"/>
      <c r="CES57" s="334"/>
      <c r="CET57" s="334"/>
      <c r="CEU57" s="334"/>
      <c r="CEV57" s="334"/>
      <c r="CEW57" s="334"/>
      <c r="CEX57" s="334"/>
      <c r="CEY57" s="334"/>
      <c r="CEZ57" s="334"/>
      <c r="CFA57" s="334"/>
      <c r="CFB57" s="334"/>
      <c r="CFC57" s="334"/>
      <c r="CFD57" s="334"/>
      <c r="CFE57" s="334"/>
      <c r="CFF57" s="334"/>
      <c r="CFG57" s="334"/>
      <c r="CFH57" s="334"/>
      <c r="CFI57" s="334"/>
      <c r="CFJ57" s="334"/>
      <c r="CFK57" s="334"/>
      <c r="CFL57" s="334"/>
      <c r="CFM57" s="334"/>
      <c r="CFN57" s="334"/>
      <c r="CFO57" s="334"/>
      <c r="CFP57" s="334"/>
      <c r="CFQ57" s="334"/>
      <c r="CFR57" s="334"/>
      <c r="CFS57" s="334"/>
      <c r="CFT57" s="334"/>
      <c r="CFU57" s="334"/>
      <c r="CFV57" s="334"/>
      <c r="CFW57" s="334"/>
      <c r="CFX57" s="334"/>
      <c r="CFY57" s="334"/>
      <c r="CFZ57" s="334"/>
      <c r="CGA57" s="334"/>
      <c r="CGB57" s="334"/>
      <c r="CGC57" s="334"/>
      <c r="CGD57" s="334"/>
      <c r="CGE57" s="334"/>
      <c r="CGF57" s="334"/>
      <c r="CGG57" s="334"/>
      <c r="CGH57" s="334"/>
      <c r="CGI57" s="334"/>
      <c r="CGJ57" s="334"/>
      <c r="CGK57" s="334"/>
      <c r="CGL57" s="334"/>
      <c r="CGM57" s="334"/>
      <c r="CGN57" s="334"/>
      <c r="CGO57" s="334"/>
      <c r="CGP57" s="334"/>
      <c r="CGQ57" s="334"/>
      <c r="CGR57" s="334"/>
      <c r="CGS57" s="334"/>
      <c r="CGT57" s="334"/>
      <c r="CGU57" s="334"/>
      <c r="CGV57" s="334"/>
      <c r="CGW57" s="334"/>
      <c r="CGX57" s="334"/>
      <c r="CGY57" s="334"/>
      <c r="CGZ57" s="334"/>
      <c r="CHA57" s="334"/>
      <c r="CHB57" s="334"/>
      <c r="CHC57" s="334"/>
      <c r="CHD57" s="334"/>
      <c r="CHE57" s="334"/>
      <c r="CHF57" s="334"/>
      <c r="CHG57" s="334"/>
      <c r="CHH57" s="334"/>
      <c r="CHI57" s="334"/>
      <c r="CHJ57" s="334"/>
      <c r="CHK57" s="334"/>
      <c r="CHL57" s="334"/>
      <c r="CHM57" s="334"/>
      <c r="CHN57" s="334"/>
      <c r="CHO57" s="334"/>
      <c r="CHP57" s="334"/>
      <c r="CHQ57" s="334"/>
      <c r="CHR57" s="334"/>
      <c r="CHS57" s="334"/>
      <c r="CHT57" s="334"/>
      <c r="CHU57" s="334"/>
      <c r="CHV57" s="334"/>
      <c r="CHW57" s="334"/>
      <c r="CHX57" s="334"/>
      <c r="CHY57" s="334"/>
      <c r="CHZ57" s="334"/>
      <c r="CIA57" s="334"/>
      <c r="CIB57" s="334"/>
      <c r="CIC57" s="334"/>
      <c r="CID57" s="334"/>
      <c r="CIE57" s="334"/>
      <c r="CIF57" s="334"/>
      <c r="CIG57" s="334"/>
      <c r="CIH57" s="334"/>
      <c r="CII57" s="334"/>
      <c r="CIJ57" s="334"/>
      <c r="CIK57" s="334"/>
      <c r="CIL57" s="334"/>
      <c r="CIM57" s="334"/>
      <c r="CIN57" s="334"/>
      <c r="CIO57" s="334"/>
      <c r="CIP57" s="334"/>
      <c r="CIQ57" s="334"/>
      <c r="CIR57" s="334"/>
      <c r="CIS57" s="334"/>
      <c r="CIT57" s="334"/>
      <c r="CIU57" s="334"/>
      <c r="CIV57" s="334"/>
      <c r="CIW57" s="334"/>
      <c r="CIX57" s="334"/>
      <c r="CIY57" s="334"/>
      <c r="CIZ57" s="334"/>
      <c r="CJA57" s="334"/>
      <c r="CJB57" s="334"/>
      <c r="CJC57" s="334"/>
      <c r="CJD57" s="334"/>
      <c r="CJE57" s="334"/>
      <c r="CJF57" s="334"/>
      <c r="CJG57" s="334"/>
      <c r="CJH57" s="334"/>
      <c r="CJI57" s="334"/>
      <c r="CJJ57" s="334"/>
      <c r="CJK57" s="334"/>
      <c r="CJL57" s="334"/>
      <c r="CJM57" s="334"/>
      <c r="CJN57" s="334"/>
      <c r="CJO57" s="334"/>
      <c r="CJP57" s="334"/>
      <c r="CJQ57" s="334"/>
      <c r="CJR57" s="334"/>
      <c r="CJS57" s="334"/>
      <c r="CJT57" s="334"/>
      <c r="CJU57" s="334"/>
      <c r="CJV57" s="334"/>
      <c r="CJW57" s="334"/>
      <c r="CJX57" s="334"/>
      <c r="CJY57" s="334"/>
      <c r="CJZ57" s="334"/>
      <c r="CKA57" s="334"/>
      <c r="CKB57" s="334"/>
      <c r="CKC57" s="334"/>
      <c r="CKD57" s="334"/>
      <c r="CKE57" s="334"/>
      <c r="CKF57" s="334"/>
      <c r="CKG57" s="334"/>
      <c r="CKH57" s="334"/>
      <c r="CKI57" s="334"/>
      <c r="CKJ57" s="334"/>
      <c r="CKK57" s="334"/>
      <c r="CKL57" s="334"/>
      <c r="CKM57" s="334"/>
      <c r="CKN57" s="334"/>
      <c r="CKO57" s="334"/>
      <c r="CKP57" s="334"/>
      <c r="CKQ57" s="334"/>
      <c r="CKR57" s="334"/>
      <c r="CKS57" s="334"/>
      <c r="CKT57" s="334"/>
      <c r="CKU57" s="334"/>
      <c r="CKV57" s="334"/>
      <c r="CKW57" s="334"/>
      <c r="CKX57" s="334"/>
      <c r="CKY57" s="334"/>
      <c r="CKZ57" s="334"/>
      <c r="CLA57" s="334"/>
      <c r="CLB57" s="334"/>
      <c r="CLC57" s="334"/>
      <c r="CLD57" s="334"/>
      <c r="CLE57" s="334"/>
      <c r="CLF57" s="334"/>
      <c r="CLG57" s="334"/>
      <c r="CLH57" s="334"/>
      <c r="CLI57" s="334"/>
      <c r="CLJ57" s="334"/>
      <c r="CLK57" s="334"/>
      <c r="CLL57" s="334"/>
      <c r="CLM57" s="334"/>
      <c r="CLN57" s="334"/>
      <c r="CLO57" s="334"/>
      <c r="CLP57" s="334"/>
      <c r="CLQ57" s="334"/>
      <c r="CLR57" s="334"/>
      <c r="CLS57" s="334"/>
      <c r="CLT57" s="334"/>
      <c r="CLU57" s="334"/>
      <c r="CLV57" s="334"/>
      <c r="CLW57" s="334"/>
      <c r="CLX57" s="334"/>
      <c r="CLY57" s="334"/>
      <c r="CLZ57" s="334"/>
      <c r="CMA57" s="334"/>
      <c r="CMB57" s="334"/>
      <c r="CMC57" s="334"/>
      <c r="CMD57" s="334"/>
      <c r="CME57" s="334"/>
      <c r="CMF57" s="334"/>
      <c r="CMG57" s="334"/>
      <c r="CMH57" s="334"/>
      <c r="CMI57" s="334"/>
      <c r="CMJ57" s="334"/>
      <c r="CMK57" s="334"/>
      <c r="CML57" s="334"/>
      <c r="CMM57" s="334"/>
      <c r="CMN57" s="334"/>
      <c r="CMO57" s="334"/>
      <c r="CMP57" s="334"/>
      <c r="CMQ57" s="334"/>
      <c r="CMR57" s="334"/>
      <c r="CMS57" s="334"/>
      <c r="CMT57" s="334"/>
      <c r="CMU57" s="334"/>
      <c r="CMV57" s="334"/>
      <c r="CMW57" s="334"/>
      <c r="CMX57" s="334"/>
      <c r="CMY57" s="334"/>
      <c r="CMZ57" s="334"/>
      <c r="CNA57" s="334"/>
      <c r="CNB57" s="334"/>
      <c r="CNC57" s="334"/>
      <c r="CND57" s="334"/>
      <c r="CNE57" s="334"/>
      <c r="CNF57" s="334"/>
      <c r="CNG57" s="334"/>
      <c r="CNH57" s="334"/>
      <c r="CNI57" s="334"/>
      <c r="CNJ57" s="334"/>
      <c r="CNK57" s="334"/>
      <c r="CNL57" s="334"/>
      <c r="CNM57" s="334"/>
      <c r="CNN57" s="334"/>
      <c r="CNO57" s="334"/>
      <c r="CNP57" s="334"/>
      <c r="CNQ57" s="334"/>
      <c r="CNR57" s="334"/>
      <c r="CNS57" s="334"/>
      <c r="CNT57" s="334"/>
      <c r="CNU57" s="334"/>
      <c r="CNV57" s="334"/>
      <c r="CNW57" s="334"/>
      <c r="CNX57" s="334"/>
      <c r="CNY57" s="334"/>
      <c r="CNZ57" s="334"/>
      <c r="COA57" s="334"/>
      <c r="COB57" s="334"/>
      <c r="COC57" s="334"/>
      <c r="COD57" s="334"/>
      <c r="COE57" s="334"/>
      <c r="COF57" s="334"/>
      <c r="COG57" s="334"/>
      <c r="COH57" s="334"/>
      <c r="COI57" s="334"/>
      <c r="COJ57" s="334"/>
      <c r="COK57" s="334"/>
      <c r="COL57" s="334"/>
      <c r="COM57" s="334"/>
      <c r="CON57" s="334"/>
      <c r="COO57" s="334"/>
      <c r="COP57" s="334"/>
      <c r="COQ57" s="334"/>
      <c r="COR57" s="334"/>
      <c r="COS57" s="334"/>
      <c r="COT57" s="334"/>
      <c r="COU57" s="334"/>
      <c r="COV57" s="334"/>
      <c r="COW57" s="334"/>
      <c r="COX57" s="334"/>
      <c r="COY57" s="334"/>
      <c r="COZ57" s="334"/>
      <c r="CPA57" s="334"/>
      <c r="CPB57" s="334"/>
      <c r="CPC57" s="334"/>
      <c r="CPD57" s="334"/>
      <c r="CPE57" s="334"/>
      <c r="CPF57" s="334"/>
      <c r="CPG57" s="334"/>
      <c r="CPH57" s="334"/>
      <c r="CPI57" s="334"/>
      <c r="CPJ57" s="334"/>
      <c r="CPK57" s="334"/>
      <c r="CPL57" s="334"/>
      <c r="CPM57" s="334"/>
      <c r="CPN57" s="334"/>
      <c r="CPO57" s="334"/>
      <c r="CPP57" s="334"/>
      <c r="CPQ57" s="334"/>
      <c r="CPR57" s="334"/>
      <c r="CPS57" s="334"/>
      <c r="CPT57" s="334"/>
      <c r="CPU57" s="334"/>
      <c r="CPV57" s="334"/>
      <c r="CPW57" s="334"/>
      <c r="CPX57" s="334"/>
      <c r="CPY57" s="334"/>
      <c r="CPZ57" s="334"/>
      <c r="CQA57" s="334"/>
      <c r="CQB57" s="334"/>
      <c r="CQC57" s="334"/>
      <c r="CQD57" s="334"/>
      <c r="CQE57" s="334"/>
      <c r="CQF57" s="334"/>
      <c r="CQG57" s="334"/>
      <c r="CQH57" s="334"/>
      <c r="CQI57" s="334"/>
      <c r="CQJ57" s="334"/>
      <c r="CQK57" s="334"/>
      <c r="CQL57" s="334"/>
      <c r="CQM57" s="334"/>
      <c r="CQN57" s="334"/>
      <c r="CQO57" s="334"/>
      <c r="CQP57" s="334"/>
      <c r="CQQ57" s="334"/>
      <c r="CQR57" s="334"/>
      <c r="CQS57" s="334"/>
      <c r="CQT57" s="334"/>
      <c r="CQU57" s="334"/>
      <c r="CQV57" s="334"/>
      <c r="CQW57" s="334"/>
      <c r="CQX57" s="334"/>
      <c r="CQY57" s="334"/>
      <c r="CQZ57" s="334"/>
      <c r="CRA57" s="334"/>
      <c r="CRB57" s="334"/>
      <c r="CRC57" s="334"/>
      <c r="CRD57" s="334"/>
      <c r="CRE57" s="334"/>
      <c r="CRF57" s="334"/>
      <c r="CRG57" s="334"/>
      <c r="CRH57" s="334"/>
      <c r="CRI57" s="334"/>
      <c r="CRJ57" s="334"/>
      <c r="CRK57" s="334"/>
      <c r="CRL57" s="334"/>
      <c r="CRM57" s="334"/>
      <c r="CRN57" s="334"/>
      <c r="CRO57" s="334"/>
      <c r="CRP57" s="334"/>
      <c r="CRQ57" s="334"/>
      <c r="CRR57" s="334"/>
      <c r="CRS57" s="334"/>
      <c r="CRT57" s="334"/>
      <c r="CRU57" s="334"/>
      <c r="CRV57" s="334"/>
      <c r="CRW57" s="334"/>
      <c r="CRX57" s="334"/>
      <c r="CRY57" s="334"/>
      <c r="CRZ57" s="334"/>
      <c r="CSA57" s="334"/>
      <c r="CSB57" s="334"/>
      <c r="CSC57" s="334"/>
      <c r="CSD57" s="334"/>
      <c r="CSE57" s="334"/>
      <c r="CSF57" s="334"/>
      <c r="CSG57" s="334"/>
      <c r="CSH57" s="334"/>
      <c r="CSI57" s="334"/>
      <c r="CSJ57" s="334"/>
      <c r="CSK57" s="334"/>
      <c r="CSL57" s="334"/>
      <c r="CSM57" s="334"/>
      <c r="CSN57" s="334"/>
      <c r="CSO57" s="334"/>
      <c r="CSP57" s="334"/>
      <c r="CSQ57" s="334"/>
      <c r="CSR57" s="334"/>
      <c r="CSS57" s="334"/>
      <c r="CST57" s="334"/>
      <c r="CSU57" s="334"/>
      <c r="CSV57" s="334"/>
      <c r="CSW57" s="334"/>
      <c r="CSX57" s="334"/>
      <c r="CSY57" s="334"/>
      <c r="CSZ57" s="334"/>
      <c r="CTA57" s="334"/>
      <c r="CTB57" s="334"/>
      <c r="CTC57" s="334"/>
      <c r="CTD57" s="334"/>
      <c r="CTE57" s="334"/>
      <c r="CTF57" s="334"/>
      <c r="CTG57" s="334"/>
      <c r="CTH57" s="334"/>
      <c r="CTI57" s="334"/>
      <c r="CTJ57" s="334"/>
      <c r="CTK57" s="334"/>
      <c r="CTL57" s="334"/>
      <c r="CTM57" s="334"/>
      <c r="CTN57" s="334"/>
      <c r="CTO57" s="334"/>
      <c r="CTP57" s="334"/>
      <c r="CTQ57" s="334"/>
      <c r="CTR57" s="334"/>
      <c r="CTS57" s="334"/>
      <c r="CTT57" s="334"/>
      <c r="CTU57" s="334"/>
      <c r="CTV57" s="334"/>
      <c r="CTW57" s="334"/>
      <c r="CTX57" s="334"/>
      <c r="CTY57" s="334"/>
      <c r="CTZ57" s="334"/>
      <c r="CUA57" s="334"/>
      <c r="CUB57" s="334"/>
      <c r="CUC57" s="334"/>
      <c r="CUD57" s="334"/>
      <c r="CUE57" s="334"/>
      <c r="CUF57" s="334"/>
      <c r="CUG57" s="334"/>
      <c r="CUH57" s="334"/>
      <c r="CUI57" s="334"/>
      <c r="CUJ57" s="334"/>
      <c r="CUK57" s="334"/>
      <c r="CUL57" s="334"/>
      <c r="CUM57" s="334"/>
      <c r="CUN57" s="334"/>
      <c r="CUO57" s="334"/>
      <c r="CUP57" s="334"/>
      <c r="CUQ57" s="334"/>
      <c r="CUR57" s="334"/>
      <c r="CUS57" s="334"/>
      <c r="CUT57" s="334"/>
      <c r="CUU57" s="334"/>
      <c r="CUV57" s="334"/>
      <c r="CUW57" s="334"/>
      <c r="CUX57" s="334"/>
      <c r="CUY57" s="334"/>
      <c r="CUZ57" s="334"/>
      <c r="CVA57" s="334"/>
      <c r="CVB57" s="334"/>
      <c r="CVC57" s="334"/>
      <c r="CVD57" s="334"/>
      <c r="CVE57" s="334"/>
      <c r="CVF57" s="334"/>
      <c r="CVG57" s="334"/>
      <c r="CVH57" s="334"/>
      <c r="CVI57" s="334"/>
      <c r="CVJ57" s="334"/>
      <c r="CVK57" s="334"/>
      <c r="CVL57" s="334"/>
      <c r="CVM57" s="334"/>
      <c r="CVN57" s="334"/>
      <c r="CVO57" s="334"/>
      <c r="CVP57" s="334"/>
      <c r="CVQ57" s="334"/>
      <c r="CVR57" s="334"/>
      <c r="CVS57" s="334"/>
      <c r="CVT57" s="334"/>
      <c r="CVU57" s="334"/>
      <c r="CVV57" s="334"/>
      <c r="CVW57" s="334"/>
      <c r="CVX57" s="334"/>
      <c r="CVY57" s="334"/>
      <c r="CVZ57" s="334"/>
      <c r="CWA57" s="334"/>
      <c r="CWB57" s="334"/>
      <c r="CWC57" s="334"/>
      <c r="CWD57" s="334"/>
      <c r="CWE57" s="334"/>
      <c r="CWF57" s="334"/>
      <c r="CWG57" s="334"/>
      <c r="CWH57" s="334"/>
      <c r="CWI57" s="334"/>
      <c r="CWJ57" s="334"/>
      <c r="CWK57" s="334"/>
      <c r="CWL57" s="334"/>
      <c r="CWM57" s="334"/>
      <c r="CWN57" s="334"/>
      <c r="CWO57" s="334"/>
      <c r="CWP57" s="334"/>
      <c r="CWQ57" s="334"/>
      <c r="CWR57" s="334"/>
      <c r="CWS57" s="334"/>
      <c r="CWT57" s="334"/>
      <c r="CWU57" s="334"/>
      <c r="CWV57" s="334"/>
      <c r="CWW57" s="334"/>
      <c r="CWX57" s="334"/>
      <c r="CWY57" s="334"/>
      <c r="CWZ57" s="334"/>
      <c r="CXA57" s="334"/>
      <c r="CXB57" s="334"/>
      <c r="CXC57" s="334"/>
      <c r="CXD57" s="334"/>
      <c r="CXE57" s="334"/>
      <c r="CXF57" s="334"/>
      <c r="CXG57" s="334"/>
      <c r="CXH57" s="334"/>
      <c r="CXI57" s="334"/>
      <c r="CXJ57" s="334"/>
      <c r="CXK57" s="334"/>
      <c r="CXL57" s="334"/>
      <c r="CXM57" s="334"/>
      <c r="CXN57" s="334"/>
      <c r="CXO57" s="334"/>
      <c r="CXP57" s="334"/>
      <c r="CXQ57" s="334"/>
      <c r="CXR57" s="334"/>
      <c r="CXS57" s="334"/>
      <c r="CXT57" s="334"/>
      <c r="CXU57" s="334"/>
      <c r="CXV57" s="334"/>
      <c r="CXW57" s="334"/>
      <c r="CXX57" s="334"/>
      <c r="CXY57" s="334"/>
      <c r="CXZ57" s="334"/>
      <c r="CYA57" s="334"/>
      <c r="CYB57" s="334"/>
      <c r="CYC57" s="334"/>
      <c r="CYD57" s="334"/>
      <c r="CYE57" s="334"/>
      <c r="CYF57" s="334"/>
      <c r="CYG57" s="334"/>
      <c r="CYH57" s="334"/>
      <c r="CYI57" s="334"/>
      <c r="CYJ57" s="334"/>
      <c r="CYK57" s="334"/>
      <c r="CYL57" s="334"/>
      <c r="CYM57" s="334"/>
      <c r="CYN57" s="334"/>
      <c r="CYO57" s="334"/>
      <c r="CYP57" s="334"/>
      <c r="CYQ57" s="334"/>
      <c r="CYR57" s="334"/>
      <c r="CYS57" s="334"/>
      <c r="CYT57" s="334"/>
      <c r="CYU57" s="334"/>
      <c r="CYV57" s="334"/>
      <c r="CYW57" s="334"/>
      <c r="CYX57" s="334"/>
      <c r="CYY57" s="334"/>
      <c r="CYZ57" s="334"/>
      <c r="CZA57" s="334"/>
      <c r="CZB57" s="334"/>
      <c r="CZC57" s="334"/>
      <c r="CZD57" s="334"/>
      <c r="CZE57" s="334"/>
      <c r="CZF57" s="334"/>
      <c r="CZG57" s="334"/>
      <c r="CZH57" s="334"/>
      <c r="CZI57" s="334"/>
      <c r="CZJ57" s="334"/>
      <c r="CZK57" s="334"/>
      <c r="CZL57" s="334"/>
      <c r="CZM57" s="334"/>
      <c r="CZN57" s="334"/>
      <c r="CZO57" s="334"/>
      <c r="CZP57" s="334"/>
      <c r="CZQ57" s="334"/>
      <c r="CZR57" s="334"/>
      <c r="CZS57" s="334"/>
      <c r="CZT57" s="334"/>
      <c r="CZU57" s="334"/>
      <c r="CZV57" s="334"/>
      <c r="CZW57" s="334"/>
      <c r="CZX57" s="334"/>
      <c r="CZY57" s="334"/>
      <c r="CZZ57" s="334"/>
      <c r="DAA57" s="334"/>
      <c r="DAB57" s="334"/>
      <c r="DAC57" s="334"/>
      <c r="DAD57" s="334"/>
      <c r="DAE57" s="334"/>
      <c r="DAF57" s="334"/>
      <c r="DAG57" s="334"/>
      <c r="DAH57" s="334"/>
      <c r="DAI57" s="334"/>
      <c r="DAJ57" s="334"/>
      <c r="DAK57" s="334"/>
      <c r="DAL57" s="334"/>
      <c r="DAM57" s="334"/>
      <c r="DAN57" s="334"/>
      <c r="DAO57" s="334"/>
      <c r="DAP57" s="334"/>
      <c r="DAQ57" s="334"/>
      <c r="DAR57" s="334"/>
      <c r="DAS57" s="334"/>
      <c r="DAT57" s="334"/>
      <c r="DAU57" s="334"/>
      <c r="DAV57" s="334"/>
      <c r="DAW57" s="334"/>
      <c r="DAX57" s="334"/>
      <c r="DAY57" s="334"/>
      <c r="DAZ57" s="334"/>
      <c r="DBA57" s="334"/>
      <c r="DBB57" s="334"/>
      <c r="DBC57" s="334"/>
      <c r="DBD57" s="334"/>
      <c r="DBE57" s="334"/>
      <c r="DBF57" s="334"/>
      <c r="DBG57" s="334"/>
      <c r="DBH57" s="334"/>
      <c r="DBI57" s="334"/>
      <c r="DBJ57" s="334"/>
      <c r="DBK57" s="334"/>
      <c r="DBL57" s="334"/>
      <c r="DBM57" s="334"/>
      <c r="DBN57" s="334"/>
      <c r="DBO57" s="334"/>
      <c r="DBP57" s="334"/>
      <c r="DBQ57" s="334"/>
      <c r="DBR57" s="334"/>
      <c r="DBS57" s="334"/>
      <c r="DBT57" s="334"/>
      <c r="DBU57" s="334"/>
      <c r="DBV57" s="334"/>
      <c r="DBW57" s="334"/>
      <c r="DBX57" s="334"/>
      <c r="DBY57" s="334"/>
      <c r="DBZ57" s="334"/>
      <c r="DCA57" s="334"/>
      <c r="DCB57" s="334"/>
      <c r="DCC57" s="334"/>
      <c r="DCD57" s="334"/>
      <c r="DCE57" s="334"/>
      <c r="DCF57" s="334"/>
      <c r="DCG57" s="334"/>
      <c r="DCH57" s="334"/>
      <c r="DCI57" s="334"/>
      <c r="DCJ57" s="334"/>
      <c r="DCK57" s="334"/>
      <c r="DCL57" s="334"/>
      <c r="DCM57" s="334"/>
      <c r="DCN57" s="334"/>
      <c r="DCO57" s="334"/>
      <c r="DCP57" s="334"/>
      <c r="DCQ57" s="334"/>
      <c r="DCR57" s="334"/>
      <c r="DCS57" s="334"/>
      <c r="DCT57" s="334"/>
      <c r="DCU57" s="334"/>
      <c r="DCV57" s="334"/>
      <c r="DCW57" s="334"/>
      <c r="DCX57" s="334"/>
      <c r="DCY57" s="334"/>
      <c r="DCZ57" s="334"/>
      <c r="DDA57" s="334"/>
      <c r="DDB57" s="334"/>
      <c r="DDC57" s="334"/>
      <c r="DDD57" s="334"/>
      <c r="DDE57" s="334"/>
      <c r="DDF57" s="334"/>
      <c r="DDG57" s="334"/>
      <c r="DDH57" s="334"/>
      <c r="DDI57" s="334"/>
      <c r="DDJ57" s="334"/>
      <c r="DDK57" s="334"/>
      <c r="DDL57" s="334"/>
      <c r="DDM57" s="334"/>
      <c r="DDN57" s="334"/>
      <c r="DDO57" s="334"/>
      <c r="DDP57" s="334"/>
      <c r="DDQ57" s="334"/>
      <c r="DDR57" s="334"/>
      <c r="DDS57" s="334"/>
      <c r="DDT57" s="334"/>
      <c r="DDU57" s="334"/>
      <c r="DDV57" s="334"/>
      <c r="DDW57" s="334"/>
      <c r="DDX57" s="334"/>
      <c r="DDY57" s="334"/>
      <c r="DDZ57" s="334"/>
      <c r="DEA57" s="334"/>
      <c r="DEB57" s="334"/>
      <c r="DEC57" s="334"/>
      <c r="DED57" s="334"/>
      <c r="DEE57" s="334"/>
      <c r="DEF57" s="334"/>
      <c r="DEG57" s="334"/>
      <c r="DEH57" s="334"/>
      <c r="DEI57" s="334"/>
      <c r="DEJ57" s="334"/>
      <c r="DEK57" s="334"/>
      <c r="DEL57" s="334"/>
      <c r="DEM57" s="334"/>
      <c r="DEN57" s="334"/>
      <c r="DEO57" s="334"/>
      <c r="DEP57" s="334"/>
      <c r="DEQ57" s="334"/>
      <c r="DER57" s="334"/>
      <c r="DES57" s="334"/>
      <c r="DET57" s="334"/>
      <c r="DEU57" s="334"/>
      <c r="DEV57" s="334"/>
      <c r="DEW57" s="334"/>
      <c r="DEX57" s="334"/>
      <c r="DEY57" s="334"/>
      <c r="DEZ57" s="334"/>
      <c r="DFA57" s="334"/>
      <c r="DFB57" s="334"/>
      <c r="DFC57" s="334"/>
      <c r="DFD57" s="334"/>
      <c r="DFE57" s="334"/>
      <c r="DFF57" s="334"/>
      <c r="DFG57" s="334"/>
      <c r="DFH57" s="334"/>
      <c r="DFI57" s="334"/>
      <c r="DFJ57" s="334"/>
      <c r="DFK57" s="334"/>
      <c r="DFL57" s="334"/>
      <c r="DFM57" s="334"/>
      <c r="DFN57" s="334"/>
      <c r="DFO57" s="334"/>
      <c r="DFP57" s="334"/>
      <c r="DFQ57" s="334"/>
      <c r="DFR57" s="334"/>
      <c r="DFS57" s="334"/>
      <c r="DFT57" s="334"/>
      <c r="DFU57" s="334"/>
      <c r="DFV57" s="334"/>
      <c r="DFW57" s="334"/>
      <c r="DFX57" s="334"/>
      <c r="DFY57" s="334"/>
      <c r="DFZ57" s="334"/>
      <c r="DGA57" s="334"/>
      <c r="DGB57" s="334"/>
      <c r="DGC57" s="334"/>
      <c r="DGD57" s="334"/>
      <c r="DGE57" s="334"/>
      <c r="DGF57" s="334"/>
      <c r="DGG57" s="334"/>
      <c r="DGH57" s="334"/>
      <c r="DGI57" s="334"/>
      <c r="DGJ57" s="334"/>
      <c r="DGK57" s="334"/>
      <c r="DGL57" s="334"/>
      <c r="DGM57" s="334"/>
      <c r="DGN57" s="334"/>
      <c r="DGO57" s="334"/>
      <c r="DGP57" s="334"/>
      <c r="DGQ57" s="334"/>
      <c r="DGR57" s="334"/>
      <c r="DGS57" s="334"/>
      <c r="DGT57" s="334"/>
      <c r="DGU57" s="334"/>
      <c r="DGV57" s="334"/>
      <c r="DGW57" s="334"/>
      <c r="DGX57" s="334"/>
      <c r="DGY57" s="334"/>
      <c r="DGZ57" s="334"/>
      <c r="DHA57" s="334"/>
      <c r="DHB57" s="334"/>
      <c r="DHC57" s="334"/>
      <c r="DHD57" s="334"/>
      <c r="DHE57" s="334"/>
      <c r="DHF57" s="334"/>
      <c r="DHG57" s="334"/>
      <c r="DHH57" s="334"/>
      <c r="DHI57" s="334"/>
      <c r="DHJ57" s="334"/>
      <c r="DHK57" s="334"/>
      <c r="DHL57" s="334"/>
      <c r="DHM57" s="334"/>
      <c r="DHN57" s="334"/>
      <c r="DHO57" s="334"/>
      <c r="DHP57" s="334"/>
      <c r="DHQ57" s="334"/>
      <c r="DHR57" s="334"/>
      <c r="DHS57" s="334"/>
      <c r="DHT57" s="334"/>
      <c r="DHU57" s="334"/>
      <c r="DHV57" s="334"/>
      <c r="DHW57" s="334"/>
      <c r="DHX57" s="334"/>
      <c r="DHY57" s="334"/>
      <c r="DHZ57" s="334"/>
      <c r="DIA57" s="334"/>
      <c r="DIB57" s="334"/>
      <c r="DIC57" s="334"/>
      <c r="DID57" s="334"/>
      <c r="DIE57" s="334"/>
      <c r="DIF57" s="334"/>
      <c r="DIG57" s="334"/>
      <c r="DIH57" s="334"/>
      <c r="DII57" s="334"/>
      <c r="DIJ57" s="334"/>
      <c r="DIK57" s="334"/>
      <c r="DIL57" s="334"/>
      <c r="DIM57" s="334"/>
      <c r="DIN57" s="334"/>
      <c r="DIO57" s="334"/>
      <c r="DIP57" s="334"/>
      <c r="DIQ57" s="334"/>
      <c r="DIR57" s="334"/>
      <c r="DIS57" s="334"/>
      <c r="DIT57" s="334"/>
      <c r="DIU57" s="334"/>
      <c r="DIV57" s="334"/>
      <c r="DIW57" s="334"/>
      <c r="DIX57" s="334"/>
      <c r="DIY57" s="334"/>
      <c r="DIZ57" s="334"/>
      <c r="DJA57" s="334"/>
      <c r="DJB57" s="334"/>
      <c r="DJC57" s="334"/>
      <c r="DJD57" s="334"/>
      <c r="DJE57" s="334"/>
      <c r="DJF57" s="334"/>
      <c r="DJG57" s="334"/>
      <c r="DJH57" s="334"/>
      <c r="DJI57" s="334"/>
      <c r="DJJ57" s="334"/>
      <c r="DJK57" s="334"/>
      <c r="DJL57" s="334"/>
      <c r="DJM57" s="334"/>
      <c r="DJN57" s="334"/>
      <c r="DJO57" s="334"/>
      <c r="DJP57" s="334"/>
      <c r="DJQ57" s="334"/>
      <c r="DJR57" s="334"/>
      <c r="DJS57" s="334"/>
      <c r="DJT57" s="334"/>
      <c r="DJU57" s="334"/>
      <c r="DJV57" s="334"/>
      <c r="DJW57" s="334"/>
      <c r="DJX57" s="334"/>
      <c r="DJY57" s="334"/>
      <c r="DJZ57" s="334"/>
      <c r="DKA57" s="334"/>
      <c r="DKB57" s="334"/>
      <c r="DKC57" s="334"/>
      <c r="DKD57" s="334"/>
      <c r="DKE57" s="334"/>
      <c r="DKF57" s="334"/>
      <c r="DKG57" s="334"/>
      <c r="DKH57" s="334"/>
      <c r="DKI57" s="334"/>
      <c r="DKJ57" s="334"/>
      <c r="DKK57" s="334"/>
      <c r="DKL57" s="334"/>
      <c r="DKM57" s="334"/>
      <c r="DKN57" s="334"/>
      <c r="DKO57" s="334"/>
      <c r="DKP57" s="334"/>
      <c r="DKQ57" s="334"/>
      <c r="DKR57" s="334"/>
      <c r="DKS57" s="334"/>
      <c r="DKT57" s="334"/>
      <c r="DKU57" s="334"/>
      <c r="DKV57" s="334"/>
      <c r="DKW57" s="334"/>
      <c r="DKX57" s="334"/>
      <c r="DKY57" s="334"/>
      <c r="DKZ57" s="334"/>
      <c r="DLA57" s="334"/>
      <c r="DLB57" s="334"/>
      <c r="DLC57" s="334"/>
      <c r="DLD57" s="334"/>
      <c r="DLE57" s="334"/>
      <c r="DLF57" s="334"/>
      <c r="DLG57" s="334"/>
      <c r="DLH57" s="334"/>
      <c r="DLI57" s="334"/>
      <c r="DLJ57" s="334"/>
      <c r="DLK57" s="334"/>
      <c r="DLL57" s="334"/>
      <c r="DLM57" s="334"/>
      <c r="DLN57" s="334"/>
      <c r="DLO57" s="334"/>
      <c r="DLP57" s="334"/>
      <c r="DLQ57" s="334"/>
      <c r="DLR57" s="334"/>
      <c r="DLS57" s="334"/>
      <c r="DLT57" s="334"/>
      <c r="DLU57" s="334"/>
      <c r="DLV57" s="334"/>
      <c r="DLW57" s="334"/>
      <c r="DLX57" s="334"/>
      <c r="DLY57" s="334"/>
      <c r="DLZ57" s="334"/>
      <c r="DMA57" s="334"/>
      <c r="DMB57" s="334"/>
      <c r="DMC57" s="334"/>
      <c r="DMD57" s="334"/>
      <c r="DME57" s="334"/>
      <c r="DMF57" s="334"/>
      <c r="DMG57" s="334"/>
      <c r="DMH57" s="334"/>
      <c r="DMI57" s="334"/>
      <c r="DMJ57" s="334"/>
      <c r="DMK57" s="334"/>
      <c r="DML57" s="334"/>
      <c r="DMM57" s="334"/>
      <c r="DMN57" s="334"/>
      <c r="DMO57" s="334"/>
      <c r="DMP57" s="334"/>
      <c r="DMQ57" s="334"/>
      <c r="DMR57" s="334"/>
      <c r="DMS57" s="334"/>
      <c r="DMT57" s="334"/>
      <c r="DMU57" s="334"/>
      <c r="DMV57" s="334"/>
      <c r="DMW57" s="334"/>
      <c r="DMX57" s="334"/>
      <c r="DMY57" s="334"/>
      <c r="DMZ57" s="334"/>
      <c r="DNA57" s="334"/>
      <c r="DNB57" s="334"/>
      <c r="DNC57" s="334"/>
      <c r="DND57" s="334"/>
      <c r="DNE57" s="334"/>
      <c r="DNF57" s="334"/>
      <c r="DNG57" s="334"/>
      <c r="DNH57" s="334"/>
      <c r="DNI57" s="334"/>
      <c r="DNJ57" s="334"/>
      <c r="DNK57" s="334"/>
      <c r="DNL57" s="334"/>
      <c r="DNM57" s="334"/>
      <c r="DNN57" s="334"/>
      <c r="DNO57" s="334"/>
      <c r="DNP57" s="334"/>
      <c r="DNQ57" s="334"/>
      <c r="DNR57" s="334"/>
      <c r="DNS57" s="334"/>
      <c r="DNT57" s="334"/>
      <c r="DNU57" s="334"/>
      <c r="DNV57" s="334"/>
      <c r="DNW57" s="334"/>
      <c r="DNX57" s="334"/>
      <c r="DNY57" s="334"/>
      <c r="DNZ57" s="334"/>
      <c r="DOA57" s="334"/>
      <c r="DOB57" s="334"/>
      <c r="DOC57" s="334"/>
      <c r="DOD57" s="334"/>
      <c r="DOE57" s="334"/>
      <c r="DOF57" s="334"/>
      <c r="DOG57" s="334"/>
      <c r="DOH57" s="334"/>
      <c r="DOI57" s="334"/>
      <c r="DOJ57" s="334"/>
      <c r="DOK57" s="334"/>
      <c r="DOL57" s="334"/>
      <c r="DOM57" s="334"/>
      <c r="DON57" s="334"/>
      <c r="DOO57" s="334"/>
      <c r="DOP57" s="334"/>
      <c r="DOQ57" s="334"/>
      <c r="DOR57" s="334"/>
      <c r="DOS57" s="334"/>
      <c r="DOT57" s="334"/>
      <c r="DOU57" s="334"/>
      <c r="DOV57" s="334"/>
      <c r="DOW57" s="334"/>
      <c r="DOX57" s="334"/>
      <c r="DOY57" s="334"/>
      <c r="DOZ57" s="334"/>
      <c r="DPA57" s="334"/>
      <c r="DPB57" s="334"/>
      <c r="DPC57" s="334"/>
      <c r="DPD57" s="334"/>
      <c r="DPE57" s="334"/>
      <c r="DPF57" s="334"/>
      <c r="DPG57" s="334"/>
      <c r="DPH57" s="334"/>
      <c r="DPI57" s="334"/>
      <c r="DPJ57" s="334"/>
      <c r="DPK57" s="334"/>
      <c r="DPL57" s="334"/>
      <c r="DPM57" s="334"/>
      <c r="DPN57" s="334"/>
      <c r="DPO57" s="334"/>
      <c r="DPP57" s="334"/>
      <c r="DPQ57" s="334"/>
      <c r="DPR57" s="334"/>
      <c r="DPS57" s="334"/>
      <c r="DPT57" s="334"/>
      <c r="DPU57" s="334"/>
      <c r="DPV57" s="334"/>
      <c r="DPW57" s="334"/>
      <c r="DPX57" s="334"/>
      <c r="DPY57" s="334"/>
      <c r="DPZ57" s="334"/>
      <c r="DQA57" s="334"/>
      <c r="DQB57" s="334"/>
      <c r="DQC57" s="334"/>
      <c r="DQD57" s="334"/>
      <c r="DQE57" s="334"/>
      <c r="DQF57" s="334"/>
      <c r="DQG57" s="334"/>
      <c r="DQH57" s="334"/>
      <c r="DQI57" s="334"/>
      <c r="DQJ57" s="334"/>
      <c r="DQK57" s="334"/>
      <c r="DQL57" s="334"/>
      <c r="DQM57" s="334"/>
      <c r="DQN57" s="334"/>
      <c r="DQO57" s="334"/>
      <c r="DQP57" s="334"/>
      <c r="DQQ57" s="334"/>
      <c r="DQR57" s="334"/>
      <c r="DQS57" s="334"/>
      <c r="DQT57" s="334"/>
      <c r="DQU57" s="334"/>
      <c r="DQV57" s="334"/>
      <c r="DQW57" s="334"/>
      <c r="DQX57" s="334"/>
      <c r="DQY57" s="334"/>
      <c r="DQZ57" s="334"/>
      <c r="DRA57" s="334"/>
      <c r="DRB57" s="334"/>
      <c r="DRC57" s="334"/>
      <c r="DRD57" s="334"/>
      <c r="DRE57" s="334"/>
      <c r="DRF57" s="334"/>
      <c r="DRG57" s="334"/>
      <c r="DRH57" s="334"/>
      <c r="DRI57" s="334"/>
      <c r="DRJ57" s="334"/>
      <c r="DRK57" s="334"/>
      <c r="DRL57" s="334"/>
      <c r="DRM57" s="334"/>
      <c r="DRN57" s="334"/>
      <c r="DRO57" s="334"/>
      <c r="DRP57" s="334"/>
      <c r="DRQ57" s="334"/>
      <c r="DRR57" s="334"/>
      <c r="DRS57" s="334"/>
      <c r="DRT57" s="334"/>
      <c r="DRU57" s="334"/>
      <c r="DRV57" s="334"/>
      <c r="DRW57" s="334"/>
      <c r="DRX57" s="334"/>
      <c r="DRY57" s="334"/>
      <c r="DRZ57" s="334"/>
      <c r="DSA57" s="334"/>
      <c r="DSB57" s="334"/>
      <c r="DSC57" s="334"/>
      <c r="DSD57" s="334"/>
      <c r="DSE57" s="334"/>
      <c r="DSF57" s="334"/>
      <c r="DSG57" s="334"/>
      <c r="DSH57" s="334"/>
      <c r="DSI57" s="334"/>
      <c r="DSJ57" s="334"/>
      <c r="DSK57" s="334"/>
      <c r="DSL57" s="334"/>
      <c r="DSM57" s="334"/>
      <c r="DSN57" s="334"/>
      <c r="DSO57" s="334"/>
      <c r="DSP57" s="334"/>
      <c r="DSQ57" s="334"/>
      <c r="DSR57" s="334"/>
      <c r="DSS57" s="334"/>
      <c r="DST57" s="334"/>
      <c r="DSU57" s="334"/>
      <c r="DSV57" s="334"/>
      <c r="DSW57" s="334"/>
      <c r="DSX57" s="334"/>
      <c r="DSY57" s="334"/>
      <c r="DSZ57" s="334"/>
      <c r="DTA57" s="334"/>
      <c r="DTB57" s="334"/>
      <c r="DTC57" s="334"/>
      <c r="DTD57" s="334"/>
      <c r="DTE57" s="334"/>
      <c r="DTF57" s="334"/>
      <c r="DTG57" s="334"/>
      <c r="DTH57" s="334"/>
      <c r="DTI57" s="334"/>
      <c r="DTJ57" s="334"/>
      <c r="DTK57" s="334"/>
      <c r="DTL57" s="334"/>
      <c r="DTM57" s="334"/>
      <c r="DTN57" s="334"/>
      <c r="DTO57" s="334"/>
      <c r="DTP57" s="334"/>
      <c r="DTQ57" s="334"/>
      <c r="DTR57" s="334"/>
      <c r="DTS57" s="334"/>
      <c r="DTT57" s="334"/>
      <c r="DTU57" s="334"/>
      <c r="DTV57" s="334"/>
      <c r="DTW57" s="334"/>
      <c r="DTX57" s="334"/>
      <c r="DTY57" s="334"/>
      <c r="DTZ57" s="334"/>
      <c r="DUA57" s="334"/>
      <c r="DUB57" s="334"/>
      <c r="DUC57" s="334"/>
      <c r="DUD57" s="334"/>
      <c r="DUE57" s="334"/>
      <c r="DUF57" s="334"/>
      <c r="DUG57" s="334"/>
      <c r="DUH57" s="334"/>
      <c r="DUI57" s="334"/>
      <c r="DUJ57" s="334"/>
      <c r="DUK57" s="334"/>
      <c r="DUL57" s="334"/>
      <c r="DUM57" s="334"/>
      <c r="DUN57" s="334"/>
      <c r="DUO57" s="334"/>
      <c r="DUP57" s="334"/>
      <c r="DUQ57" s="334"/>
      <c r="DUR57" s="334"/>
      <c r="DUS57" s="334"/>
      <c r="DUT57" s="334"/>
      <c r="DUU57" s="334"/>
      <c r="DUV57" s="334"/>
      <c r="DUW57" s="334"/>
      <c r="DUX57" s="334"/>
      <c r="DUY57" s="334"/>
      <c r="DUZ57" s="334"/>
      <c r="DVA57" s="334"/>
      <c r="DVB57" s="334"/>
      <c r="DVC57" s="334"/>
      <c r="DVD57" s="334"/>
      <c r="DVE57" s="334"/>
      <c r="DVF57" s="334"/>
      <c r="DVG57" s="334"/>
      <c r="DVH57" s="334"/>
      <c r="DVI57" s="334"/>
      <c r="DVJ57" s="334"/>
      <c r="DVK57" s="334"/>
      <c r="DVL57" s="334"/>
      <c r="DVM57" s="334"/>
      <c r="DVN57" s="334"/>
      <c r="DVO57" s="334"/>
      <c r="DVP57" s="334"/>
      <c r="DVQ57" s="334"/>
      <c r="DVR57" s="334"/>
      <c r="DVS57" s="334"/>
      <c r="DVT57" s="334"/>
      <c r="DVU57" s="334"/>
      <c r="DVV57" s="334"/>
      <c r="DVW57" s="334"/>
      <c r="DVX57" s="334"/>
      <c r="DVY57" s="334"/>
      <c r="DVZ57" s="334"/>
      <c r="DWA57" s="334"/>
      <c r="DWB57" s="334"/>
      <c r="DWC57" s="334"/>
      <c r="DWD57" s="334"/>
      <c r="DWE57" s="334"/>
      <c r="DWF57" s="334"/>
      <c r="DWG57" s="334"/>
      <c r="DWH57" s="334"/>
      <c r="DWI57" s="334"/>
      <c r="DWJ57" s="334"/>
      <c r="DWK57" s="334"/>
      <c r="DWL57" s="334"/>
      <c r="DWM57" s="334"/>
      <c r="DWN57" s="334"/>
      <c r="DWO57" s="334"/>
      <c r="DWP57" s="334"/>
      <c r="DWQ57" s="334"/>
      <c r="DWR57" s="334"/>
      <c r="DWS57" s="334"/>
      <c r="DWT57" s="334"/>
      <c r="DWU57" s="334"/>
      <c r="DWV57" s="334"/>
      <c r="DWW57" s="334"/>
      <c r="DWX57" s="334"/>
      <c r="DWY57" s="334"/>
      <c r="DWZ57" s="334"/>
      <c r="DXA57" s="334"/>
      <c r="DXB57" s="334"/>
      <c r="DXC57" s="334"/>
      <c r="DXD57" s="334"/>
      <c r="DXE57" s="334"/>
      <c r="DXF57" s="334"/>
      <c r="DXG57" s="334"/>
      <c r="DXH57" s="334"/>
      <c r="DXI57" s="334"/>
      <c r="DXJ57" s="334"/>
      <c r="DXK57" s="334"/>
      <c r="DXL57" s="334"/>
      <c r="DXM57" s="334"/>
      <c r="DXN57" s="334"/>
      <c r="DXO57" s="334"/>
      <c r="DXP57" s="334"/>
      <c r="DXQ57" s="334"/>
      <c r="DXR57" s="334"/>
      <c r="DXS57" s="334"/>
      <c r="DXT57" s="334"/>
      <c r="DXU57" s="334"/>
      <c r="DXV57" s="334"/>
      <c r="DXW57" s="334"/>
      <c r="DXX57" s="334"/>
      <c r="DXY57" s="334"/>
      <c r="DXZ57" s="334"/>
      <c r="DYA57" s="334"/>
      <c r="DYB57" s="334"/>
      <c r="DYC57" s="334"/>
      <c r="DYD57" s="334"/>
      <c r="DYE57" s="334"/>
      <c r="DYF57" s="334"/>
      <c r="DYG57" s="334"/>
      <c r="DYH57" s="334"/>
      <c r="DYI57" s="334"/>
      <c r="DYJ57" s="334"/>
      <c r="DYK57" s="334"/>
      <c r="DYL57" s="334"/>
      <c r="DYM57" s="334"/>
      <c r="DYN57" s="334"/>
      <c r="DYO57" s="334"/>
      <c r="DYP57" s="334"/>
      <c r="DYQ57" s="334"/>
      <c r="DYR57" s="334"/>
      <c r="DYS57" s="334"/>
      <c r="DYT57" s="334"/>
      <c r="DYU57" s="334"/>
      <c r="DYV57" s="334"/>
      <c r="DYW57" s="334"/>
      <c r="DYX57" s="334"/>
      <c r="DYY57" s="334"/>
      <c r="DYZ57" s="334"/>
      <c r="DZA57" s="334"/>
      <c r="DZB57" s="334"/>
      <c r="DZC57" s="334"/>
      <c r="DZD57" s="334"/>
      <c r="DZE57" s="334"/>
      <c r="DZF57" s="334"/>
      <c r="DZG57" s="334"/>
      <c r="DZH57" s="334"/>
      <c r="DZI57" s="334"/>
      <c r="DZJ57" s="334"/>
      <c r="DZK57" s="334"/>
      <c r="DZL57" s="334"/>
      <c r="DZM57" s="334"/>
      <c r="DZN57" s="334"/>
      <c r="DZO57" s="334"/>
      <c r="DZP57" s="334"/>
      <c r="DZQ57" s="334"/>
      <c r="DZR57" s="334"/>
      <c r="DZS57" s="334"/>
      <c r="DZT57" s="334"/>
      <c r="DZU57" s="334"/>
      <c r="DZV57" s="334"/>
      <c r="DZW57" s="334"/>
      <c r="DZX57" s="334"/>
      <c r="DZY57" s="334"/>
      <c r="DZZ57" s="334"/>
      <c r="EAA57" s="334"/>
      <c r="EAB57" s="334"/>
      <c r="EAC57" s="334"/>
      <c r="EAD57" s="334"/>
      <c r="EAE57" s="334"/>
      <c r="EAF57" s="334"/>
      <c r="EAG57" s="334"/>
      <c r="EAH57" s="334"/>
      <c r="EAI57" s="334"/>
      <c r="EAJ57" s="334"/>
      <c r="EAK57" s="334"/>
      <c r="EAL57" s="334"/>
      <c r="EAM57" s="334"/>
      <c r="EAN57" s="334"/>
      <c r="EAO57" s="334"/>
      <c r="EAP57" s="334"/>
      <c r="EAQ57" s="334"/>
      <c r="EAR57" s="334"/>
      <c r="EAS57" s="334"/>
      <c r="EAT57" s="334"/>
      <c r="EAU57" s="334"/>
      <c r="EAV57" s="334"/>
      <c r="EAW57" s="334"/>
      <c r="EAX57" s="334"/>
      <c r="EAY57" s="334"/>
      <c r="EAZ57" s="334"/>
      <c r="EBA57" s="334"/>
      <c r="EBB57" s="334"/>
      <c r="EBC57" s="334"/>
      <c r="EBD57" s="334"/>
      <c r="EBE57" s="334"/>
      <c r="EBF57" s="334"/>
      <c r="EBG57" s="334"/>
      <c r="EBH57" s="334"/>
      <c r="EBI57" s="334"/>
      <c r="EBJ57" s="334"/>
      <c r="EBK57" s="334"/>
      <c r="EBL57" s="334"/>
      <c r="EBM57" s="334"/>
      <c r="EBN57" s="334"/>
      <c r="EBO57" s="334"/>
      <c r="EBP57" s="334"/>
      <c r="EBQ57" s="334"/>
      <c r="EBR57" s="334"/>
      <c r="EBS57" s="334"/>
      <c r="EBT57" s="334"/>
      <c r="EBU57" s="334"/>
      <c r="EBV57" s="334"/>
      <c r="EBW57" s="334"/>
      <c r="EBX57" s="334"/>
      <c r="EBY57" s="334"/>
      <c r="EBZ57" s="334"/>
      <c r="ECA57" s="334"/>
      <c r="ECB57" s="334"/>
      <c r="ECC57" s="334"/>
      <c r="ECD57" s="334"/>
      <c r="ECE57" s="334"/>
      <c r="ECF57" s="334"/>
      <c r="ECG57" s="334"/>
      <c r="ECH57" s="334"/>
      <c r="ECI57" s="334"/>
      <c r="ECJ57" s="334"/>
      <c r="ECK57" s="334"/>
      <c r="ECL57" s="334"/>
      <c r="ECM57" s="334"/>
      <c r="ECN57" s="334"/>
      <c r="ECO57" s="334"/>
      <c r="ECP57" s="334"/>
      <c r="ECQ57" s="334"/>
      <c r="ECR57" s="334"/>
      <c r="ECS57" s="334"/>
      <c r="ECT57" s="334"/>
      <c r="ECU57" s="334"/>
      <c r="ECV57" s="334"/>
      <c r="ECW57" s="334"/>
      <c r="ECX57" s="334"/>
      <c r="ECY57" s="334"/>
      <c r="ECZ57" s="334"/>
      <c r="EDA57" s="334"/>
      <c r="EDB57" s="334"/>
      <c r="EDC57" s="334"/>
      <c r="EDD57" s="334"/>
      <c r="EDE57" s="334"/>
      <c r="EDF57" s="334"/>
      <c r="EDG57" s="334"/>
      <c r="EDH57" s="334"/>
      <c r="EDI57" s="334"/>
      <c r="EDJ57" s="334"/>
      <c r="EDK57" s="334"/>
      <c r="EDL57" s="334"/>
      <c r="EDM57" s="334"/>
      <c r="EDN57" s="334"/>
      <c r="EDO57" s="334"/>
      <c r="EDP57" s="334"/>
      <c r="EDQ57" s="334"/>
      <c r="EDR57" s="334"/>
      <c r="EDS57" s="334"/>
      <c r="EDT57" s="334"/>
      <c r="EDU57" s="334"/>
      <c r="EDV57" s="334"/>
      <c r="EDW57" s="334"/>
      <c r="EDX57" s="334"/>
      <c r="EDY57" s="334"/>
      <c r="EDZ57" s="334"/>
      <c r="EEA57" s="334"/>
      <c r="EEB57" s="334"/>
      <c r="EEC57" s="334"/>
      <c r="EED57" s="334"/>
      <c r="EEE57" s="334"/>
      <c r="EEF57" s="334"/>
      <c r="EEG57" s="334"/>
      <c r="EEH57" s="334"/>
      <c r="EEI57" s="334"/>
      <c r="EEJ57" s="334"/>
      <c r="EEK57" s="334"/>
      <c r="EEL57" s="334"/>
      <c r="EEM57" s="334"/>
      <c r="EEN57" s="334"/>
      <c r="EEO57" s="334"/>
      <c r="EEP57" s="334"/>
      <c r="EEQ57" s="334"/>
      <c r="EER57" s="334"/>
      <c r="EES57" s="334"/>
      <c r="EET57" s="334"/>
      <c r="EEU57" s="334"/>
      <c r="EEV57" s="334"/>
      <c r="EEW57" s="334"/>
      <c r="EEX57" s="334"/>
      <c r="EEY57" s="334"/>
      <c r="EEZ57" s="334"/>
      <c r="EFA57" s="334"/>
      <c r="EFB57" s="334"/>
      <c r="EFC57" s="334"/>
      <c r="EFD57" s="334"/>
      <c r="EFE57" s="334"/>
      <c r="EFF57" s="334"/>
      <c r="EFG57" s="334"/>
      <c r="EFH57" s="334"/>
      <c r="EFI57" s="334"/>
      <c r="EFJ57" s="334"/>
      <c r="EFK57" s="334"/>
      <c r="EFL57" s="334"/>
      <c r="EFM57" s="334"/>
      <c r="EFN57" s="334"/>
      <c r="EFO57" s="334"/>
      <c r="EFP57" s="334"/>
      <c r="EFQ57" s="334"/>
      <c r="EFR57" s="334"/>
      <c r="EFS57" s="334"/>
      <c r="EFT57" s="334"/>
      <c r="EFU57" s="334"/>
      <c r="EFV57" s="334"/>
      <c r="EFW57" s="334"/>
      <c r="EFX57" s="334"/>
      <c r="EFY57" s="334"/>
      <c r="EFZ57" s="334"/>
      <c r="EGA57" s="334"/>
      <c r="EGB57" s="334"/>
      <c r="EGC57" s="334"/>
      <c r="EGD57" s="334"/>
      <c r="EGE57" s="334"/>
      <c r="EGF57" s="334"/>
      <c r="EGG57" s="334"/>
      <c r="EGH57" s="334"/>
      <c r="EGI57" s="334"/>
      <c r="EGJ57" s="334"/>
      <c r="EGK57" s="334"/>
      <c r="EGL57" s="334"/>
      <c r="EGM57" s="334"/>
      <c r="EGN57" s="334"/>
      <c r="EGO57" s="334"/>
      <c r="EGP57" s="334"/>
      <c r="EGQ57" s="334"/>
      <c r="EGR57" s="334"/>
      <c r="EGS57" s="334"/>
      <c r="EGT57" s="334"/>
      <c r="EGU57" s="334"/>
      <c r="EGV57" s="334"/>
      <c r="EGW57" s="334"/>
      <c r="EGX57" s="334"/>
      <c r="EGY57" s="334"/>
      <c r="EGZ57" s="334"/>
      <c r="EHA57" s="334"/>
      <c r="EHB57" s="334"/>
      <c r="EHC57" s="334"/>
      <c r="EHD57" s="334"/>
      <c r="EHE57" s="334"/>
      <c r="EHF57" s="334"/>
      <c r="EHG57" s="334"/>
      <c r="EHH57" s="334"/>
      <c r="EHI57" s="334"/>
      <c r="EHJ57" s="334"/>
      <c r="EHK57" s="334"/>
      <c r="EHL57" s="334"/>
      <c r="EHM57" s="334"/>
      <c r="EHN57" s="334"/>
      <c r="EHO57" s="334"/>
      <c r="EHP57" s="334"/>
      <c r="EHQ57" s="334"/>
      <c r="EHR57" s="334"/>
      <c r="EHS57" s="334"/>
      <c r="EHT57" s="334"/>
      <c r="EHU57" s="334"/>
      <c r="EHV57" s="334"/>
      <c r="EHW57" s="334"/>
      <c r="EHX57" s="334"/>
      <c r="EHY57" s="334"/>
      <c r="EHZ57" s="334"/>
      <c r="EIA57" s="334"/>
      <c r="EIB57" s="334"/>
      <c r="EIC57" s="334"/>
      <c r="EID57" s="334"/>
      <c r="EIE57" s="334"/>
      <c r="EIF57" s="334"/>
      <c r="EIG57" s="334"/>
      <c r="EIH57" s="334"/>
      <c r="EII57" s="334"/>
      <c r="EIJ57" s="334"/>
      <c r="EIK57" s="334"/>
      <c r="EIL57" s="334"/>
      <c r="EIM57" s="334"/>
      <c r="EIN57" s="334"/>
      <c r="EIO57" s="334"/>
      <c r="EIP57" s="334"/>
      <c r="EIQ57" s="334"/>
      <c r="EIR57" s="334"/>
      <c r="EIS57" s="334"/>
      <c r="EIT57" s="334"/>
      <c r="EIU57" s="334"/>
      <c r="EIV57" s="334"/>
      <c r="EIW57" s="334"/>
      <c r="EIX57" s="334"/>
      <c r="EIY57" s="334"/>
      <c r="EIZ57" s="334"/>
      <c r="EJA57" s="334"/>
      <c r="EJB57" s="334"/>
      <c r="EJC57" s="334"/>
      <c r="EJD57" s="334"/>
      <c r="EJE57" s="334"/>
      <c r="EJF57" s="334"/>
      <c r="EJG57" s="334"/>
      <c r="EJH57" s="334"/>
      <c r="EJI57" s="334"/>
      <c r="EJJ57" s="334"/>
      <c r="EJK57" s="334"/>
      <c r="EJL57" s="334"/>
      <c r="EJM57" s="334"/>
      <c r="EJN57" s="334"/>
      <c r="EJO57" s="334"/>
      <c r="EJP57" s="334"/>
      <c r="EJQ57" s="334"/>
      <c r="EJR57" s="334"/>
      <c r="EJS57" s="334"/>
      <c r="EJT57" s="334"/>
      <c r="EJU57" s="334"/>
      <c r="EJV57" s="334"/>
      <c r="EJW57" s="334"/>
      <c r="EJX57" s="334"/>
      <c r="EJY57" s="334"/>
      <c r="EJZ57" s="334"/>
      <c r="EKA57" s="334"/>
      <c r="EKB57" s="334"/>
      <c r="EKC57" s="334"/>
      <c r="EKD57" s="334"/>
      <c r="EKE57" s="334"/>
      <c r="EKF57" s="334"/>
      <c r="EKG57" s="334"/>
      <c r="EKH57" s="334"/>
      <c r="EKI57" s="334"/>
      <c r="EKJ57" s="334"/>
      <c r="EKK57" s="334"/>
      <c r="EKL57" s="334"/>
      <c r="EKM57" s="334"/>
      <c r="EKN57" s="334"/>
      <c r="EKO57" s="334"/>
      <c r="EKP57" s="334"/>
      <c r="EKQ57" s="334"/>
      <c r="EKR57" s="334"/>
      <c r="EKS57" s="334"/>
      <c r="EKT57" s="334"/>
      <c r="EKU57" s="334"/>
      <c r="EKV57" s="334"/>
      <c r="EKW57" s="334"/>
      <c r="EKX57" s="334"/>
      <c r="EKY57" s="334"/>
      <c r="EKZ57" s="334"/>
      <c r="ELA57" s="334"/>
      <c r="ELB57" s="334"/>
      <c r="ELC57" s="334"/>
      <c r="ELD57" s="334"/>
      <c r="ELE57" s="334"/>
      <c r="ELF57" s="334"/>
      <c r="ELG57" s="334"/>
      <c r="ELH57" s="334"/>
      <c r="ELI57" s="334"/>
      <c r="ELJ57" s="334"/>
      <c r="ELK57" s="334"/>
      <c r="ELL57" s="334"/>
      <c r="ELM57" s="334"/>
      <c r="ELN57" s="334"/>
      <c r="ELO57" s="334"/>
      <c r="ELP57" s="334"/>
      <c r="ELQ57" s="334"/>
      <c r="ELR57" s="334"/>
      <c r="ELS57" s="334"/>
      <c r="ELT57" s="334"/>
      <c r="ELU57" s="334"/>
      <c r="ELV57" s="334"/>
      <c r="ELW57" s="334"/>
      <c r="ELX57" s="334"/>
      <c r="ELY57" s="334"/>
      <c r="ELZ57" s="334"/>
      <c r="EMA57" s="334"/>
      <c r="EMB57" s="334"/>
      <c r="EMC57" s="334"/>
      <c r="EMD57" s="334"/>
      <c r="EME57" s="334"/>
      <c r="EMF57" s="334"/>
      <c r="EMG57" s="334"/>
      <c r="EMH57" s="334"/>
      <c r="EMI57" s="334"/>
      <c r="EMJ57" s="334"/>
      <c r="EMK57" s="334"/>
      <c r="EML57" s="334"/>
      <c r="EMM57" s="334"/>
      <c r="EMN57" s="334"/>
      <c r="EMO57" s="334"/>
      <c r="EMP57" s="334"/>
      <c r="EMQ57" s="334"/>
      <c r="EMR57" s="334"/>
      <c r="EMS57" s="334"/>
      <c r="EMT57" s="334"/>
      <c r="EMU57" s="334"/>
      <c r="EMV57" s="334"/>
      <c r="EMW57" s="334"/>
      <c r="EMX57" s="334"/>
      <c r="EMY57" s="334"/>
      <c r="EMZ57" s="334"/>
      <c r="ENA57" s="334"/>
      <c r="ENB57" s="334"/>
      <c r="ENC57" s="334"/>
      <c r="END57" s="334"/>
      <c r="ENE57" s="334"/>
      <c r="ENF57" s="334"/>
      <c r="ENG57" s="334"/>
      <c r="ENH57" s="334"/>
      <c r="ENI57" s="334"/>
      <c r="ENJ57" s="334"/>
      <c r="ENK57" s="334"/>
      <c r="ENL57" s="334"/>
      <c r="ENM57" s="334"/>
      <c r="ENN57" s="334"/>
      <c r="ENO57" s="334"/>
      <c r="ENP57" s="334"/>
      <c r="ENQ57" s="334"/>
      <c r="ENR57" s="334"/>
      <c r="ENS57" s="334"/>
      <c r="ENT57" s="334"/>
      <c r="ENU57" s="334"/>
      <c r="ENV57" s="334"/>
      <c r="ENW57" s="334"/>
      <c r="ENX57" s="334"/>
      <c r="ENY57" s="334"/>
      <c r="ENZ57" s="334"/>
      <c r="EOA57" s="334"/>
      <c r="EOB57" s="334"/>
      <c r="EOC57" s="334"/>
      <c r="EOD57" s="334"/>
      <c r="EOE57" s="334"/>
      <c r="EOF57" s="334"/>
      <c r="EOG57" s="334"/>
      <c r="EOH57" s="334"/>
      <c r="EOI57" s="334"/>
      <c r="EOJ57" s="334"/>
      <c r="EOK57" s="334"/>
      <c r="EOL57" s="334"/>
      <c r="EOM57" s="334"/>
      <c r="EON57" s="334"/>
      <c r="EOO57" s="334"/>
      <c r="EOP57" s="334"/>
      <c r="EOQ57" s="334"/>
      <c r="EOR57" s="334"/>
      <c r="EOS57" s="334"/>
      <c r="EOT57" s="334"/>
      <c r="EOU57" s="334"/>
      <c r="EOV57" s="334"/>
      <c r="EOW57" s="334"/>
      <c r="EOX57" s="334"/>
      <c r="EOY57" s="334"/>
      <c r="EOZ57" s="334"/>
      <c r="EPA57" s="334"/>
      <c r="EPB57" s="334"/>
      <c r="EPC57" s="334"/>
      <c r="EPD57" s="334"/>
      <c r="EPE57" s="334"/>
      <c r="EPF57" s="334"/>
      <c r="EPG57" s="334"/>
      <c r="EPH57" s="334"/>
      <c r="EPI57" s="334"/>
      <c r="EPJ57" s="334"/>
      <c r="EPK57" s="334"/>
      <c r="EPL57" s="334"/>
      <c r="EPM57" s="334"/>
      <c r="EPN57" s="334"/>
      <c r="EPO57" s="334"/>
      <c r="EPP57" s="334"/>
      <c r="EPQ57" s="334"/>
      <c r="EPR57" s="334"/>
      <c r="EPS57" s="334"/>
      <c r="EPT57" s="334"/>
      <c r="EPU57" s="334"/>
      <c r="EPV57" s="334"/>
      <c r="EPW57" s="334"/>
      <c r="EPX57" s="334"/>
      <c r="EPY57" s="334"/>
      <c r="EPZ57" s="334"/>
      <c r="EQA57" s="334"/>
      <c r="EQB57" s="334"/>
      <c r="EQC57" s="334"/>
      <c r="EQD57" s="334"/>
      <c r="EQE57" s="334"/>
      <c r="EQF57" s="334"/>
      <c r="EQG57" s="334"/>
      <c r="EQH57" s="334"/>
      <c r="EQI57" s="334"/>
      <c r="EQJ57" s="334"/>
      <c r="EQK57" s="334"/>
      <c r="EQL57" s="334"/>
      <c r="EQM57" s="334"/>
      <c r="EQN57" s="334"/>
      <c r="EQO57" s="334"/>
      <c r="EQP57" s="334"/>
      <c r="EQQ57" s="334"/>
      <c r="EQR57" s="334"/>
      <c r="EQS57" s="334"/>
      <c r="EQT57" s="334"/>
      <c r="EQU57" s="334"/>
      <c r="EQV57" s="334"/>
      <c r="EQW57" s="334"/>
      <c r="EQX57" s="334"/>
      <c r="EQY57" s="334"/>
      <c r="EQZ57" s="334"/>
      <c r="ERA57" s="334"/>
      <c r="ERB57" s="334"/>
      <c r="ERC57" s="334"/>
      <c r="ERD57" s="334"/>
      <c r="ERE57" s="334"/>
      <c r="ERF57" s="334"/>
      <c r="ERG57" s="334"/>
      <c r="ERH57" s="334"/>
      <c r="ERI57" s="334"/>
      <c r="ERJ57" s="334"/>
      <c r="ERK57" s="334"/>
      <c r="ERL57" s="334"/>
      <c r="ERM57" s="334"/>
      <c r="ERN57" s="334"/>
      <c r="ERO57" s="334"/>
      <c r="ERP57" s="334"/>
      <c r="ERQ57" s="334"/>
      <c r="ERR57" s="334"/>
      <c r="ERS57" s="334"/>
      <c r="ERT57" s="334"/>
      <c r="ERU57" s="334"/>
      <c r="ERV57" s="334"/>
      <c r="ERW57" s="334"/>
      <c r="ERX57" s="334"/>
      <c r="ERY57" s="334"/>
      <c r="ERZ57" s="334"/>
      <c r="ESA57" s="334"/>
      <c r="ESB57" s="334"/>
      <c r="ESC57" s="334"/>
      <c r="ESD57" s="334"/>
      <c r="ESE57" s="334"/>
      <c r="ESF57" s="334"/>
      <c r="ESG57" s="334"/>
      <c r="ESH57" s="334"/>
      <c r="ESI57" s="334"/>
      <c r="ESJ57" s="334"/>
      <c r="ESK57" s="334"/>
      <c r="ESL57" s="334"/>
      <c r="ESM57" s="334"/>
      <c r="ESN57" s="334"/>
      <c r="ESO57" s="334"/>
      <c r="ESP57" s="334"/>
      <c r="ESQ57" s="334"/>
      <c r="ESR57" s="334"/>
      <c r="ESS57" s="334"/>
      <c r="EST57" s="334"/>
      <c r="ESU57" s="334"/>
      <c r="ESV57" s="334"/>
      <c r="ESW57" s="334"/>
      <c r="ESX57" s="334"/>
      <c r="ESY57" s="334"/>
      <c r="ESZ57" s="334"/>
      <c r="ETA57" s="334"/>
      <c r="ETB57" s="334"/>
      <c r="ETC57" s="334"/>
      <c r="ETD57" s="334"/>
      <c r="ETE57" s="334"/>
      <c r="ETF57" s="334"/>
      <c r="ETG57" s="334"/>
      <c r="ETH57" s="334"/>
      <c r="ETI57" s="334"/>
      <c r="ETJ57" s="334"/>
      <c r="ETK57" s="334"/>
      <c r="ETL57" s="334"/>
      <c r="ETM57" s="334"/>
      <c r="ETN57" s="334"/>
      <c r="ETO57" s="334"/>
      <c r="ETP57" s="334"/>
      <c r="ETQ57" s="334"/>
      <c r="ETR57" s="334"/>
      <c r="ETS57" s="334"/>
      <c r="ETT57" s="334"/>
      <c r="ETU57" s="334"/>
      <c r="ETV57" s="334"/>
      <c r="ETW57" s="334"/>
      <c r="ETX57" s="334"/>
      <c r="ETY57" s="334"/>
      <c r="ETZ57" s="334"/>
      <c r="EUA57" s="334"/>
      <c r="EUB57" s="334"/>
      <c r="EUC57" s="334"/>
      <c r="EUD57" s="334"/>
      <c r="EUE57" s="334"/>
      <c r="EUF57" s="334"/>
      <c r="EUG57" s="334"/>
      <c r="EUH57" s="334"/>
      <c r="EUI57" s="334"/>
      <c r="EUJ57" s="334"/>
      <c r="EUK57" s="334"/>
      <c r="EUL57" s="334"/>
      <c r="EUM57" s="334"/>
      <c r="EUN57" s="334"/>
      <c r="EUO57" s="334"/>
      <c r="EUP57" s="334"/>
      <c r="EUQ57" s="334"/>
      <c r="EUR57" s="334"/>
      <c r="EUS57" s="334"/>
      <c r="EUT57" s="334"/>
      <c r="EUU57" s="334"/>
      <c r="EUV57" s="334"/>
      <c r="EUW57" s="334"/>
      <c r="EUX57" s="334"/>
      <c r="EUY57" s="334"/>
      <c r="EUZ57" s="334"/>
      <c r="EVA57" s="334"/>
      <c r="EVB57" s="334"/>
      <c r="EVC57" s="334"/>
      <c r="EVD57" s="334"/>
      <c r="EVE57" s="334"/>
      <c r="EVF57" s="334"/>
      <c r="EVG57" s="334"/>
      <c r="EVH57" s="334"/>
      <c r="EVI57" s="334"/>
      <c r="EVJ57" s="334"/>
      <c r="EVK57" s="334"/>
      <c r="EVL57" s="334"/>
      <c r="EVM57" s="334"/>
      <c r="EVN57" s="334"/>
      <c r="EVO57" s="334"/>
      <c r="EVP57" s="334"/>
      <c r="EVQ57" s="334"/>
      <c r="EVR57" s="334"/>
      <c r="EVS57" s="334"/>
      <c r="EVT57" s="334"/>
      <c r="EVU57" s="334"/>
      <c r="EVV57" s="334"/>
      <c r="EVW57" s="334"/>
      <c r="EVX57" s="334"/>
      <c r="EVY57" s="334"/>
      <c r="EVZ57" s="334"/>
      <c r="EWA57" s="334"/>
      <c r="EWB57" s="334"/>
      <c r="EWC57" s="334"/>
      <c r="EWD57" s="334"/>
      <c r="EWE57" s="334"/>
      <c r="EWF57" s="334"/>
      <c r="EWG57" s="334"/>
      <c r="EWH57" s="334"/>
      <c r="EWI57" s="334"/>
      <c r="EWJ57" s="334"/>
      <c r="EWK57" s="334"/>
      <c r="EWL57" s="334"/>
      <c r="EWM57" s="334"/>
      <c r="EWN57" s="334"/>
      <c r="EWO57" s="334"/>
      <c r="EWP57" s="334"/>
      <c r="EWQ57" s="334"/>
      <c r="EWR57" s="334"/>
      <c r="EWS57" s="334"/>
      <c r="EWT57" s="334"/>
      <c r="EWU57" s="334"/>
      <c r="EWV57" s="334"/>
      <c r="EWW57" s="334"/>
      <c r="EWX57" s="334"/>
      <c r="EWY57" s="334"/>
      <c r="EWZ57" s="334"/>
      <c r="EXA57" s="334"/>
      <c r="EXB57" s="334"/>
      <c r="EXC57" s="334"/>
      <c r="EXD57" s="334"/>
      <c r="EXE57" s="334"/>
      <c r="EXF57" s="334"/>
      <c r="EXG57" s="334"/>
      <c r="EXH57" s="334"/>
      <c r="EXI57" s="334"/>
      <c r="EXJ57" s="334"/>
      <c r="EXK57" s="334"/>
      <c r="EXL57" s="334"/>
      <c r="EXM57" s="334"/>
      <c r="EXN57" s="334"/>
      <c r="EXO57" s="334"/>
      <c r="EXP57" s="334"/>
      <c r="EXQ57" s="334"/>
      <c r="EXR57" s="334"/>
      <c r="EXS57" s="334"/>
      <c r="EXT57" s="334"/>
      <c r="EXU57" s="334"/>
      <c r="EXV57" s="334"/>
      <c r="EXW57" s="334"/>
      <c r="EXX57" s="334"/>
      <c r="EXY57" s="334"/>
      <c r="EXZ57" s="334"/>
      <c r="EYA57" s="334"/>
      <c r="EYB57" s="334"/>
      <c r="EYC57" s="334"/>
      <c r="EYD57" s="334"/>
      <c r="EYE57" s="334"/>
      <c r="EYF57" s="334"/>
      <c r="EYG57" s="334"/>
      <c r="EYH57" s="334"/>
      <c r="EYI57" s="334"/>
      <c r="EYJ57" s="334"/>
      <c r="EYK57" s="334"/>
      <c r="EYL57" s="334"/>
      <c r="EYM57" s="334"/>
      <c r="EYN57" s="334"/>
      <c r="EYO57" s="334"/>
      <c r="EYP57" s="334"/>
      <c r="EYQ57" s="334"/>
      <c r="EYR57" s="334"/>
      <c r="EYS57" s="334"/>
      <c r="EYT57" s="334"/>
      <c r="EYU57" s="334"/>
      <c r="EYV57" s="334"/>
      <c r="EYW57" s="334"/>
      <c r="EYX57" s="334"/>
      <c r="EYY57" s="334"/>
      <c r="EYZ57" s="334"/>
      <c r="EZA57" s="334"/>
      <c r="EZB57" s="334"/>
      <c r="EZC57" s="334"/>
      <c r="EZD57" s="334"/>
      <c r="EZE57" s="334"/>
      <c r="EZF57" s="334"/>
      <c r="EZG57" s="334"/>
      <c r="EZH57" s="334"/>
      <c r="EZI57" s="334"/>
      <c r="EZJ57" s="334"/>
      <c r="EZK57" s="334"/>
      <c r="EZL57" s="334"/>
      <c r="EZM57" s="334"/>
      <c r="EZN57" s="334"/>
      <c r="EZO57" s="334"/>
      <c r="EZP57" s="334"/>
      <c r="EZQ57" s="334"/>
      <c r="EZR57" s="334"/>
      <c r="EZS57" s="334"/>
      <c r="EZT57" s="334"/>
      <c r="EZU57" s="334"/>
      <c r="EZV57" s="334"/>
      <c r="EZW57" s="334"/>
      <c r="EZX57" s="334"/>
      <c r="EZY57" s="334"/>
      <c r="EZZ57" s="334"/>
      <c r="FAA57" s="334"/>
      <c r="FAB57" s="334"/>
      <c r="FAC57" s="334"/>
      <c r="FAD57" s="334"/>
      <c r="FAE57" s="334"/>
      <c r="FAF57" s="334"/>
      <c r="FAG57" s="334"/>
      <c r="FAH57" s="334"/>
      <c r="FAI57" s="334"/>
      <c r="FAJ57" s="334"/>
      <c r="FAK57" s="334"/>
      <c r="FAL57" s="334"/>
      <c r="FAM57" s="334"/>
      <c r="FAN57" s="334"/>
      <c r="FAO57" s="334"/>
      <c r="FAP57" s="334"/>
      <c r="FAQ57" s="334"/>
      <c r="FAR57" s="334"/>
      <c r="FAS57" s="334"/>
      <c r="FAT57" s="334"/>
      <c r="FAU57" s="334"/>
      <c r="FAV57" s="334"/>
      <c r="FAW57" s="334"/>
      <c r="FAX57" s="334"/>
      <c r="FAY57" s="334"/>
      <c r="FAZ57" s="334"/>
      <c r="FBA57" s="334"/>
      <c r="FBB57" s="334"/>
      <c r="FBC57" s="334"/>
      <c r="FBD57" s="334"/>
      <c r="FBE57" s="334"/>
      <c r="FBF57" s="334"/>
      <c r="FBG57" s="334"/>
      <c r="FBH57" s="334"/>
      <c r="FBI57" s="334"/>
      <c r="FBJ57" s="334"/>
      <c r="FBK57" s="334"/>
      <c r="FBL57" s="334"/>
      <c r="FBM57" s="334"/>
      <c r="FBN57" s="334"/>
      <c r="FBO57" s="334"/>
      <c r="FBP57" s="334"/>
      <c r="FBQ57" s="334"/>
      <c r="FBR57" s="334"/>
      <c r="FBS57" s="334"/>
      <c r="FBT57" s="334"/>
      <c r="FBU57" s="334"/>
      <c r="FBV57" s="334"/>
      <c r="FBW57" s="334"/>
      <c r="FBX57" s="334"/>
      <c r="FBY57" s="334"/>
      <c r="FBZ57" s="334"/>
      <c r="FCA57" s="334"/>
      <c r="FCB57" s="334"/>
      <c r="FCC57" s="334"/>
      <c r="FCD57" s="334"/>
      <c r="FCE57" s="334"/>
      <c r="FCF57" s="334"/>
      <c r="FCG57" s="334"/>
      <c r="FCH57" s="334"/>
      <c r="FCI57" s="334"/>
      <c r="FCJ57" s="334"/>
      <c r="FCK57" s="334"/>
      <c r="FCL57" s="334"/>
      <c r="FCM57" s="334"/>
      <c r="FCN57" s="334"/>
      <c r="FCO57" s="334"/>
      <c r="FCP57" s="334"/>
      <c r="FCQ57" s="334"/>
      <c r="FCR57" s="334"/>
      <c r="FCS57" s="334"/>
      <c r="FCT57" s="334"/>
      <c r="FCU57" s="334"/>
      <c r="FCV57" s="334"/>
      <c r="FCW57" s="334"/>
      <c r="FCX57" s="334"/>
      <c r="FCY57" s="334"/>
      <c r="FCZ57" s="334"/>
      <c r="FDA57" s="334"/>
      <c r="FDB57" s="334"/>
      <c r="FDC57" s="334"/>
      <c r="FDD57" s="334"/>
      <c r="FDE57" s="334"/>
      <c r="FDF57" s="334"/>
      <c r="FDG57" s="334"/>
      <c r="FDH57" s="334"/>
      <c r="FDI57" s="334"/>
      <c r="FDJ57" s="334"/>
      <c r="FDK57" s="334"/>
      <c r="FDL57" s="334"/>
      <c r="FDM57" s="334"/>
      <c r="FDN57" s="334"/>
      <c r="FDO57" s="334"/>
      <c r="FDP57" s="334"/>
      <c r="FDQ57" s="334"/>
      <c r="FDR57" s="334"/>
      <c r="FDS57" s="334"/>
      <c r="FDT57" s="334"/>
      <c r="FDU57" s="334"/>
      <c r="FDV57" s="334"/>
      <c r="FDW57" s="334"/>
      <c r="FDX57" s="334"/>
      <c r="FDY57" s="334"/>
      <c r="FDZ57" s="334"/>
      <c r="FEA57" s="334"/>
      <c r="FEB57" s="334"/>
      <c r="FEC57" s="334"/>
      <c r="FED57" s="334"/>
      <c r="FEE57" s="334"/>
      <c r="FEF57" s="334"/>
      <c r="FEG57" s="334"/>
      <c r="FEH57" s="334"/>
      <c r="FEI57" s="334"/>
      <c r="FEJ57" s="334"/>
      <c r="FEK57" s="334"/>
      <c r="FEL57" s="334"/>
      <c r="FEM57" s="334"/>
      <c r="FEN57" s="334"/>
      <c r="FEO57" s="334"/>
      <c r="FEP57" s="334"/>
      <c r="FEQ57" s="334"/>
      <c r="FER57" s="334"/>
      <c r="FES57" s="334"/>
      <c r="FET57" s="334"/>
      <c r="FEU57" s="334"/>
      <c r="FEV57" s="334"/>
      <c r="FEW57" s="334"/>
      <c r="FEX57" s="334"/>
      <c r="FEY57" s="334"/>
      <c r="FEZ57" s="334"/>
      <c r="FFA57" s="334"/>
      <c r="FFB57" s="334"/>
      <c r="FFC57" s="334"/>
      <c r="FFD57" s="334"/>
      <c r="FFE57" s="334"/>
      <c r="FFF57" s="334"/>
      <c r="FFG57" s="334"/>
      <c r="FFH57" s="334"/>
      <c r="FFI57" s="334"/>
      <c r="FFJ57" s="334"/>
      <c r="FFK57" s="334"/>
      <c r="FFL57" s="334"/>
      <c r="FFM57" s="334"/>
      <c r="FFN57" s="334"/>
      <c r="FFO57" s="334"/>
      <c r="FFP57" s="334"/>
      <c r="FFQ57" s="334"/>
      <c r="FFR57" s="334"/>
      <c r="FFS57" s="334"/>
      <c r="FFT57" s="334"/>
      <c r="FFU57" s="334"/>
      <c r="FFV57" s="334"/>
      <c r="FFW57" s="334"/>
      <c r="FFX57" s="334"/>
      <c r="FFY57" s="334"/>
      <c r="FFZ57" s="334"/>
      <c r="FGA57" s="334"/>
      <c r="FGB57" s="334"/>
      <c r="FGC57" s="334"/>
      <c r="FGD57" s="334"/>
      <c r="FGE57" s="334"/>
      <c r="FGF57" s="334"/>
      <c r="FGG57" s="334"/>
      <c r="FGH57" s="334"/>
      <c r="FGI57" s="334"/>
      <c r="FGJ57" s="334"/>
      <c r="FGK57" s="334"/>
      <c r="FGL57" s="334"/>
      <c r="FGM57" s="334"/>
      <c r="FGN57" s="334"/>
      <c r="FGO57" s="334"/>
      <c r="FGP57" s="334"/>
      <c r="FGQ57" s="334"/>
      <c r="FGR57" s="334"/>
      <c r="FGS57" s="334"/>
      <c r="FGT57" s="334"/>
      <c r="FGU57" s="334"/>
      <c r="FGV57" s="334"/>
      <c r="FGW57" s="334"/>
      <c r="FGX57" s="334"/>
      <c r="FGY57" s="334"/>
      <c r="FGZ57" s="334"/>
      <c r="FHA57" s="334"/>
      <c r="FHB57" s="334"/>
      <c r="FHC57" s="334"/>
      <c r="FHD57" s="334"/>
      <c r="FHE57" s="334"/>
      <c r="FHF57" s="334"/>
      <c r="FHG57" s="334"/>
      <c r="FHH57" s="334"/>
      <c r="FHI57" s="334"/>
      <c r="FHJ57" s="334"/>
      <c r="FHK57" s="334"/>
      <c r="FHL57" s="334"/>
      <c r="FHM57" s="334"/>
      <c r="FHN57" s="334"/>
      <c r="FHO57" s="334"/>
      <c r="FHP57" s="334"/>
      <c r="FHQ57" s="334"/>
      <c r="FHR57" s="334"/>
      <c r="FHS57" s="334"/>
      <c r="FHT57" s="334"/>
      <c r="FHU57" s="334"/>
      <c r="FHV57" s="334"/>
      <c r="FHW57" s="334"/>
      <c r="FHX57" s="334"/>
      <c r="FHY57" s="334"/>
      <c r="FHZ57" s="334"/>
      <c r="FIA57" s="334"/>
      <c r="FIB57" s="334"/>
      <c r="FIC57" s="334"/>
      <c r="FID57" s="334"/>
      <c r="FIE57" s="334"/>
      <c r="FIF57" s="334"/>
      <c r="FIG57" s="334"/>
      <c r="FIH57" s="334"/>
      <c r="FII57" s="334"/>
      <c r="FIJ57" s="334"/>
      <c r="FIK57" s="334"/>
      <c r="FIL57" s="334"/>
      <c r="FIM57" s="334"/>
      <c r="FIN57" s="334"/>
      <c r="FIO57" s="334"/>
      <c r="FIP57" s="334"/>
      <c r="FIQ57" s="334"/>
      <c r="FIR57" s="334"/>
      <c r="FIS57" s="334"/>
      <c r="FIT57" s="334"/>
      <c r="FIU57" s="334"/>
      <c r="FIV57" s="334"/>
      <c r="FIW57" s="334"/>
      <c r="FIX57" s="334"/>
      <c r="FIY57" s="334"/>
      <c r="FIZ57" s="334"/>
      <c r="FJA57" s="334"/>
      <c r="FJB57" s="334"/>
      <c r="FJC57" s="334"/>
      <c r="FJD57" s="334"/>
      <c r="FJE57" s="334"/>
      <c r="FJF57" s="334"/>
      <c r="FJG57" s="334"/>
      <c r="FJH57" s="334"/>
      <c r="FJI57" s="334"/>
      <c r="FJJ57" s="334"/>
      <c r="FJK57" s="334"/>
      <c r="FJL57" s="334"/>
      <c r="FJM57" s="334"/>
      <c r="FJN57" s="334"/>
      <c r="FJO57" s="334"/>
      <c r="FJP57" s="334"/>
      <c r="FJQ57" s="334"/>
      <c r="FJR57" s="334"/>
      <c r="FJS57" s="334"/>
      <c r="FJT57" s="334"/>
      <c r="FJU57" s="334"/>
      <c r="FJV57" s="334"/>
      <c r="FJW57" s="334"/>
      <c r="FJX57" s="334"/>
      <c r="FJY57" s="334"/>
      <c r="FJZ57" s="334"/>
      <c r="FKA57" s="334"/>
      <c r="FKB57" s="334"/>
      <c r="FKC57" s="334"/>
      <c r="FKD57" s="334"/>
      <c r="FKE57" s="334"/>
      <c r="FKF57" s="334"/>
      <c r="FKG57" s="334"/>
      <c r="FKH57" s="334"/>
      <c r="FKI57" s="334"/>
      <c r="FKJ57" s="334"/>
      <c r="FKK57" s="334"/>
      <c r="FKL57" s="334"/>
      <c r="FKM57" s="334"/>
      <c r="FKN57" s="334"/>
      <c r="FKO57" s="334"/>
      <c r="FKP57" s="334"/>
      <c r="FKQ57" s="334"/>
      <c r="FKR57" s="334"/>
      <c r="FKS57" s="334"/>
      <c r="FKT57" s="334"/>
      <c r="FKU57" s="334"/>
      <c r="FKV57" s="334"/>
      <c r="FKW57" s="334"/>
      <c r="FKX57" s="334"/>
      <c r="FKY57" s="334"/>
      <c r="FKZ57" s="334"/>
      <c r="FLA57" s="334"/>
      <c r="FLB57" s="334"/>
      <c r="FLC57" s="334"/>
      <c r="FLD57" s="334"/>
      <c r="FLE57" s="334"/>
      <c r="FLF57" s="334"/>
      <c r="FLG57" s="334"/>
      <c r="FLH57" s="334"/>
      <c r="FLI57" s="334"/>
      <c r="FLJ57" s="334"/>
      <c r="FLK57" s="334"/>
      <c r="FLL57" s="334"/>
      <c r="FLM57" s="334"/>
      <c r="FLN57" s="334"/>
      <c r="FLO57" s="334"/>
      <c r="FLP57" s="334"/>
      <c r="FLQ57" s="334"/>
      <c r="FLR57" s="334"/>
      <c r="FLS57" s="334"/>
      <c r="FLT57" s="334"/>
      <c r="FLU57" s="334"/>
      <c r="FLV57" s="334"/>
      <c r="FLW57" s="334"/>
      <c r="FLX57" s="334"/>
      <c r="FLY57" s="334"/>
      <c r="FLZ57" s="334"/>
      <c r="FMA57" s="334"/>
      <c r="FMB57" s="334"/>
      <c r="FMC57" s="334"/>
      <c r="FMD57" s="334"/>
      <c r="FME57" s="334"/>
      <c r="FMF57" s="334"/>
      <c r="FMG57" s="334"/>
      <c r="FMH57" s="334"/>
      <c r="FMI57" s="334"/>
      <c r="FMJ57" s="334"/>
      <c r="FMK57" s="334"/>
      <c r="FML57" s="334"/>
      <c r="FMM57" s="334"/>
      <c r="FMN57" s="334"/>
      <c r="FMO57" s="334"/>
      <c r="FMP57" s="334"/>
      <c r="FMQ57" s="334"/>
      <c r="FMR57" s="334"/>
      <c r="FMS57" s="334"/>
      <c r="FMT57" s="334"/>
      <c r="FMU57" s="334"/>
      <c r="FMV57" s="334"/>
      <c r="FMW57" s="334"/>
      <c r="FMX57" s="334"/>
      <c r="FMY57" s="334"/>
      <c r="FMZ57" s="334"/>
      <c r="FNA57" s="334"/>
      <c r="FNB57" s="334"/>
      <c r="FNC57" s="334"/>
      <c r="FND57" s="334"/>
      <c r="FNE57" s="334"/>
      <c r="FNF57" s="334"/>
      <c r="FNG57" s="334"/>
      <c r="FNH57" s="334"/>
      <c r="FNI57" s="334"/>
      <c r="FNJ57" s="334"/>
      <c r="FNK57" s="334"/>
      <c r="FNL57" s="334"/>
      <c r="FNM57" s="334"/>
      <c r="FNN57" s="334"/>
      <c r="FNO57" s="334"/>
      <c r="FNP57" s="334"/>
      <c r="FNQ57" s="334"/>
      <c r="FNR57" s="334"/>
      <c r="FNS57" s="334"/>
      <c r="FNT57" s="334"/>
      <c r="FNU57" s="334"/>
      <c r="FNV57" s="334"/>
      <c r="FNW57" s="334"/>
      <c r="FNX57" s="334"/>
      <c r="FNY57" s="334"/>
      <c r="FNZ57" s="334"/>
      <c r="FOA57" s="334"/>
      <c r="FOB57" s="334"/>
      <c r="FOC57" s="334"/>
      <c r="FOD57" s="334"/>
      <c r="FOE57" s="334"/>
      <c r="FOF57" s="334"/>
      <c r="FOG57" s="334"/>
      <c r="FOH57" s="334"/>
      <c r="FOI57" s="334"/>
      <c r="FOJ57" s="334"/>
      <c r="FOK57" s="334"/>
      <c r="FOL57" s="334"/>
      <c r="FOM57" s="334"/>
      <c r="FON57" s="334"/>
      <c r="FOO57" s="334"/>
      <c r="FOP57" s="334"/>
      <c r="FOQ57" s="334"/>
      <c r="FOR57" s="334"/>
      <c r="FOS57" s="334"/>
      <c r="FOT57" s="334"/>
      <c r="FOU57" s="334"/>
      <c r="FOV57" s="334"/>
      <c r="FOW57" s="334"/>
      <c r="FOX57" s="334"/>
      <c r="FOY57" s="334"/>
      <c r="FOZ57" s="334"/>
      <c r="FPA57" s="334"/>
      <c r="FPB57" s="334"/>
      <c r="FPC57" s="334"/>
      <c r="FPD57" s="334"/>
      <c r="FPE57" s="334"/>
      <c r="FPF57" s="334"/>
      <c r="FPG57" s="334"/>
      <c r="FPH57" s="334"/>
      <c r="FPI57" s="334"/>
      <c r="FPJ57" s="334"/>
      <c r="FPK57" s="334"/>
      <c r="FPL57" s="334"/>
      <c r="FPM57" s="334"/>
      <c r="FPN57" s="334"/>
      <c r="FPO57" s="334"/>
      <c r="FPP57" s="334"/>
      <c r="FPQ57" s="334"/>
      <c r="FPR57" s="334"/>
      <c r="FPS57" s="334"/>
      <c r="FPT57" s="334"/>
      <c r="FPU57" s="334"/>
      <c r="FPV57" s="334"/>
      <c r="FPW57" s="334"/>
      <c r="FPX57" s="334"/>
      <c r="FPY57" s="334"/>
      <c r="FPZ57" s="334"/>
      <c r="FQA57" s="334"/>
      <c r="FQB57" s="334"/>
      <c r="FQC57" s="334"/>
      <c r="FQD57" s="334"/>
      <c r="FQE57" s="334"/>
      <c r="FQF57" s="334"/>
      <c r="FQG57" s="334"/>
      <c r="FQH57" s="334"/>
      <c r="FQI57" s="334"/>
      <c r="FQJ57" s="334"/>
      <c r="FQK57" s="334"/>
      <c r="FQL57" s="334"/>
      <c r="FQM57" s="334"/>
      <c r="FQN57" s="334"/>
      <c r="FQO57" s="334"/>
      <c r="FQP57" s="334"/>
      <c r="FQQ57" s="334"/>
      <c r="FQR57" s="334"/>
      <c r="FQS57" s="334"/>
      <c r="FQT57" s="334"/>
      <c r="FQU57" s="334"/>
      <c r="FQV57" s="334"/>
      <c r="FQW57" s="334"/>
      <c r="FQX57" s="334"/>
      <c r="FQY57" s="334"/>
      <c r="FQZ57" s="334"/>
      <c r="FRA57" s="334"/>
      <c r="FRB57" s="334"/>
      <c r="FRC57" s="334"/>
      <c r="FRD57" s="334"/>
      <c r="FRE57" s="334"/>
      <c r="FRF57" s="334"/>
      <c r="FRG57" s="334"/>
      <c r="FRH57" s="334"/>
      <c r="FRI57" s="334"/>
      <c r="FRJ57" s="334"/>
      <c r="FRK57" s="334"/>
      <c r="FRL57" s="334"/>
      <c r="FRM57" s="334"/>
      <c r="FRN57" s="334"/>
      <c r="FRO57" s="334"/>
      <c r="FRP57" s="334"/>
      <c r="FRQ57" s="334"/>
      <c r="FRR57" s="334"/>
      <c r="FRS57" s="334"/>
      <c r="FRT57" s="334"/>
      <c r="FRU57" s="334"/>
      <c r="FRV57" s="334"/>
      <c r="FRW57" s="334"/>
      <c r="FRX57" s="334"/>
      <c r="FRY57" s="334"/>
      <c r="FRZ57" s="334"/>
      <c r="FSA57" s="334"/>
      <c r="FSB57" s="334"/>
      <c r="FSC57" s="334"/>
      <c r="FSD57" s="334"/>
      <c r="FSE57" s="334"/>
      <c r="FSF57" s="334"/>
      <c r="FSG57" s="334"/>
      <c r="FSH57" s="334"/>
      <c r="FSI57" s="334"/>
      <c r="FSJ57" s="334"/>
      <c r="FSK57" s="334"/>
      <c r="FSL57" s="334"/>
      <c r="FSM57" s="334"/>
      <c r="FSN57" s="334"/>
      <c r="FSO57" s="334"/>
      <c r="FSP57" s="334"/>
      <c r="FSQ57" s="334"/>
      <c r="FSR57" s="334"/>
      <c r="FSS57" s="334"/>
      <c r="FST57" s="334"/>
      <c r="FSU57" s="334"/>
      <c r="FSV57" s="334"/>
      <c r="FSW57" s="334"/>
      <c r="FSX57" s="334"/>
      <c r="FSY57" s="334"/>
      <c r="FSZ57" s="334"/>
      <c r="FTA57" s="334"/>
      <c r="FTB57" s="334"/>
      <c r="FTC57" s="334"/>
      <c r="FTD57" s="334"/>
      <c r="FTE57" s="334"/>
      <c r="FTF57" s="334"/>
      <c r="FTG57" s="334"/>
      <c r="FTH57" s="334"/>
      <c r="FTI57" s="334"/>
      <c r="FTJ57" s="334"/>
      <c r="FTK57" s="334"/>
      <c r="FTL57" s="334"/>
      <c r="FTM57" s="334"/>
      <c r="FTN57" s="334"/>
      <c r="FTO57" s="334"/>
      <c r="FTP57" s="334"/>
      <c r="FTQ57" s="334"/>
      <c r="FTR57" s="334"/>
      <c r="FTS57" s="334"/>
      <c r="FTT57" s="334"/>
      <c r="FTU57" s="334"/>
      <c r="FTV57" s="334"/>
      <c r="FTW57" s="334"/>
      <c r="FTX57" s="334"/>
      <c r="FTY57" s="334"/>
      <c r="FTZ57" s="334"/>
      <c r="FUA57" s="334"/>
      <c r="FUB57" s="334"/>
      <c r="FUC57" s="334"/>
      <c r="FUD57" s="334"/>
      <c r="FUE57" s="334"/>
      <c r="FUF57" s="334"/>
      <c r="FUG57" s="334"/>
      <c r="FUH57" s="334"/>
      <c r="FUI57" s="334"/>
      <c r="FUJ57" s="334"/>
      <c r="FUK57" s="334"/>
      <c r="FUL57" s="334"/>
      <c r="FUM57" s="334"/>
      <c r="FUN57" s="334"/>
      <c r="FUO57" s="334"/>
      <c r="FUP57" s="334"/>
      <c r="FUQ57" s="334"/>
      <c r="FUR57" s="334"/>
      <c r="FUS57" s="334"/>
      <c r="FUT57" s="334"/>
      <c r="FUU57" s="334"/>
      <c r="FUV57" s="334"/>
      <c r="FUW57" s="334"/>
      <c r="FUX57" s="334"/>
      <c r="FUY57" s="334"/>
      <c r="FUZ57" s="334"/>
      <c r="FVA57" s="334"/>
      <c r="FVB57" s="334"/>
      <c r="FVC57" s="334"/>
      <c r="FVD57" s="334"/>
      <c r="FVE57" s="334"/>
      <c r="FVF57" s="334"/>
      <c r="FVG57" s="334"/>
      <c r="FVH57" s="334"/>
      <c r="FVI57" s="334"/>
      <c r="FVJ57" s="334"/>
      <c r="FVK57" s="334"/>
      <c r="FVL57" s="334"/>
      <c r="FVM57" s="334"/>
      <c r="FVN57" s="334"/>
      <c r="FVO57" s="334"/>
      <c r="FVP57" s="334"/>
      <c r="FVQ57" s="334"/>
      <c r="FVR57" s="334"/>
      <c r="FVS57" s="334"/>
      <c r="FVT57" s="334"/>
      <c r="FVU57" s="334"/>
      <c r="FVV57" s="334"/>
      <c r="FVW57" s="334"/>
      <c r="FVX57" s="334"/>
      <c r="FVY57" s="334"/>
      <c r="FVZ57" s="334"/>
      <c r="FWA57" s="334"/>
      <c r="FWB57" s="334"/>
      <c r="FWC57" s="334"/>
      <c r="FWD57" s="334"/>
      <c r="FWE57" s="334"/>
      <c r="FWF57" s="334"/>
      <c r="FWG57" s="334"/>
      <c r="FWH57" s="334"/>
      <c r="FWI57" s="334"/>
      <c r="FWJ57" s="334"/>
      <c r="FWK57" s="334"/>
      <c r="FWL57" s="334"/>
      <c r="FWM57" s="334"/>
      <c r="FWN57" s="334"/>
      <c r="FWO57" s="334"/>
      <c r="FWP57" s="334"/>
      <c r="FWQ57" s="334"/>
      <c r="FWR57" s="334"/>
      <c r="FWS57" s="334"/>
      <c r="FWT57" s="334"/>
      <c r="FWU57" s="334"/>
      <c r="FWV57" s="334"/>
      <c r="FWW57" s="334"/>
      <c r="FWX57" s="334"/>
      <c r="FWY57" s="334"/>
      <c r="FWZ57" s="334"/>
      <c r="FXA57" s="334"/>
      <c r="FXB57" s="334"/>
      <c r="FXC57" s="334"/>
      <c r="FXD57" s="334"/>
      <c r="FXE57" s="334"/>
      <c r="FXF57" s="334"/>
      <c r="FXG57" s="334"/>
      <c r="FXH57" s="334"/>
      <c r="FXI57" s="334"/>
      <c r="FXJ57" s="334"/>
      <c r="FXK57" s="334"/>
      <c r="FXL57" s="334"/>
      <c r="FXM57" s="334"/>
      <c r="FXN57" s="334"/>
      <c r="FXO57" s="334"/>
      <c r="FXP57" s="334"/>
      <c r="FXQ57" s="334"/>
      <c r="FXR57" s="334"/>
      <c r="FXS57" s="334"/>
      <c r="FXT57" s="334"/>
      <c r="FXU57" s="334"/>
      <c r="FXV57" s="334"/>
      <c r="FXW57" s="334"/>
      <c r="FXX57" s="334"/>
      <c r="FXY57" s="334"/>
      <c r="FXZ57" s="334"/>
      <c r="FYA57" s="334"/>
      <c r="FYB57" s="334"/>
      <c r="FYC57" s="334"/>
      <c r="FYD57" s="334"/>
      <c r="FYE57" s="334"/>
      <c r="FYF57" s="334"/>
      <c r="FYG57" s="334"/>
      <c r="FYH57" s="334"/>
      <c r="FYI57" s="334"/>
      <c r="FYJ57" s="334"/>
      <c r="FYK57" s="334"/>
      <c r="FYL57" s="334"/>
      <c r="FYM57" s="334"/>
      <c r="FYN57" s="334"/>
      <c r="FYO57" s="334"/>
      <c r="FYP57" s="334"/>
      <c r="FYQ57" s="334"/>
      <c r="FYR57" s="334"/>
      <c r="FYS57" s="334"/>
      <c r="FYT57" s="334"/>
      <c r="FYU57" s="334"/>
      <c r="FYV57" s="334"/>
      <c r="FYW57" s="334"/>
      <c r="FYX57" s="334"/>
      <c r="FYY57" s="334"/>
      <c r="FYZ57" s="334"/>
      <c r="FZA57" s="334"/>
      <c r="FZB57" s="334"/>
      <c r="FZC57" s="334"/>
      <c r="FZD57" s="334"/>
      <c r="FZE57" s="334"/>
      <c r="FZF57" s="334"/>
      <c r="FZG57" s="334"/>
      <c r="FZH57" s="334"/>
      <c r="FZI57" s="334"/>
      <c r="FZJ57" s="334"/>
      <c r="FZK57" s="334"/>
      <c r="FZL57" s="334"/>
      <c r="FZM57" s="334"/>
      <c r="FZN57" s="334"/>
      <c r="FZO57" s="334"/>
      <c r="FZP57" s="334"/>
      <c r="FZQ57" s="334"/>
      <c r="FZR57" s="334"/>
      <c r="FZS57" s="334"/>
      <c r="FZT57" s="334"/>
      <c r="FZU57" s="334"/>
      <c r="FZV57" s="334"/>
      <c r="FZW57" s="334"/>
      <c r="FZX57" s="334"/>
      <c r="FZY57" s="334"/>
      <c r="FZZ57" s="334"/>
      <c r="GAA57" s="334"/>
      <c r="GAB57" s="334"/>
      <c r="GAC57" s="334"/>
      <c r="GAD57" s="334"/>
      <c r="GAE57" s="334"/>
      <c r="GAF57" s="334"/>
      <c r="GAG57" s="334"/>
      <c r="GAH57" s="334"/>
      <c r="GAI57" s="334"/>
      <c r="GAJ57" s="334"/>
      <c r="GAK57" s="334"/>
      <c r="GAL57" s="334"/>
      <c r="GAM57" s="334"/>
      <c r="GAN57" s="334"/>
      <c r="GAO57" s="334"/>
      <c r="GAP57" s="334"/>
      <c r="GAQ57" s="334"/>
      <c r="GAR57" s="334"/>
      <c r="GAS57" s="334"/>
      <c r="GAT57" s="334"/>
      <c r="GAU57" s="334"/>
      <c r="GAV57" s="334"/>
      <c r="GAW57" s="334"/>
      <c r="GAX57" s="334"/>
      <c r="GAY57" s="334"/>
      <c r="GAZ57" s="334"/>
      <c r="GBA57" s="334"/>
      <c r="GBB57" s="334"/>
      <c r="GBC57" s="334"/>
      <c r="GBD57" s="334"/>
      <c r="GBE57" s="334"/>
      <c r="GBF57" s="334"/>
      <c r="GBG57" s="334"/>
      <c r="GBH57" s="334"/>
      <c r="GBI57" s="334"/>
      <c r="GBJ57" s="334"/>
      <c r="GBK57" s="334"/>
      <c r="GBL57" s="334"/>
      <c r="GBM57" s="334"/>
      <c r="GBN57" s="334"/>
      <c r="GBO57" s="334"/>
      <c r="GBP57" s="334"/>
      <c r="GBQ57" s="334"/>
      <c r="GBR57" s="334"/>
      <c r="GBS57" s="334"/>
      <c r="GBT57" s="334"/>
      <c r="GBU57" s="334"/>
      <c r="GBV57" s="334"/>
      <c r="GBW57" s="334"/>
      <c r="GBX57" s="334"/>
      <c r="GBY57" s="334"/>
      <c r="GBZ57" s="334"/>
      <c r="GCA57" s="334"/>
      <c r="GCB57" s="334"/>
      <c r="GCC57" s="334"/>
      <c r="GCD57" s="334"/>
      <c r="GCE57" s="334"/>
      <c r="GCF57" s="334"/>
      <c r="GCG57" s="334"/>
      <c r="GCH57" s="334"/>
      <c r="GCI57" s="334"/>
      <c r="GCJ57" s="334"/>
      <c r="GCK57" s="334"/>
      <c r="GCL57" s="334"/>
      <c r="GCM57" s="334"/>
      <c r="GCN57" s="334"/>
      <c r="GCO57" s="334"/>
      <c r="GCP57" s="334"/>
      <c r="GCQ57" s="334"/>
      <c r="GCR57" s="334"/>
      <c r="GCS57" s="334"/>
      <c r="GCT57" s="334"/>
      <c r="GCU57" s="334"/>
      <c r="GCV57" s="334"/>
      <c r="GCW57" s="334"/>
      <c r="GCX57" s="334"/>
      <c r="GCY57" s="334"/>
      <c r="GCZ57" s="334"/>
      <c r="GDA57" s="334"/>
      <c r="GDB57" s="334"/>
      <c r="GDC57" s="334"/>
      <c r="GDD57" s="334"/>
      <c r="GDE57" s="334"/>
      <c r="GDF57" s="334"/>
      <c r="GDG57" s="334"/>
      <c r="GDH57" s="334"/>
      <c r="GDI57" s="334"/>
      <c r="GDJ57" s="334"/>
      <c r="GDK57" s="334"/>
      <c r="GDL57" s="334"/>
      <c r="GDM57" s="334"/>
      <c r="GDN57" s="334"/>
      <c r="GDO57" s="334"/>
      <c r="GDP57" s="334"/>
      <c r="GDQ57" s="334"/>
      <c r="GDR57" s="334"/>
      <c r="GDS57" s="334"/>
      <c r="GDT57" s="334"/>
      <c r="GDU57" s="334"/>
      <c r="GDV57" s="334"/>
      <c r="GDW57" s="334"/>
      <c r="GDX57" s="334"/>
      <c r="GDY57" s="334"/>
      <c r="GDZ57" s="334"/>
      <c r="GEA57" s="334"/>
      <c r="GEB57" s="334"/>
      <c r="GEC57" s="334"/>
      <c r="GED57" s="334"/>
      <c r="GEE57" s="334"/>
      <c r="GEF57" s="334"/>
      <c r="GEG57" s="334"/>
      <c r="GEH57" s="334"/>
      <c r="GEI57" s="334"/>
      <c r="GEJ57" s="334"/>
      <c r="GEK57" s="334"/>
      <c r="GEL57" s="334"/>
      <c r="GEM57" s="334"/>
      <c r="GEN57" s="334"/>
      <c r="GEO57" s="334"/>
      <c r="GEP57" s="334"/>
      <c r="GEQ57" s="334"/>
      <c r="GER57" s="334"/>
      <c r="GES57" s="334"/>
      <c r="GET57" s="334"/>
      <c r="GEU57" s="334"/>
      <c r="GEV57" s="334"/>
      <c r="GEW57" s="334"/>
      <c r="GEX57" s="334"/>
      <c r="GEY57" s="334"/>
      <c r="GEZ57" s="334"/>
      <c r="GFA57" s="334"/>
      <c r="GFB57" s="334"/>
      <c r="GFC57" s="334"/>
      <c r="GFD57" s="334"/>
      <c r="GFE57" s="334"/>
      <c r="GFF57" s="334"/>
      <c r="GFG57" s="334"/>
      <c r="GFH57" s="334"/>
      <c r="GFI57" s="334"/>
      <c r="GFJ57" s="334"/>
      <c r="GFK57" s="334"/>
      <c r="GFL57" s="334"/>
      <c r="GFM57" s="334"/>
      <c r="GFN57" s="334"/>
      <c r="GFO57" s="334"/>
      <c r="GFP57" s="334"/>
      <c r="GFQ57" s="334"/>
      <c r="GFR57" s="334"/>
      <c r="GFS57" s="334"/>
      <c r="GFT57" s="334"/>
      <c r="GFU57" s="334"/>
      <c r="GFV57" s="334"/>
      <c r="GFW57" s="334"/>
      <c r="GFX57" s="334"/>
      <c r="GFY57" s="334"/>
      <c r="GFZ57" s="334"/>
      <c r="GGA57" s="334"/>
      <c r="GGB57" s="334"/>
      <c r="GGC57" s="334"/>
      <c r="GGD57" s="334"/>
      <c r="GGE57" s="334"/>
      <c r="GGF57" s="334"/>
      <c r="GGG57" s="334"/>
      <c r="GGH57" s="334"/>
      <c r="GGI57" s="334"/>
      <c r="GGJ57" s="334"/>
      <c r="GGK57" s="334"/>
      <c r="GGL57" s="334"/>
      <c r="GGM57" s="334"/>
      <c r="GGN57" s="334"/>
      <c r="GGO57" s="334"/>
      <c r="GGP57" s="334"/>
      <c r="GGQ57" s="334"/>
      <c r="GGR57" s="334"/>
      <c r="GGS57" s="334"/>
      <c r="GGT57" s="334"/>
      <c r="GGU57" s="334"/>
      <c r="GGV57" s="334"/>
      <c r="GGW57" s="334"/>
      <c r="GGX57" s="334"/>
      <c r="GGY57" s="334"/>
      <c r="GGZ57" s="334"/>
      <c r="GHA57" s="334"/>
      <c r="GHB57" s="334"/>
      <c r="GHC57" s="334"/>
      <c r="GHD57" s="334"/>
      <c r="GHE57" s="334"/>
      <c r="GHF57" s="334"/>
      <c r="GHG57" s="334"/>
      <c r="GHH57" s="334"/>
      <c r="GHI57" s="334"/>
      <c r="GHJ57" s="334"/>
      <c r="GHK57" s="334"/>
      <c r="GHL57" s="334"/>
      <c r="GHM57" s="334"/>
      <c r="GHN57" s="334"/>
      <c r="GHO57" s="334"/>
      <c r="GHP57" s="334"/>
      <c r="GHQ57" s="334"/>
      <c r="GHR57" s="334"/>
      <c r="GHS57" s="334"/>
      <c r="GHT57" s="334"/>
      <c r="GHU57" s="334"/>
      <c r="GHV57" s="334"/>
      <c r="GHW57" s="334"/>
      <c r="GHX57" s="334"/>
      <c r="GHY57" s="334"/>
      <c r="GHZ57" s="334"/>
      <c r="GIA57" s="334"/>
      <c r="GIB57" s="334"/>
      <c r="GIC57" s="334"/>
      <c r="GID57" s="334"/>
      <c r="GIE57" s="334"/>
      <c r="GIF57" s="334"/>
      <c r="GIG57" s="334"/>
      <c r="GIH57" s="334"/>
      <c r="GII57" s="334"/>
      <c r="GIJ57" s="334"/>
      <c r="GIK57" s="334"/>
      <c r="GIL57" s="334"/>
      <c r="GIM57" s="334"/>
      <c r="GIN57" s="334"/>
      <c r="GIO57" s="334"/>
      <c r="GIP57" s="334"/>
      <c r="GIQ57" s="334"/>
      <c r="GIR57" s="334"/>
      <c r="GIS57" s="334"/>
      <c r="GIT57" s="334"/>
      <c r="GIU57" s="334"/>
      <c r="GIV57" s="334"/>
      <c r="GIW57" s="334"/>
      <c r="GIX57" s="334"/>
      <c r="GIY57" s="334"/>
      <c r="GIZ57" s="334"/>
      <c r="GJA57" s="334"/>
      <c r="GJB57" s="334"/>
      <c r="GJC57" s="334"/>
      <c r="GJD57" s="334"/>
      <c r="GJE57" s="334"/>
      <c r="GJF57" s="334"/>
      <c r="GJG57" s="334"/>
      <c r="GJH57" s="334"/>
      <c r="GJI57" s="334"/>
      <c r="GJJ57" s="334"/>
      <c r="GJK57" s="334"/>
      <c r="GJL57" s="334"/>
      <c r="GJM57" s="334"/>
      <c r="GJN57" s="334"/>
      <c r="GJO57" s="334"/>
      <c r="GJP57" s="334"/>
      <c r="GJQ57" s="334"/>
      <c r="GJR57" s="334"/>
      <c r="GJS57" s="334"/>
      <c r="GJT57" s="334"/>
      <c r="GJU57" s="334"/>
      <c r="GJV57" s="334"/>
      <c r="GJW57" s="334"/>
      <c r="GJX57" s="334"/>
      <c r="GJY57" s="334"/>
      <c r="GJZ57" s="334"/>
      <c r="GKA57" s="334"/>
      <c r="GKB57" s="334"/>
      <c r="GKC57" s="334"/>
      <c r="GKD57" s="334"/>
      <c r="GKE57" s="334"/>
      <c r="GKF57" s="334"/>
      <c r="GKG57" s="334"/>
      <c r="GKH57" s="334"/>
      <c r="GKI57" s="334"/>
      <c r="GKJ57" s="334"/>
      <c r="GKK57" s="334"/>
      <c r="GKL57" s="334"/>
      <c r="GKM57" s="334"/>
      <c r="GKN57" s="334"/>
      <c r="GKO57" s="334"/>
      <c r="GKP57" s="334"/>
      <c r="GKQ57" s="334"/>
      <c r="GKR57" s="334"/>
      <c r="GKS57" s="334"/>
      <c r="GKT57" s="334"/>
      <c r="GKU57" s="334"/>
      <c r="GKV57" s="334"/>
      <c r="GKW57" s="334"/>
      <c r="GKX57" s="334"/>
      <c r="GKY57" s="334"/>
      <c r="GKZ57" s="334"/>
      <c r="GLA57" s="334"/>
      <c r="GLB57" s="334"/>
      <c r="GLC57" s="334"/>
      <c r="GLD57" s="334"/>
      <c r="GLE57" s="334"/>
      <c r="GLF57" s="334"/>
      <c r="GLG57" s="334"/>
      <c r="GLH57" s="334"/>
      <c r="GLI57" s="334"/>
      <c r="GLJ57" s="334"/>
      <c r="GLK57" s="334"/>
      <c r="GLL57" s="334"/>
      <c r="GLM57" s="334"/>
      <c r="GLN57" s="334"/>
      <c r="GLO57" s="334"/>
      <c r="GLP57" s="334"/>
      <c r="GLQ57" s="334"/>
      <c r="GLR57" s="334"/>
      <c r="GLS57" s="334"/>
      <c r="GLT57" s="334"/>
      <c r="GLU57" s="334"/>
      <c r="GLV57" s="334"/>
      <c r="GLW57" s="334"/>
      <c r="GLX57" s="334"/>
      <c r="GLY57" s="334"/>
      <c r="GLZ57" s="334"/>
      <c r="GMA57" s="334"/>
      <c r="GMB57" s="334"/>
      <c r="GMC57" s="334"/>
      <c r="GMD57" s="334"/>
      <c r="GME57" s="334"/>
      <c r="GMF57" s="334"/>
      <c r="GMG57" s="334"/>
      <c r="GMH57" s="334"/>
      <c r="GMI57" s="334"/>
      <c r="GMJ57" s="334"/>
      <c r="GMK57" s="334"/>
      <c r="GML57" s="334"/>
      <c r="GMM57" s="334"/>
      <c r="GMN57" s="334"/>
      <c r="GMO57" s="334"/>
      <c r="GMP57" s="334"/>
      <c r="GMQ57" s="334"/>
      <c r="GMR57" s="334"/>
      <c r="GMS57" s="334"/>
      <c r="GMT57" s="334"/>
      <c r="GMU57" s="334"/>
      <c r="GMV57" s="334"/>
      <c r="GMW57" s="334"/>
      <c r="GMX57" s="334"/>
      <c r="GMY57" s="334"/>
      <c r="GMZ57" s="334"/>
      <c r="GNA57" s="334"/>
      <c r="GNB57" s="334"/>
      <c r="GNC57" s="334"/>
      <c r="GND57" s="334"/>
      <c r="GNE57" s="334"/>
      <c r="GNF57" s="334"/>
      <c r="GNG57" s="334"/>
      <c r="GNH57" s="334"/>
      <c r="GNI57" s="334"/>
      <c r="GNJ57" s="334"/>
      <c r="GNK57" s="334"/>
      <c r="GNL57" s="334"/>
      <c r="GNM57" s="334"/>
      <c r="GNN57" s="334"/>
      <c r="GNO57" s="334"/>
      <c r="GNP57" s="334"/>
      <c r="GNQ57" s="334"/>
      <c r="GNR57" s="334"/>
      <c r="GNS57" s="334"/>
      <c r="GNT57" s="334"/>
      <c r="GNU57" s="334"/>
      <c r="GNV57" s="334"/>
      <c r="GNW57" s="334"/>
      <c r="GNX57" s="334"/>
      <c r="GNY57" s="334"/>
      <c r="GNZ57" s="334"/>
      <c r="GOA57" s="334"/>
      <c r="GOB57" s="334"/>
      <c r="GOC57" s="334"/>
      <c r="GOD57" s="334"/>
      <c r="GOE57" s="334"/>
      <c r="GOF57" s="334"/>
      <c r="GOG57" s="334"/>
      <c r="GOH57" s="334"/>
      <c r="GOI57" s="334"/>
      <c r="GOJ57" s="334"/>
      <c r="GOK57" s="334"/>
      <c r="GOL57" s="334"/>
      <c r="GOM57" s="334"/>
      <c r="GON57" s="334"/>
      <c r="GOO57" s="334"/>
      <c r="GOP57" s="334"/>
      <c r="GOQ57" s="334"/>
      <c r="GOR57" s="334"/>
      <c r="GOS57" s="334"/>
      <c r="GOT57" s="334"/>
      <c r="GOU57" s="334"/>
      <c r="GOV57" s="334"/>
      <c r="GOW57" s="334"/>
      <c r="GOX57" s="334"/>
      <c r="GOY57" s="334"/>
      <c r="GOZ57" s="334"/>
      <c r="GPA57" s="334"/>
      <c r="GPB57" s="334"/>
      <c r="GPC57" s="334"/>
      <c r="GPD57" s="334"/>
      <c r="GPE57" s="334"/>
      <c r="GPF57" s="334"/>
      <c r="GPG57" s="334"/>
      <c r="GPH57" s="334"/>
      <c r="GPI57" s="334"/>
      <c r="GPJ57" s="334"/>
      <c r="GPK57" s="334"/>
      <c r="GPL57" s="334"/>
      <c r="GPM57" s="334"/>
      <c r="GPN57" s="334"/>
      <c r="GPO57" s="334"/>
      <c r="GPP57" s="334"/>
      <c r="GPQ57" s="334"/>
      <c r="GPR57" s="334"/>
      <c r="GPS57" s="334"/>
      <c r="GPT57" s="334"/>
      <c r="GPU57" s="334"/>
      <c r="GPV57" s="334"/>
      <c r="GPW57" s="334"/>
      <c r="GPX57" s="334"/>
      <c r="GPY57" s="334"/>
      <c r="GPZ57" s="334"/>
      <c r="GQA57" s="334"/>
      <c r="GQB57" s="334"/>
      <c r="GQC57" s="334"/>
      <c r="GQD57" s="334"/>
      <c r="GQE57" s="334"/>
      <c r="GQF57" s="334"/>
      <c r="GQG57" s="334"/>
      <c r="GQH57" s="334"/>
      <c r="GQI57" s="334"/>
      <c r="GQJ57" s="334"/>
      <c r="GQK57" s="334"/>
      <c r="GQL57" s="334"/>
      <c r="GQM57" s="334"/>
      <c r="GQN57" s="334"/>
      <c r="GQO57" s="334"/>
      <c r="GQP57" s="334"/>
      <c r="GQQ57" s="334"/>
      <c r="GQR57" s="334"/>
      <c r="GQS57" s="334"/>
      <c r="GQT57" s="334"/>
      <c r="GQU57" s="334"/>
      <c r="GQV57" s="334"/>
      <c r="GQW57" s="334"/>
      <c r="GQX57" s="334"/>
      <c r="GQY57" s="334"/>
      <c r="GQZ57" s="334"/>
      <c r="GRA57" s="334"/>
      <c r="GRB57" s="334"/>
      <c r="GRC57" s="334"/>
      <c r="GRD57" s="334"/>
      <c r="GRE57" s="334"/>
      <c r="GRF57" s="334"/>
      <c r="GRG57" s="334"/>
      <c r="GRH57" s="334"/>
      <c r="GRI57" s="334"/>
      <c r="GRJ57" s="334"/>
      <c r="GRK57" s="334"/>
      <c r="GRL57" s="334"/>
      <c r="GRM57" s="334"/>
      <c r="GRN57" s="334"/>
      <c r="GRO57" s="334"/>
      <c r="GRP57" s="334"/>
      <c r="GRQ57" s="334"/>
      <c r="GRR57" s="334"/>
      <c r="GRS57" s="334"/>
      <c r="GRT57" s="334"/>
      <c r="GRU57" s="334"/>
      <c r="GRV57" s="334"/>
      <c r="GRW57" s="334"/>
      <c r="GRX57" s="334"/>
      <c r="GRY57" s="334"/>
      <c r="GRZ57" s="334"/>
      <c r="GSA57" s="334"/>
      <c r="GSB57" s="334"/>
      <c r="GSC57" s="334"/>
      <c r="GSD57" s="334"/>
      <c r="GSE57" s="334"/>
      <c r="GSF57" s="334"/>
      <c r="GSG57" s="334"/>
      <c r="GSH57" s="334"/>
      <c r="GSI57" s="334"/>
      <c r="GSJ57" s="334"/>
      <c r="GSK57" s="334"/>
      <c r="GSL57" s="334"/>
      <c r="GSM57" s="334"/>
      <c r="GSN57" s="334"/>
      <c r="GSO57" s="334"/>
      <c r="GSP57" s="334"/>
      <c r="GSQ57" s="334"/>
      <c r="GSR57" s="334"/>
      <c r="GSS57" s="334"/>
      <c r="GST57" s="334"/>
      <c r="GSU57" s="334"/>
      <c r="GSV57" s="334"/>
      <c r="GSW57" s="334"/>
      <c r="GSX57" s="334"/>
      <c r="GSY57" s="334"/>
      <c r="GSZ57" s="334"/>
      <c r="GTA57" s="334"/>
      <c r="GTB57" s="334"/>
      <c r="GTC57" s="334"/>
      <c r="GTD57" s="334"/>
      <c r="GTE57" s="334"/>
      <c r="GTF57" s="334"/>
      <c r="GTG57" s="334"/>
      <c r="GTH57" s="334"/>
      <c r="GTI57" s="334"/>
      <c r="GTJ57" s="334"/>
      <c r="GTK57" s="334"/>
      <c r="GTL57" s="334"/>
      <c r="GTM57" s="334"/>
      <c r="GTN57" s="334"/>
      <c r="GTO57" s="334"/>
      <c r="GTP57" s="334"/>
      <c r="GTQ57" s="334"/>
      <c r="GTR57" s="334"/>
      <c r="GTS57" s="334"/>
      <c r="GTT57" s="334"/>
      <c r="GTU57" s="334"/>
      <c r="GTV57" s="334"/>
      <c r="GTW57" s="334"/>
      <c r="GTX57" s="334"/>
      <c r="GTY57" s="334"/>
      <c r="GTZ57" s="334"/>
      <c r="GUA57" s="334"/>
      <c r="GUB57" s="334"/>
      <c r="GUC57" s="334"/>
      <c r="GUD57" s="334"/>
      <c r="GUE57" s="334"/>
      <c r="GUF57" s="334"/>
      <c r="GUG57" s="334"/>
      <c r="GUH57" s="334"/>
      <c r="GUI57" s="334"/>
      <c r="GUJ57" s="334"/>
      <c r="GUK57" s="334"/>
      <c r="GUL57" s="334"/>
      <c r="GUM57" s="334"/>
      <c r="GUN57" s="334"/>
      <c r="GUO57" s="334"/>
      <c r="GUP57" s="334"/>
      <c r="GUQ57" s="334"/>
      <c r="GUR57" s="334"/>
      <c r="GUS57" s="334"/>
      <c r="GUT57" s="334"/>
      <c r="GUU57" s="334"/>
      <c r="GUV57" s="334"/>
      <c r="GUW57" s="334"/>
      <c r="GUX57" s="334"/>
      <c r="GUY57" s="334"/>
      <c r="GUZ57" s="334"/>
      <c r="GVA57" s="334"/>
      <c r="GVB57" s="334"/>
      <c r="GVC57" s="334"/>
      <c r="GVD57" s="334"/>
      <c r="GVE57" s="334"/>
      <c r="GVF57" s="334"/>
      <c r="GVG57" s="334"/>
      <c r="GVH57" s="334"/>
      <c r="GVI57" s="334"/>
      <c r="GVJ57" s="334"/>
      <c r="GVK57" s="334"/>
      <c r="GVL57" s="334"/>
      <c r="GVM57" s="334"/>
      <c r="GVN57" s="334"/>
      <c r="GVO57" s="334"/>
      <c r="GVP57" s="334"/>
      <c r="GVQ57" s="334"/>
      <c r="GVR57" s="334"/>
      <c r="GVS57" s="334"/>
      <c r="GVT57" s="334"/>
      <c r="GVU57" s="334"/>
      <c r="GVV57" s="334"/>
      <c r="GVW57" s="334"/>
      <c r="GVX57" s="334"/>
      <c r="GVY57" s="334"/>
      <c r="GVZ57" s="334"/>
      <c r="GWA57" s="334"/>
      <c r="GWB57" s="334"/>
      <c r="GWC57" s="334"/>
      <c r="GWD57" s="334"/>
      <c r="GWE57" s="334"/>
      <c r="GWF57" s="334"/>
      <c r="GWG57" s="334"/>
      <c r="GWH57" s="334"/>
      <c r="GWI57" s="334"/>
      <c r="GWJ57" s="334"/>
      <c r="GWK57" s="334"/>
      <c r="GWL57" s="334"/>
      <c r="GWM57" s="334"/>
      <c r="GWN57" s="334"/>
      <c r="GWO57" s="334"/>
      <c r="GWP57" s="334"/>
      <c r="GWQ57" s="334"/>
      <c r="GWR57" s="334"/>
      <c r="GWS57" s="334"/>
      <c r="GWT57" s="334"/>
      <c r="GWU57" s="334"/>
      <c r="GWV57" s="334"/>
      <c r="GWW57" s="334"/>
      <c r="GWX57" s="334"/>
      <c r="GWY57" s="334"/>
      <c r="GWZ57" s="334"/>
      <c r="GXA57" s="334"/>
      <c r="GXB57" s="334"/>
      <c r="GXC57" s="334"/>
      <c r="GXD57" s="334"/>
      <c r="GXE57" s="334"/>
      <c r="GXF57" s="334"/>
      <c r="GXG57" s="334"/>
      <c r="GXH57" s="334"/>
      <c r="GXI57" s="334"/>
      <c r="GXJ57" s="334"/>
      <c r="GXK57" s="334"/>
      <c r="GXL57" s="334"/>
      <c r="GXM57" s="334"/>
      <c r="GXN57" s="334"/>
      <c r="GXO57" s="334"/>
      <c r="GXP57" s="334"/>
      <c r="GXQ57" s="334"/>
      <c r="GXR57" s="334"/>
      <c r="GXS57" s="334"/>
      <c r="GXT57" s="334"/>
      <c r="GXU57" s="334"/>
      <c r="GXV57" s="334"/>
      <c r="GXW57" s="334"/>
      <c r="GXX57" s="334"/>
      <c r="GXY57" s="334"/>
      <c r="GXZ57" s="334"/>
      <c r="GYA57" s="334"/>
      <c r="GYB57" s="334"/>
      <c r="GYC57" s="334"/>
      <c r="GYD57" s="334"/>
      <c r="GYE57" s="334"/>
      <c r="GYF57" s="334"/>
      <c r="GYG57" s="334"/>
      <c r="GYH57" s="334"/>
      <c r="GYI57" s="334"/>
      <c r="GYJ57" s="334"/>
      <c r="GYK57" s="334"/>
      <c r="GYL57" s="334"/>
      <c r="GYM57" s="334"/>
      <c r="GYN57" s="334"/>
      <c r="GYO57" s="334"/>
      <c r="GYP57" s="334"/>
      <c r="GYQ57" s="334"/>
      <c r="GYR57" s="334"/>
      <c r="GYS57" s="334"/>
      <c r="GYT57" s="334"/>
      <c r="GYU57" s="334"/>
      <c r="GYV57" s="334"/>
      <c r="GYW57" s="334"/>
      <c r="GYX57" s="334"/>
      <c r="GYY57" s="334"/>
      <c r="GYZ57" s="334"/>
      <c r="GZA57" s="334"/>
      <c r="GZB57" s="334"/>
      <c r="GZC57" s="334"/>
      <c r="GZD57" s="334"/>
      <c r="GZE57" s="334"/>
      <c r="GZF57" s="334"/>
      <c r="GZG57" s="334"/>
      <c r="GZH57" s="334"/>
      <c r="GZI57" s="334"/>
      <c r="GZJ57" s="334"/>
      <c r="GZK57" s="334"/>
      <c r="GZL57" s="334"/>
      <c r="GZM57" s="334"/>
      <c r="GZN57" s="334"/>
      <c r="GZO57" s="334"/>
      <c r="GZP57" s="334"/>
      <c r="GZQ57" s="334"/>
      <c r="GZR57" s="334"/>
      <c r="GZS57" s="334"/>
      <c r="GZT57" s="334"/>
      <c r="GZU57" s="334"/>
      <c r="GZV57" s="334"/>
      <c r="GZW57" s="334"/>
      <c r="GZX57" s="334"/>
      <c r="GZY57" s="334"/>
      <c r="GZZ57" s="334"/>
      <c r="HAA57" s="334"/>
      <c r="HAB57" s="334"/>
      <c r="HAC57" s="334"/>
      <c r="HAD57" s="334"/>
      <c r="HAE57" s="334"/>
      <c r="HAF57" s="334"/>
      <c r="HAG57" s="334"/>
      <c r="HAH57" s="334"/>
      <c r="HAI57" s="334"/>
      <c r="HAJ57" s="334"/>
      <c r="HAK57" s="334"/>
      <c r="HAL57" s="334"/>
      <c r="HAM57" s="334"/>
      <c r="HAN57" s="334"/>
      <c r="HAO57" s="334"/>
      <c r="HAP57" s="334"/>
      <c r="HAQ57" s="334"/>
      <c r="HAR57" s="334"/>
      <c r="HAS57" s="334"/>
      <c r="HAT57" s="334"/>
      <c r="HAU57" s="334"/>
      <c r="HAV57" s="334"/>
      <c r="HAW57" s="334"/>
      <c r="HAX57" s="334"/>
      <c r="HAY57" s="334"/>
      <c r="HAZ57" s="334"/>
      <c r="HBA57" s="334"/>
      <c r="HBB57" s="334"/>
      <c r="HBC57" s="334"/>
      <c r="HBD57" s="334"/>
      <c r="HBE57" s="334"/>
      <c r="HBF57" s="334"/>
      <c r="HBG57" s="334"/>
      <c r="HBH57" s="334"/>
      <c r="HBI57" s="334"/>
      <c r="HBJ57" s="334"/>
      <c r="HBK57" s="334"/>
      <c r="HBL57" s="334"/>
      <c r="HBM57" s="334"/>
      <c r="HBN57" s="334"/>
      <c r="HBO57" s="334"/>
      <c r="HBP57" s="334"/>
      <c r="HBQ57" s="334"/>
      <c r="HBR57" s="334"/>
      <c r="HBS57" s="334"/>
      <c r="HBT57" s="334"/>
      <c r="HBU57" s="334"/>
      <c r="HBV57" s="334"/>
      <c r="HBW57" s="334"/>
      <c r="HBX57" s="334"/>
      <c r="HBY57" s="334"/>
      <c r="HBZ57" s="334"/>
      <c r="HCA57" s="334"/>
      <c r="HCB57" s="334"/>
      <c r="HCC57" s="334"/>
      <c r="HCD57" s="334"/>
      <c r="HCE57" s="334"/>
      <c r="HCF57" s="334"/>
      <c r="HCG57" s="334"/>
      <c r="HCH57" s="334"/>
      <c r="HCI57" s="334"/>
      <c r="HCJ57" s="334"/>
      <c r="HCK57" s="334"/>
      <c r="HCL57" s="334"/>
      <c r="HCM57" s="334"/>
      <c r="HCN57" s="334"/>
      <c r="HCO57" s="334"/>
      <c r="HCP57" s="334"/>
      <c r="HCQ57" s="334"/>
      <c r="HCR57" s="334"/>
      <c r="HCS57" s="334"/>
      <c r="HCT57" s="334"/>
      <c r="HCU57" s="334"/>
      <c r="HCV57" s="334"/>
      <c r="HCW57" s="334"/>
      <c r="HCX57" s="334"/>
      <c r="HCY57" s="334"/>
      <c r="HCZ57" s="334"/>
      <c r="HDA57" s="334"/>
      <c r="HDB57" s="334"/>
      <c r="HDC57" s="334"/>
      <c r="HDD57" s="334"/>
      <c r="HDE57" s="334"/>
      <c r="HDF57" s="334"/>
      <c r="HDG57" s="334"/>
      <c r="HDH57" s="334"/>
      <c r="HDI57" s="334"/>
      <c r="HDJ57" s="334"/>
      <c r="HDK57" s="334"/>
      <c r="HDL57" s="334"/>
      <c r="HDM57" s="334"/>
      <c r="HDN57" s="334"/>
      <c r="HDO57" s="334"/>
      <c r="HDP57" s="334"/>
      <c r="HDQ57" s="334"/>
      <c r="HDR57" s="334"/>
      <c r="HDS57" s="334"/>
      <c r="HDT57" s="334"/>
      <c r="HDU57" s="334"/>
      <c r="HDV57" s="334"/>
      <c r="HDW57" s="334"/>
      <c r="HDX57" s="334"/>
      <c r="HDY57" s="334"/>
      <c r="HDZ57" s="334"/>
      <c r="HEA57" s="334"/>
      <c r="HEB57" s="334"/>
      <c r="HEC57" s="334"/>
      <c r="HED57" s="334"/>
      <c r="HEE57" s="334"/>
      <c r="HEF57" s="334"/>
      <c r="HEG57" s="334"/>
      <c r="HEH57" s="334"/>
      <c r="HEI57" s="334"/>
      <c r="HEJ57" s="334"/>
      <c r="HEK57" s="334"/>
      <c r="HEL57" s="334"/>
      <c r="HEM57" s="334"/>
      <c r="HEN57" s="334"/>
      <c r="HEO57" s="334"/>
      <c r="HEP57" s="334"/>
      <c r="HEQ57" s="334"/>
      <c r="HER57" s="334"/>
      <c r="HES57" s="334"/>
      <c r="HET57" s="334"/>
      <c r="HEU57" s="334"/>
      <c r="HEV57" s="334"/>
      <c r="HEW57" s="334"/>
      <c r="HEX57" s="334"/>
      <c r="HEY57" s="334"/>
      <c r="HEZ57" s="334"/>
      <c r="HFA57" s="334"/>
      <c r="HFB57" s="334"/>
      <c r="HFC57" s="334"/>
      <c r="HFD57" s="334"/>
      <c r="HFE57" s="334"/>
      <c r="HFF57" s="334"/>
      <c r="HFG57" s="334"/>
      <c r="HFH57" s="334"/>
      <c r="HFI57" s="334"/>
      <c r="HFJ57" s="334"/>
      <c r="HFK57" s="334"/>
      <c r="HFL57" s="334"/>
      <c r="HFM57" s="334"/>
      <c r="HFN57" s="334"/>
      <c r="HFO57" s="334"/>
      <c r="HFP57" s="334"/>
      <c r="HFQ57" s="334"/>
      <c r="HFR57" s="334"/>
      <c r="HFS57" s="334"/>
      <c r="HFT57" s="334"/>
      <c r="HFU57" s="334"/>
      <c r="HFV57" s="334"/>
      <c r="HFW57" s="334"/>
      <c r="HFX57" s="334"/>
      <c r="HFY57" s="334"/>
      <c r="HFZ57" s="334"/>
      <c r="HGA57" s="334"/>
      <c r="HGB57" s="334"/>
      <c r="HGC57" s="334"/>
      <c r="HGD57" s="334"/>
      <c r="HGE57" s="334"/>
      <c r="HGF57" s="334"/>
      <c r="HGG57" s="334"/>
      <c r="HGH57" s="334"/>
      <c r="HGI57" s="334"/>
      <c r="HGJ57" s="334"/>
      <c r="HGK57" s="334"/>
      <c r="HGL57" s="334"/>
      <c r="HGM57" s="334"/>
      <c r="HGN57" s="334"/>
      <c r="HGO57" s="334"/>
      <c r="HGP57" s="334"/>
      <c r="HGQ57" s="334"/>
      <c r="HGR57" s="334"/>
      <c r="HGS57" s="334"/>
      <c r="HGT57" s="334"/>
      <c r="HGU57" s="334"/>
      <c r="HGV57" s="334"/>
      <c r="HGW57" s="334"/>
      <c r="HGX57" s="334"/>
      <c r="HGY57" s="334"/>
      <c r="HGZ57" s="334"/>
      <c r="HHA57" s="334"/>
      <c r="HHB57" s="334"/>
      <c r="HHC57" s="334"/>
      <c r="HHD57" s="334"/>
      <c r="HHE57" s="334"/>
      <c r="HHF57" s="334"/>
      <c r="HHG57" s="334"/>
      <c r="HHH57" s="334"/>
      <c r="HHI57" s="334"/>
      <c r="HHJ57" s="334"/>
      <c r="HHK57" s="334"/>
      <c r="HHL57" s="334"/>
      <c r="HHM57" s="334"/>
      <c r="HHN57" s="334"/>
      <c r="HHO57" s="334"/>
      <c r="HHP57" s="334"/>
      <c r="HHQ57" s="334"/>
      <c r="HHR57" s="334"/>
      <c r="HHS57" s="334"/>
      <c r="HHT57" s="334"/>
      <c r="HHU57" s="334"/>
      <c r="HHV57" s="334"/>
      <c r="HHW57" s="334"/>
      <c r="HHX57" s="334"/>
      <c r="HHY57" s="334"/>
      <c r="HHZ57" s="334"/>
      <c r="HIA57" s="334"/>
      <c r="HIB57" s="334"/>
      <c r="HIC57" s="334"/>
      <c r="HID57" s="334"/>
      <c r="HIE57" s="334"/>
      <c r="HIF57" s="334"/>
      <c r="HIG57" s="334"/>
      <c r="HIH57" s="334"/>
      <c r="HII57" s="334"/>
      <c r="HIJ57" s="334"/>
      <c r="HIK57" s="334"/>
      <c r="HIL57" s="334"/>
      <c r="HIM57" s="334"/>
      <c r="HIN57" s="334"/>
      <c r="HIO57" s="334"/>
      <c r="HIP57" s="334"/>
      <c r="HIQ57" s="334"/>
      <c r="HIR57" s="334"/>
      <c r="HIS57" s="334"/>
      <c r="HIT57" s="334"/>
      <c r="HIU57" s="334"/>
      <c r="HIV57" s="334"/>
      <c r="HIW57" s="334"/>
      <c r="HIX57" s="334"/>
      <c r="HIY57" s="334"/>
      <c r="HIZ57" s="334"/>
      <c r="HJA57" s="334"/>
      <c r="HJB57" s="334"/>
      <c r="HJC57" s="334"/>
      <c r="HJD57" s="334"/>
      <c r="HJE57" s="334"/>
      <c r="HJF57" s="334"/>
      <c r="HJG57" s="334"/>
      <c r="HJH57" s="334"/>
      <c r="HJI57" s="334"/>
      <c r="HJJ57" s="334"/>
      <c r="HJK57" s="334"/>
      <c r="HJL57" s="334"/>
      <c r="HJM57" s="334"/>
      <c r="HJN57" s="334"/>
      <c r="HJO57" s="334"/>
      <c r="HJP57" s="334"/>
      <c r="HJQ57" s="334"/>
      <c r="HJR57" s="334"/>
      <c r="HJS57" s="334"/>
      <c r="HJT57" s="334"/>
      <c r="HJU57" s="334"/>
      <c r="HJV57" s="334"/>
      <c r="HJW57" s="334"/>
      <c r="HJX57" s="334"/>
      <c r="HJY57" s="334"/>
      <c r="HJZ57" s="334"/>
      <c r="HKA57" s="334"/>
      <c r="HKB57" s="334"/>
      <c r="HKC57" s="334"/>
      <c r="HKD57" s="334"/>
      <c r="HKE57" s="334"/>
      <c r="HKF57" s="334"/>
      <c r="HKG57" s="334"/>
      <c r="HKH57" s="334"/>
      <c r="HKI57" s="334"/>
      <c r="HKJ57" s="334"/>
      <c r="HKK57" s="334"/>
      <c r="HKL57" s="334"/>
      <c r="HKM57" s="334"/>
      <c r="HKN57" s="334"/>
      <c r="HKO57" s="334"/>
      <c r="HKP57" s="334"/>
      <c r="HKQ57" s="334"/>
      <c r="HKR57" s="334"/>
      <c r="HKS57" s="334"/>
      <c r="HKT57" s="334"/>
      <c r="HKU57" s="334"/>
      <c r="HKV57" s="334"/>
      <c r="HKW57" s="334"/>
      <c r="HKX57" s="334"/>
      <c r="HKY57" s="334"/>
      <c r="HKZ57" s="334"/>
      <c r="HLA57" s="334"/>
      <c r="HLB57" s="334"/>
      <c r="HLC57" s="334"/>
      <c r="HLD57" s="334"/>
      <c r="HLE57" s="334"/>
      <c r="HLF57" s="334"/>
      <c r="HLG57" s="334"/>
      <c r="HLH57" s="334"/>
      <c r="HLI57" s="334"/>
      <c r="HLJ57" s="334"/>
      <c r="HLK57" s="334"/>
      <c r="HLL57" s="334"/>
      <c r="HLM57" s="334"/>
      <c r="HLN57" s="334"/>
      <c r="HLO57" s="334"/>
      <c r="HLP57" s="334"/>
      <c r="HLQ57" s="334"/>
      <c r="HLR57" s="334"/>
      <c r="HLS57" s="334"/>
      <c r="HLT57" s="334"/>
      <c r="HLU57" s="334"/>
      <c r="HLV57" s="334"/>
      <c r="HLW57" s="334"/>
      <c r="HLX57" s="334"/>
      <c r="HLY57" s="334"/>
      <c r="HLZ57" s="334"/>
      <c r="HMA57" s="334"/>
      <c r="HMB57" s="334"/>
      <c r="HMC57" s="334"/>
      <c r="HMD57" s="334"/>
      <c r="HME57" s="334"/>
      <c r="HMF57" s="334"/>
      <c r="HMG57" s="334"/>
      <c r="HMH57" s="334"/>
      <c r="HMI57" s="334"/>
      <c r="HMJ57" s="334"/>
      <c r="HMK57" s="334"/>
      <c r="HML57" s="334"/>
      <c r="HMM57" s="334"/>
      <c r="HMN57" s="334"/>
      <c r="HMO57" s="334"/>
      <c r="HMP57" s="334"/>
      <c r="HMQ57" s="334"/>
      <c r="HMR57" s="334"/>
      <c r="HMS57" s="334"/>
      <c r="HMT57" s="334"/>
      <c r="HMU57" s="334"/>
      <c r="HMV57" s="334"/>
      <c r="HMW57" s="334"/>
      <c r="HMX57" s="334"/>
      <c r="HMY57" s="334"/>
      <c r="HMZ57" s="334"/>
      <c r="HNA57" s="334"/>
      <c r="HNB57" s="334"/>
      <c r="HNC57" s="334"/>
      <c r="HND57" s="334"/>
      <c r="HNE57" s="334"/>
      <c r="HNF57" s="334"/>
      <c r="HNG57" s="334"/>
      <c r="HNH57" s="334"/>
      <c r="HNI57" s="334"/>
      <c r="HNJ57" s="334"/>
      <c r="HNK57" s="334"/>
      <c r="HNL57" s="334"/>
      <c r="HNM57" s="334"/>
      <c r="HNN57" s="334"/>
      <c r="HNO57" s="334"/>
      <c r="HNP57" s="334"/>
      <c r="HNQ57" s="334"/>
      <c r="HNR57" s="334"/>
      <c r="HNS57" s="334"/>
      <c r="HNT57" s="334"/>
      <c r="HNU57" s="334"/>
      <c r="HNV57" s="334"/>
      <c r="HNW57" s="334"/>
      <c r="HNX57" s="334"/>
      <c r="HNY57" s="334"/>
      <c r="HNZ57" s="334"/>
      <c r="HOA57" s="334"/>
      <c r="HOB57" s="334"/>
      <c r="HOC57" s="334"/>
      <c r="HOD57" s="334"/>
      <c r="HOE57" s="334"/>
      <c r="HOF57" s="334"/>
      <c r="HOG57" s="334"/>
      <c r="HOH57" s="334"/>
      <c r="HOI57" s="334"/>
      <c r="HOJ57" s="334"/>
      <c r="HOK57" s="334"/>
      <c r="HOL57" s="334"/>
      <c r="HOM57" s="334"/>
      <c r="HON57" s="334"/>
      <c r="HOO57" s="334"/>
      <c r="HOP57" s="334"/>
      <c r="HOQ57" s="334"/>
      <c r="HOR57" s="334"/>
      <c r="HOS57" s="334"/>
      <c r="HOT57" s="334"/>
      <c r="HOU57" s="334"/>
      <c r="HOV57" s="334"/>
      <c r="HOW57" s="334"/>
      <c r="HOX57" s="334"/>
      <c r="HOY57" s="334"/>
      <c r="HOZ57" s="334"/>
      <c r="HPA57" s="334"/>
      <c r="HPB57" s="334"/>
      <c r="HPC57" s="334"/>
      <c r="HPD57" s="334"/>
      <c r="HPE57" s="334"/>
      <c r="HPF57" s="334"/>
      <c r="HPG57" s="334"/>
      <c r="HPH57" s="334"/>
      <c r="HPI57" s="334"/>
      <c r="HPJ57" s="334"/>
      <c r="HPK57" s="334"/>
      <c r="HPL57" s="334"/>
      <c r="HPM57" s="334"/>
      <c r="HPN57" s="334"/>
      <c r="HPO57" s="334"/>
      <c r="HPP57" s="334"/>
      <c r="HPQ57" s="334"/>
      <c r="HPR57" s="334"/>
      <c r="HPS57" s="334"/>
      <c r="HPT57" s="334"/>
      <c r="HPU57" s="334"/>
      <c r="HPV57" s="334"/>
      <c r="HPW57" s="334"/>
      <c r="HPX57" s="334"/>
      <c r="HPY57" s="334"/>
      <c r="HPZ57" s="334"/>
      <c r="HQA57" s="334"/>
      <c r="HQB57" s="334"/>
      <c r="HQC57" s="334"/>
      <c r="HQD57" s="334"/>
      <c r="HQE57" s="334"/>
      <c r="HQF57" s="334"/>
      <c r="HQG57" s="334"/>
      <c r="HQH57" s="334"/>
      <c r="HQI57" s="334"/>
      <c r="HQJ57" s="334"/>
      <c r="HQK57" s="334"/>
      <c r="HQL57" s="334"/>
      <c r="HQM57" s="334"/>
      <c r="HQN57" s="334"/>
      <c r="HQO57" s="334"/>
      <c r="HQP57" s="334"/>
      <c r="HQQ57" s="334"/>
      <c r="HQR57" s="334"/>
      <c r="HQS57" s="334"/>
      <c r="HQT57" s="334"/>
      <c r="HQU57" s="334"/>
      <c r="HQV57" s="334"/>
      <c r="HQW57" s="334"/>
      <c r="HQX57" s="334"/>
      <c r="HQY57" s="334"/>
      <c r="HQZ57" s="334"/>
      <c r="HRA57" s="334"/>
      <c r="HRB57" s="334"/>
      <c r="HRC57" s="334"/>
      <c r="HRD57" s="334"/>
      <c r="HRE57" s="334"/>
      <c r="HRF57" s="334"/>
      <c r="HRG57" s="334"/>
      <c r="HRH57" s="334"/>
      <c r="HRI57" s="334"/>
      <c r="HRJ57" s="334"/>
      <c r="HRK57" s="334"/>
      <c r="HRL57" s="334"/>
      <c r="HRM57" s="334"/>
      <c r="HRN57" s="334"/>
      <c r="HRO57" s="334"/>
      <c r="HRP57" s="334"/>
      <c r="HRQ57" s="334"/>
      <c r="HRR57" s="334"/>
      <c r="HRS57" s="334"/>
      <c r="HRT57" s="334"/>
      <c r="HRU57" s="334"/>
      <c r="HRV57" s="334"/>
      <c r="HRW57" s="334"/>
      <c r="HRX57" s="334"/>
      <c r="HRY57" s="334"/>
      <c r="HRZ57" s="334"/>
      <c r="HSA57" s="334"/>
      <c r="HSB57" s="334"/>
      <c r="HSC57" s="334"/>
      <c r="HSD57" s="334"/>
      <c r="HSE57" s="334"/>
      <c r="HSF57" s="334"/>
      <c r="HSG57" s="334"/>
      <c r="HSH57" s="334"/>
      <c r="HSI57" s="334"/>
      <c r="HSJ57" s="334"/>
      <c r="HSK57" s="334"/>
      <c r="HSL57" s="334"/>
      <c r="HSM57" s="334"/>
      <c r="HSN57" s="334"/>
      <c r="HSO57" s="334"/>
      <c r="HSP57" s="334"/>
      <c r="HSQ57" s="334"/>
      <c r="HSR57" s="334"/>
      <c r="HSS57" s="334"/>
      <c r="HST57" s="334"/>
      <c r="HSU57" s="334"/>
      <c r="HSV57" s="334"/>
      <c r="HSW57" s="334"/>
      <c r="HSX57" s="334"/>
      <c r="HSY57" s="334"/>
      <c r="HSZ57" s="334"/>
      <c r="HTA57" s="334"/>
      <c r="HTB57" s="334"/>
      <c r="HTC57" s="334"/>
      <c r="HTD57" s="334"/>
      <c r="HTE57" s="334"/>
      <c r="HTF57" s="334"/>
      <c r="HTG57" s="334"/>
      <c r="HTH57" s="334"/>
      <c r="HTI57" s="334"/>
      <c r="HTJ57" s="334"/>
      <c r="HTK57" s="334"/>
      <c r="HTL57" s="334"/>
      <c r="HTM57" s="334"/>
      <c r="HTN57" s="334"/>
      <c r="HTO57" s="334"/>
      <c r="HTP57" s="334"/>
      <c r="HTQ57" s="334"/>
      <c r="HTR57" s="334"/>
      <c r="HTS57" s="334"/>
      <c r="HTT57" s="334"/>
      <c r="HTU57" s="334"/>
      <c r="HTV57" s="334"/>
      <c r="HTW57" s="334"/>
      <c r="HTX57" s="334"/>
      <c r="HTY57" s="334"/>
      <c r="HTZ57" s="334"/>
      <c r="HUA57" s="334"/>
      <c r="HUB57" s="334"/>
      <c r="HUC57" s="334"/>
      <c r="HUD57" s="334"/>
      <c r="HUE57" s="334"/>
      <c r="HUF57" s="334"/>
      <c r="HUG57" s="334"/>
      <c r="HUH57" s="334"/>
      <c r="HUI57" s="334"/>
      <c r="HUJ57" s="334"/>
      <c r="HUK57" s="334"/>
      <c r="HUL57" s="334"/>
      <c r="HUM57" s="334"/>
      <c r="HUN57" s="334"/>
      <c r="HUO57" s="334"/>
      <c r="HUP57" s="334"/>
      <c r="HUQ57" s="334"/>
      <c r="HUR57" s="334"/>
      <c r="HUS57" s="334"/>
      <c r="HUT57" s="334"/>
      <c r="HUU57" s="334"/>
      <c r="HUV57" s="334"/>
      <c r="HUW57" s="334"/>
      <c r="HUX57" s="334"/>
      <c r="HUY57" s="334"/>
      <c r="HUZ57" s="334"/>
      <c r="HVA57" s="334"/>
      <c r="HVB57" s="334"/>
      <c r="HVC57" s="334"/>
      <c r="HVD57" s="334"/>
      <c r="HVE57" s="334"/>
      <c r="HVF57" s="334"/>
      <c r="HVG57" s="334"/>
      <c r="HVH57" s="334"/>
      <c r="HVI57" s="334"/>
      <c r="HVJ57" s="334"/>
      <c r="HVK57" s="334"/>
      <c r="HVL57" s="334"/>
      <c r="HVM57" s="334"/>
      <c r="HVN57" s="334"/>
      <c r="HVO57" s="334"/>
      <c r="HVP57" s="334"/>
      <c r="HVQ57" s="334"/>
      <c r="HVR57" s="334"/>
      <c r="HVS57" s="334"/>
      <c r="HVT57" s="334"/>
      <c r="HVU57" s="334"/>
      <c r="HVV57" s="334"/>
      <c r="HVW57" s="334"/>
      <c r="HVX57" s="334"/>
      <c r="HVY57" s="334"/>
      <c r="HVZ57" s="334"/>
      <c r="HWA57" s="334"/>
      <c r="HWB57" s="334"/>
      <c r="HWC57" s="334"/>
      <c r="HWD57" s="334"/>
      <c r="HWE57" s="334"/>
      <c r="HWF57" s="334"/>
      <c r="HWG57" s="334"/>
      <c r="HWH57" s="334"/>
      <c r="HWI57" s="334"/>
      <c r="HWJ57" s="334"/>
      <c r="HWK57" s="334"/>
      <c r="HWL57" s="334"/>
      <c r="HWM57" s="334"/>
      <c r="HWN57" s="334"/>
      <c r="HWO57" s="334"/>
      <c r="HWP57" s="334"/>
      <c r="HWQ57" s="334"/>
      <c r="HWR57" s="334"/>
      <c r="HWS57" s="334"/>
      <c r="HWT57" s="334"/>
      <c r="HWU57" s="334"/>
      <c r="HWV57" s="334"/>
      <c r="HWW57" s="334"/>
      <c r="HWX57" s="334"/>
      <c r="HWY57" s="334"/>
      <c r="HWZ57" s="334"/>
      <c r="HXA57" s="334"/>
      <c r="HXB57" s="334"/>
      <c r="HXC57" s="334"/>
      <c r="HXD57" s="334"/>
      <c r="HXE57" s="334"/>
      <c r="HXF57" s="334"/>
      <c r="HXG57" s="334"/>
      <c r="HXH57" s="334"/>
      <c r="HXI57" s="334"/>
      <c r="HXJ57" s="334"/>
      <c r="HXK57" s="334"/>
      <c r="HXL57" s="334"/>
      <c r="HXM57" s="334"/>
      <c r="HXN57" s="334"/>
      <c r="HXO57" s="334"/>
      <c r="HXP57" s="334"/>
      <c r="HXQ57" s="334"/>
      <c r="HXR57" s="334"/>
      <c r="HXS57" s="334"/>
      <c r="HXT57" s="334"/>
      <c r="HXU57" s="334"/>
      <c r="HXV57" s="334"/>
      <c r="HXW57" s="334"/>
      <c r="HXX57" s="334"/>
      <c r="HXY57" s="334"/>
      <c r="HXZ57" s="334"/>
      <c r="HYA57" s="334"/>
      <c r="HYB57" s="334"/>
      <c r="HYC57" s="334"/>
      <c r="HYD57" s="334"/>
      <c r="HYE57" s="334"/>
      <c r="HYF57" s="334"/>
      <c r="HYG57" s="334"/>
      <c r="HYH57" s="334"/>
      <c r="HYI57" s="334"/>
      <c r="HYJ57" s="334"/>
      <c r="HYK57" s="334"/>
      <c r="HYL57" s="334"/>
      <c r="HYM57" s="334"/>
      <c r="HYN57" s="334"/>
      <c r="HYO57" s="334"/>
      <c r="HYP57" s="334"/>
      <c r="HYQ57" s="334"/>
      <c r="HYR57" s="334"/>
      <c r="HYS57" s="334"/>
      <c r="HYT57" s="334"/>
      <c r="HYU57" s="334"/>
      <c r="HYV57" s="334"/>
      <c r="HYW57" s="334"/>
      <c r="HYX57" s="334"/>
      <c r="HYY57" s="334"/>
      <c r="HYZ57" s="334"/>
      <c r="HZA57" s="334"/>
      <c r="HZB57" s="334"/>
      <c r="HZC57" s="334"/>
      <c r="HZD57" s="334"/>
      <c r="HZE57" s="334"/>
      <c r="HZF57" s="334"/>
      <c r="HZG57" s="334"/>
      <c r="HZH57" s="334"/>
      <c r="HZI57" s="334"/>
      <c r="HZJ57" s="334"/>
      <c r="HZK57" s="334"/>
      <c r="HZL57" s="334"/>
      <c r="HZM57" s="334"/>
      <c r="HZN57" s="334"/>
      <c r="HZO57" s="334"/>
      <c r="HZP57" s="334"/>
      <c r="HZQ57" s="334"/>
      <c r="HZR57" s="334"/>
      <c r="HZS57" s="334"/>
      <c r="HZT57" s="334"/>
      <c r="HZU57" s="334"/>
      <c r="HZV57" s="334"/>
      <c r="HZW57" s="334"/>
      <c r="HZX57" s="334"/>
      <c r="HZY57" s="334"/>
      <c r="HZZ57" s="334"/>
      <c r="IAA57" s="334"/>
      <c r="IAB57" s="334"/>
      <c r="IAC57" s="334"/>
      <c r="IAD57" s="334"/>
      <c r="IAE57" s="334"/>
      <c r="IAF57" s="334"/>
      <c r="IAG57" s="334"/>
      <c r="IAH57" s="334"/>
      <c r="IAI57" s="334"/>
      <c r="IAJ57" s="334"/>
      <c r="IAK57" s="334"/>
      <c r="IAL57" s="334"/>
      <c r="IAM57" s="334"/>
      <c r="IAN57" s="334"/>
      <c r="IAO57" s="334"/>
      <c r="IAP57" s="334"/>
      <c r="IAQ57" s="334"/>
      <c r="IAR57" s="334"/>
      <c r="IAS57" s="334"/>
      <c r="IAT57" s="334"/>
      <c r="IAU57" s="334"/>
      <c r="IAV57" s="334"/>
      <c r="IAW57" s="334"/>
      <c r="IAX57" s="334"/>
      <c r="IAY57" s="334"/>
      <c r="IAZ57" s="334"/>
      <c r="IBA57" s="334"/>
      <c r="IBB57" s="334"/>
      <c r="IBC57" s="334"/>
      <c r="IBD57" s="334"/>
      <c r="IBE57" s="334"/>
      <c r="IBF57" s="334"/>
      <c r="IBG57" s="334"/>
      <c r="IBH57" s="334"/>
      <c r="IBI57" s="334"/>
      <c r="IBJ57" s="334"/>
      <c r="IBK57" s="334"/>
      <c r="IBL57" s="334"/>
      <c r="IBM57" s="334"/>
      <c r="IBN57" s="334"/>
      <c r="IBO57" s="334"/>
      <c r="IBP57" s="334"/>
      <c r="IBQ57" s="334"/>
      <c r="IBR57" s="334"/>
      <c r="IBS57" s="334"/>
      <c r="IBT57" s="334"/>
      <c r="IBU57" s="334"/>
      <c r="IBV57" s="334"/>
      <c r="IBW57" s="334"/>
      <c r="IBX57" s="334"/>
      <c r="IBY57" s="334"/>
      <c r="IBZ57" s="334"/>
      <c r="ICA57" s="334"/>
      <c r="ICB57" s="334"/>
      <c r="ICC57" s="334"/>
      <c r="ICD57" s="334"/>
      <c r="ICE57" s="334"/>
      <c r="ICF57" s="334"/>
      <c r="ICG57" s="334"/>
      <c r="ICH57" s="334"/>
      <c r="ICI57" s="334"/>
      <c r="ICJ57" s="334"/>
      <c r="ICK57" s="334"/>
      <c r="ICL57" s="334"/>
      <c r="ICM57" s="334"/>
      <c r="ICN57" s="334"/>
      <c r="ICO57" s="334"/>
      <c r="ICP57" s="334"/>
      <c r="ICQ57" s="334"/>
      <c r="ICR57" s="334"/>
      <c r="ICS57" s="334"/>
      <c r="ICT57" s="334"/>
      <c r="ICU57" s="334"/>
      <c r="ICV57" s="334"/>
      <c r="ICW57" s="334"/>
      <c r="ICX57" s="334"/>
      <c r="ICY57" s="334"/>
      <c r="ICZ57" s="334"/>
      <c r="IDA57" s="334"/>
      <c r="IDB57" s="334"/>
      <c r="IDC57" s="334"/>
      <c r="IDD57" s="334"/>
      <c r="IDE57" s="334"/>
      <c r="IDF57" s="334"/>
      <c r="IDG57" s="334"/>
      <c r="IDH57" s="334"/>
      <c r="IDI57" s="334"/>
      <c r="IDJ57" s="334"/>
      <c r="IDK57" s="334"/>
      <c r="IDL57" s="334"/>
      <c r="IDM57" s="334"/>
      <c r="IDN57" s="334"/>
      <c r="IDO57" s="334"/>
      <c r="IDP57" s="334"/>
      <c r="IDQ57" s="334"/>
      <c r="IDR57" s="334"/>
      <c r="IDS57" s="334"/>
      <c r="IDT57" s="334"/>
      <c r="IDU57" s="334"/>
      <c r="IDV57" s="334"/>
      <c r="IDW57" s="334"/>
      <c r="IDX57" s="334"/>
      <c r="IDY57" s="334"/>
      <c r="IDZ57" s="334"/>
      <c r="IEA57" s="334"/>
      <c r="IEB57" s="334"/>
      <c r="IEC57" s="334"/>
      <c r="IED57" s="334"/>
      <c r="IEE57" s="334"/>
      <c r="IEF57" s="334"/>
      <c r="IEG57" s="334"/>
      <c r="IEH57" s="334"/>
      <c r="IEI57" s="334"/>
      <c r="IEJ57" s="334"/>
      <c r="IEK57" s="334"/>
      <c r="IEL57" s="334"/>
      <c r="IEM57" s="334"/>
      <c r="IEN57" s="334"/>
      <c r="IEO57" s="334"/>
      <c r="IEP57" s="334"/>
      <c r="IEQ57" s="334"/>
      <c r="IER57" s="334"/>
      <c r="IES57" s="334"/>
      <c r="IET57" s="334"/>
      <c r="IEU57" s="334"/>
      <c r="IEV57" s="334"/>
      <c r="IEW57" s="334"/>
      <c r="IEX57" s="334"/>
      <c r="IEY57" s="334"/>
      <c r="IEZ57" s="334"/>
      <c r="IFA57" s="334"/>
      <c r="IFB57" s="334"/>
      <c r="IFC57" s="334"/>
      <c r="IFD57" s="334"/>
      <c r="IFE57" s="334"/>
      <c r="IFF57" s="334"/>
      <c r="IFG57" s="334"/>
      <c r="IFH57" s="334"/>
      <c r="IFI57" s="334"/>
      <c r="IFJ57" s="334"/>
      <c r="IFK57" s="334"/>
      <c r="IFL57" s="334"/>
      <c r="IFM57" s="334"/>
      <c r="IFN57" s="334"/>
      <c r="IFO57" s="334"/>
      <c r="IFP57" s="334"/>
      <c r="IFQ57" s="334"/>
      <c r="IFR57" s="334"/>
      <c r="IFS57" s="334"/>
      <c r="IFT57" s="334"/>
      <c r="IFU57" s="334"/>
      <c r="IFV57" s="334"/>
      <c r="IFW57" s="334"/>
      <c r="IFX57" s="334"/>
      <c r="IFY57" s="334"/>
      <c r="IFZ57" s="334"/>
      <c r="IGA57" s="334"/>
      <c r="IGB57" s="334"/>
      <c r="IGC57" s="334"/>
      <c r="IGD57" s="334"/>
      <c r="IGE57" s="334"/>
      <c r="IGF57" s="334"/>
      <c r="IGG57" s="334"/>
      <c r="IGH57" s="334"/>
      <c r="IGI57" s="334"/>
      <c r="IGJ57" s="334"/>
      <c r="IGK57" s="334"/>
      <c r="IGL57" s="334"/>
      <c r="IGM57" s="334"/>
      <c r="IGN57" s="334"/>
      <c r="IGO57" s="334"/>
      <c r="IGP57" s="334"/>
      <c r="IGQ57" s="334"/>
      <c r="IGR57" s="334"/>
      <c r="IGS57" s="334"/>
      <c r="IGT57" s="334"/>
      <c r="IGU57" s="334"/>
      <c r="IGV57" s="334"/>
      <c r="IGW57" s="334"/>
      <c r="IGX57" s="334"/>
      <c r="IGY57" s="334"/>
      <c r="IGZ57" s="334"/>
      <c r="IHA57" s="334"/>
      <c r="IHB57" s="334"/>
      <c r="IHC57" s="334"/>
      <c r="IHD57" s="334"/>
      <c r="IHE57" s="334"/>
      <c r="IHF57" s="334"/>
      <c r="IHG57" s="334"/>
      <c r="IHH57" s="334"/>
      <c r="IHI57" s="334"/>
      <c r="IHJ57" s="334"/>
      <c r="IHK57" s="334"/>
      <c r="IHL57" s="334"/>
      <c r="IHM57" s="334"/>
      <c r="IHN57" s="334"/>
      <c r="IHO57" s="334"/>
      <c r="IHP57" s="334"/>
      <c r="IHQ57" s="334"/>
      <c r="IHR57" s="334"/>
      <c r="IHS57" s="334"/>
      <c r="IHT57" s="334"/>
      <c r="IHU57" s="334"/>
      <c r="IHV57" s="334"/>
      <c r="IHW57" s="334"/>
      <c r="IHX57" s="334"/>
      <c r="IHY57" s="334"/>
      <c r="IHZ57" s="334"/>
      <c r="IIA57" s="334"/>
      <c r="IIB57" s="334"/>
      <c r="IIC57" s="334"/>
      <c r="IID57" s="334"/>
      <c r="IIE57" s="334"/>
      <c r="IIF57" s="334"/>
      <c r="IIG57" s="334"/>
      <c r="IIH57" s="334"/>
      <c r="III57" s="334"/>
      <c r="IIJ57" s="334"/>
      <c r="IIK57" s="334"/>
      <c r="IIL57" s="334"/>
      <c r="IIM57" s="334"/>
      <c r="IIN57" s="334"/>
      <c r="IIO57" s="334"/>
      <c r="IIP57" s="334"/>
      <c r="IIQ57" s="334"/>
      <c r="IIR57" s="334"/>
      <c r="IIS57" s="334"/>
      <c r="IIT57" s="334"/>
      <c r="IIU57" s="334"/>
      <c r="IIV57" s="334"/>
      <c r="IIW57" s="334"/>
      <c r="IIX57" s="334"/>
      <c r="IIY57" s="334"/>
      <c r="IIZ57" s="334"/>
      <c r="IJA57" s="334"/>
      <c r="IJB57" s="334"/>
      <c r="IJC57" s="334"/>
      <c r="IJD57" s="334"/>
      <c r="IJE57" s="334"/>
      <c r="IJF57" s="334"/>
      <c r="IJG57" s="334"/>
      <c r="IJH57" s="334"/>
      <c r="IJI57" s="334"/>
      <c r="IJJ57" s="334"/>
      <c r="IJK57" s="334"/>
      <c r="IJL57" s="334"/>
      <c r="IJM57" s="334"/>
      <c r="IJN57" s="334"/>
      <c r="IJO57" s="334"/>
      <c r="IJP57" s="334"/>
      <c r="IJQ57" s="334"/>
      <c r="IJR57" s="334"/>
      <c r="IJS57" s="334"/>
      <c r="IJT57" s="334"/>
      <c r="IJU57" s="334"/>
      <c r="IJV57" s="334"/>
      <c r="IJW57" s="334"/>
      <c r="IJX57" s="334"/>
      <c r="IJY57" s="334"/>
      <c r="IJZ57" s="334"/>
      <c r="IKA57" s="334"/>
      <c r="IKB57" s="334"/>
      <c r="IKC57" s="334"/>
      <c r="IKD57" s="334"/>
      <c r="IKE57" s="334"/>
      <c r="IKF57" s="334"/>
      <c r="IKG57" s="334"/>
      <c r="IKH57" s="334"/>
      <c r="IKI57" s="334"/>
      <c r="IKJ57" s="334"/>
      <c r="IKK57" s="334"/>
      <c r="IKL57" s="334"/>
      <c r="IKM57" s="334"/>
      <c r="IKN57" s="334"/>
      <c r="IKO57" s="334"/>
      <c r="IKP57" s="334"/>
      <c r="IKQ57" s="334"/>
      <c r="IKR57" s="334"/>
      <c r="IKS57" s="334"/>
      <c r="IKT57" s="334"/>
      <c r="IKU57" s="334"/>
      <c r="IKV57" s="334"/>
      <c r="IKW57" s="334"/>
      <c r="IKX57" s="334"/>
      <c r="IKY57" s="334"/>
      <c r="IKZ57" s="334"/>
      <c r="ILA57" s="334"/>
      <c r="ILB57" s="334"/>
      <c r="ILC57" s="334"/>
      <c r="ILD57" s="334"/>
      <c r="ILE57" s="334"/>
      <c r="ILF57" s="334"/>
      <c r="ILG57" s="334"/>
      <c r="ILH57" s="334"/>
      <c r="ILI57" s="334"/>
      <c r="ILJ57" s="334"/>
      <c r="ILK57" s="334"/>
      <c r="ILL57" s="334"/>
      <c r="ILM57" s="334"/>
      <c r="ILN57" s="334"/>
      <c r="ILO57" s="334"/>
      <c r="ILP57" s="334"/>
      <c r="ILQ57" s="334"/>
      <c r="ILR57" s="334"/>
      <c r="ILS57" s="334"/>
      <c r="ILT57" s="334"/>
      <c r="ILU57" s="334"/>
      <c r="ILV57" s="334"/>
      <c r="ILW57" s="334"/>
      <c r="ILX57" s="334"/>
      <c r="ILY57" s="334"/>
      <c r="ILZ57" s="334"/>
      <c r="IMA57" s="334"/>
      <c r="IMB57" s="334"/>
      <c r="IMC57" s="334"/>
      <c r="IMD57" s="334"/>
      <c r="IME57" s="334"/>
      <c r="IMF57" s="334"/>
      <c r="IMG57" s="334"/>
      <c r="IMH57" s="334"/>
      <c r="IMI57" s="334"/>
      <c r="IMJ57" s="334"/>
      <c r="IMK57" s="334"/>
      <c r="IML57" s="334"/>
      <c r="IMM57" s="334"/>
      <c r="IMN57" s="334"/>
      <c r="IMO57" s="334"/>
      <c r="IMP57" s="334"/>
      <c r="IMQ57" s="334"/>
      <c r="IMR57" s="334"/>
      <c r="IMS57" s="334"/>
      <c r="IMT57" s="334"/>
      <c r="IMU57" s="334"/>
      <c r="IMV57" s="334"/>
      <c r="IMW57" s="334"/>
      <c r="IMX57" s="334"/>
      <c r="IMY57" s="334"/>
      <c r="IMZ57" s="334"/>
      <c r="INA57" s="334"/>
      <c r="INB57" s="334"/>
      <c r="INC57" s="334"/>
      <c r="IND57" s="334"/>
      <c r="INE57" s="334"/>
      <c r="INF57" s="334"/>
      <c r="ING57" s="334"/>
      <c r="INH57" s="334"/>
      <c r="INI57" s="334"/>
      <c r="INJ57" s="334"/>
      <c r="INK57" s="334"/>
      <c r="INL57" s="334"/>
      <c r="INM57" s="334"/>
      <c r="INN57" s="334"/>
      <c r="INO57" s="334"/>
      <c r="INP57" s="334"/>
      <c r="INQ57" s="334"/>
      <c r="INR57" s="334"/>
      <c r="INS57" s="334"/>
      <c r="INT57" s="334"/>
      <c r="INU57" s="334"/>
      <c r="INV57" s="334"/>
      <c r="INW57" s="334"/>
      <c r="INX57" s="334"/>
      <c r="INY57" s="334"/>
      <c r="INZ57" s="334"/>
      <c r="IOA57" s="334"/>
      <c r="IOB57" s="334"/>
      <c r="IOC57" s="334"/>
      <c r="IOD57" s="334"/>
      <c r="IOE57" s="334"/>
      <c r="IOF57" s="334"/>
      <c r="IOG57" s="334"/>
      <c r="IOH57" s="334"/>
      <c r="IOI57" s="334"/>
      <c r="IOJ57" s="334"/>
      <c r="IOK57" s="334"/>
      <c r="IOL57" s="334"/>
      <c r="IOM57" s="334"/>
      <c r="ION57" s="334"/>
      <c r="IOO57" s="334"/>
      <c r="IOP57" s="334"/>
      <c r="IOQ57" s="334"/>
      <c r="IOR57" s="334"/>
      <c r="IOS57" s="334"/>
      <c r="IOT57" s="334"/>
      <c r="IOU57" s="334"/>
      <c r="IOV57" s="334"/>
      <c r="IOW57" s="334"/>
      <c r="IOX57" s="334"/>
      <c r="IOY57" s="334"/>
      <c r="IOZ57" s="334"/>
      <c r="IPA57" s="334"/>
      <c r="IPB57" s="334"/>
      <c r="IPC57" s="334"/>
      <c r="IPD57" s="334"/>
      <c r="IPE57" s="334"/>
      <c r="IPF57" s="334"/>
      <c r="IPG57" s="334"/>
      <c r="IPH57" s="334"/>
      <c r="IPI57" s="334"/>
      <c r="IPJ57" s="334"/>
      <c r="IPK57" s="334"/>
      <c r="IPL57" s="334"/>
      <c r="IPM57" s="334"/>
      <c r="IPN57" s="334"/>
      <c r="IPO57" s="334"/>
      <c r="IPP57" s="334"/>
      <c r="IPQ57" s="334"/>
      <c r="IPR57" s="334"/>
      <c r="IPS57" s="334"/>
      <c r="IPT57" s="334"/>
      <c r="IPU57" s="334"/>
      <c r="IPV57" s="334"/>
      <c r="IPW57" s="334"/>
      <c r="IPX57" s="334"/>
      <c r="IPY57" s="334"/>
      <c r="IPZ57" s="334"/>
      <c r="IQA57" s="334"/>
      <c r="IQB57" s="334"/>
      <c r="IQC57" s="334"/>
      <c r="IQD57" s="334"/>
      <c r="IQE57" s="334"/>
      <c r="IQF57" s="334"/>
      <c r="IQG57" s="334"/>
      <c r="IQH57" s="334"/>
      <c r="IQI57" s="334"/>
      <c r="IQJ57" s="334"/>
      <c r="IQK57" s="334"/>
      <c r="IQL57" s="334"/>
      <c r="IQM57" s="334"/>
      <c r="IQN57" s="334"/>
      <c r="IQO57" s="334"/>
      <c r="IQP57" s="334"/>
      <c r="IQQ57" s="334"/>
      <c r="IQR57" s="334"/>
      <c r="IQS57" s="334"/>
      <c r="IQT57" s="334"/>
      <c r="IQU57" s="334"/>
      <c r="IQV57" s="334"/>
      <c r="IQW57" s="334"/>
      <c r="IQX57" s="334"/>
      <c r="IQY57" s="334"/>
      <c r="IQZ57" s="334"/>
      <c r="IRA57" s="334"/>
      <c r="IRB57" s="334"/>
      <c r="IRC57" s="334"/>
      <c r="IRD57" s="334"/>
      <c r="IRE57" s="334"/>
      <c r="IRF57" s="334"/>
      <c r="IRG57" s="334"/>
      <c r="IRH57" s="334"/>
      <c r="IRI57" s="334"/>
      <c r="IRJ57" s="334"/>
      <c r="IRK57" s="334"/>
      <c r="IRL57" s="334"/>
      <c r="IRM57" s="334"/>
      <c r="IRN57" s="334"/>
      <c r="IRO57" s="334"/>
      <c r="IRP57" s="334"/>
      <c r="IRQ57" s="334"/>
      <c r="IRR57" s="334"/>
      <c r="IRS57" s="334"/>
      <c r="IRT57" s="334"/>
      <c r="IRU57" s="334"/>
      <c r="IRV57" s="334"/>
      <c r="IRW57" s="334"/>
      <c r="IRX57" s="334"/>
      <c r="IRY57" s="334"/>
      <c r="IRZ57" s="334"/>
      <c r="ISA57" s="334"/>
      <c r="ISB57" s="334"/>
      <c r="ISC57" s="334"/>
      <c r="ISD57" s="334"/>
      <c r="ISE57" s="334"/>
      <c r="ISF57" s="334"/>
      <c r="ISG57" s="334"/>
      <c r="ISH57" s="334"/>
      <c r="ISI57" s="334"/>
      <c r="ISJ57" s="334"/>
      <c r="ISK57" s="334"/>
      <c r="ISL57" s="334"/>
      <c r="ISM57" s="334"/>
      <c r="ISN57" s="334"/>
      <c r="ISO57" s="334"/>
      <c r="ISP57" s="334"/>
      <c r="ISQ57" s="334"/>
      <c r="ISR57" s="334"/>
      <c r="ISS57" s="334"/>
      <c r="IST57" s="334"/>
      <c r="ISU57" s="334"/>
      <c r="ISV57" s="334"/>
      <c r="ISW57" s="334"/>
      <c r="ISX57" s="334"/>
      <c r="ISY57" s="334"/>
      <c r="ISZ57" s="334"/>
      <c r="ITA57" s="334"/>
      <c r="ITB57" s="334"/>
      <c r="ITC57" s="334"/>
      <c r="ITD57" s="334"/>
      <c r="ITE57" s="334"/>
      <c r="ITF57" s="334"/>
      <c r="ITG57" s="334"/>
      <c r="ITH57" s="334"/>
      <c r="ITI57" s="334"/>
      <c r="ITJ57" s="334"/>
      <c r="ITK57" s="334"/>
      <c r="ITL57" s="334"/>
      <c r="ITM57" s="334"/>
      <c r="ITN57" s="334"/>
      <c r="ITO57" s="334"/>
      <c r="ITP57" s="334"/>
      <c r="ITQ57" s="334"/>
      <c r="ITR57" s="334"/>
      <c r="ITS57" s="334"/>
      <c r="ITT57" s="334"/>
      <c r="ITU57" s="334"/>
      <c r="ITV57" s="334"/>
      <c r="ITW57" s="334"/>
      <c r="ITX57" s="334"/>
      <c r="ITY57" s="334"/>
      <c r="ITZ57" s="334"/>
      <c r="IUA57" s="334"/>
      <c r="IUB57" s="334"/>
      <c r="IUC57" s="334"/>
      <c r="IUD57" s="334"/>
      <c r="IUE57" s="334"/>
      <c r="IUF57" s="334"/>
      <c r="IUG57" s="334"/>
      <c r="IUH57" s="334"/>
      <c r="IUI57" s="334"/>
      <c r="IUJ57" s="334"/>
      <c r="IUK57" s="334"/>
      <c r="IUL57" s="334"/>
      <c r="IUM57" s="334"/>
      <c r="IUN57" s="334"/>
      <c r="IUO57" s="334"/>
      <c r="IUP57" s="334"/>
      <c r="IUQ57" s="334"/>
      <c r="IUR57" s="334"/>
      <c r="IUS57" s="334"/>
      <c r="IUT57" s="334"/>
      <c r="IUU57" s="334"/>
      <c r="IUV57" s="334"/>
      <c r="IUW57" s="334"/>
      <c r="IUX57" s="334"/>
      <c r="IUY57" s="334"/>
      <c r="IUZ57" s="334"/>
      <c r="IVA57" s="334"/>
      <c r="IVB57" s="334"/>
      <c r="IVC57" s="334"/>
      <c r="IVD57" s="334"/>
      <c r="IVE57" s="334"/>
      <c r="IVF57" s="334"/>
      <c r="IVG57" s="334"/>
      <c r="IVH57" s="334"/>
      <c r="IVI57" s="334"/>
      <c r="IVJ57" s="334"/>
      <c r="IVK57" s="334"/>
      <c r="IVL57" s="334"/>
      <c r="IVM57" s="334"/>
      <c r="IVN57" s="334"/>
      <c r="IVO57" s="334"/>
      <c r="IVP57" s="334"/>
      <c r="IVQ57" s="334"/>
      <c r="IVR57" s="334"/>
      <c r="IVS57" s="334"/>
      <c r="IVT57" s="334"/>
      <c r="IVU57" s="334"/>
      <c r="IVV57" s="334"/>
      <c r="IVW57" s="334"/>
      <c r="IVX57" s="334"/>
      <c r="IVY57" s="334"/>
      <c r="IVZ57" s="334"/>
      <c r="IWA57" s="334"/>
      <c r="IWB57" s="334"/>
      <c r="IWC57" s="334"/>
      <c r="IWD57" s="334"/>
      <c r="IWE57" s="334"/>
      <c r="IWF57" s="334"/>
      <c r="IWG57" s="334"/>
      <c r="IWH57" s="334"/>
      <c r="IWI57" s="334"/>
      <c r="IWJ57" s="334"/>
      <c r="IWK57" s="334"/>
      <c r="IWL57" s="334"/>
      <c r="IWM57" s="334"/>
      <c r="IWN57" s="334"/>
      <c r="IWO57" s="334"/>
      <c r="IWP57" s="334"/>
      <c r="IWQ57" s="334"/>
      <c r="IWR57" s="334"/>
      <c r="IWS57" s="334"/>
      <c r="IWT57" s="334"/>
      <c r="IWU57" s="334"/>
      <c r="IWV57" s="334"/>
      <c r="IWW57" s="334"/>
      <c r="IWX57" s="334"/>
      <c r="IWY57" s="334"/>
      <c r="IWZ57" s="334"/>
      <c r="IXA57" s="334"/>
      <c r="IXB57" s="334"/>
      <c r="IXC57" s="334"/>
      <c r="IXD57" s="334"/>
      <c r="IXE57" s="334"/>
      <c r="IXF57" s="334"/>
      <c r="IXG57" s="334"/>
      <c r="IXH57" s="334"/>
      <c r="IXI57" s="334"/>
      <c r="IXJ57" s="334"/>
      <c r="IXK57" s="334"/>
      <c r="IXL57" s="334"/>
      <c r="IXM57" s="334"/>
      <c r="IXN57" s="334"/>
      <c r="IXO57" s="334"/>
      <c r="IXP57" s="334"/>
      <c r="IXQ57" s="334"/>
      <c r="IXR57" s="334"/>
      <c r="IXS57" s="334"/>
      <c r="IXT57" s="334"/>
      <c r="IXU57" s="334"/>
      <c r="IXV57" s="334"/>
      <c r="IXW57" s="334"/>
      <c r="IXX57" s="334"/>
      <c r="IXY57" s="334"/>
      <c r="IXZ57" s="334"/>
      <c r="IYA57" s="334"/>
      <c r="IYB57" s="334"/>
      <c r="IYC57" s="334"/>
      <c r="IYD57" s="334"/>
      <c r="IYE57" s="334"/>
      <c r="IYF57" s="334"/>
      <c r="IYG57" s="334"/>
      <c r="IYH57" s="334"/>
      <c r="IYI57" s="334"/>
      <c r="IYJ57" s="334"/>
      <c r="IYK57" s="334"/>
      <c r="IYL57" s="334"/>
      <c r="IYM57" s="334"/>
      <c r="IYN57" s="334"/>
      <c r="IYO57" s="334"/>
      <c r="IYP57" s="334"/>
      <c r="IYQ57" s="334"/>
      <c r="IYR57" s="334"/>
      <c r="IYS57" s="334"/>
      <c r="IYT57" s="334"/>
      <c r="IYU57" s="334"/>
      <c r="IYV57" s="334"/>
      <c r="IYW57" s="334"/>
      <c r="IYX57" s="334"/>
      <c r="IYY57" s="334"/>
      <c r="IYZ57" s="334"/>
      <c r="IZA57" s="334"/>
      <c r="IZB57" s="334"/>
      <c r="IZC57" s="334"/>
      <c r="IZD57" s="334"/>
      <c r="IZE57" s="334"/>
      <c r="IZF57" s="334"/>
      <c r="IZG57" s="334"/>
      <c r="IZH57" s="334"/>
      <c r="IZI57" s="334"/>
      <c r="IZJ57" s="334"/>
      <c r="IZK57" s="334"/>
      <c r="IZL57" s="334"/>
      <c r="IZM57" s="334"/>
      <c r="IZN57" s="334"/>
      <c r="IZO57" s="334"/>
      <c r="IZP57" s="334"/>
      <c r="IZQ57" s="334"/>
      <c r="IZR57" s="334"/>
      <c r="IZS57" s="334"/>
      <c r="IZT57" s="334"/>
      <c r="IZU57" s="334"/>
      <c r="IZV57" s="334"/>
      <c r="IZW57" s="334"/>
      <c r="IZX57" s="334"/>
      <c r="IZY57" s="334"/>
      <c r="IZZ57" s="334"/>
      <c r="JAA57" s="334"/>
      <c r="JAB57" s="334"/>
      <c r="JAC57" s="334"/>
      <c r="JAD57" s="334"/>
      <c r="JAE57" s="334"/>
      <c r="JAF57" s="334"/>
      <c r="JAG57" s="334"/>
      <c r="JAH57" s="334"/>
      <c r="JAI57" s="334"/>
      <c r="JAJ57" s="334"/>
      <c r="JAK57" s="334"/>
      <c r="JAL57" s="334"/>
      <c r="JAM57" s="334"/>
      <c r="JAN57" s="334"/>
      <c r="JAO57" s="334"/>
      <c r="JAP57" s="334"/>
      <c r="JAQ57" s="334"/>
      <c r="JAR57" s="334"/>
      <c r="JAS57" s="334"/>
      <c r="JAT57" s="334"/>
      <c r="JAU57" s="334"/>
      <c r="JAV57" s="334"/>
      <c r="JAW57" s="334"/>
      <c r="JAX57" s="334"/>
      <c r="JAY57" s="334"/>
      <c r="JAZ57" s="334"/>
      <c r="JBA57" s="334"/>
      <c r="JBB57" s="334"/>
      <c r="JBC57" s="334"/>
      <c r="JBD57" s="334"/>
      <c r="JBE57" s="334"/>
      <c r="JBF57" s="334"/>
      <c r="JBG57" s="334"/>
      <c r="JBH57" s="334"/>
      <c r="JBI57" s="334"/>
      <c r="JBJ57" s="334"/>
      <c r="JBK57" s="334"/>
      <c r="JBL57" s="334"/>
      <c r="JBM57" s="334"/>
      <c r="JBN57" s="334"/>
      <c r="JBO57" s="334"/>
      <c r="JBP57" s="334"/>
      <c r="JBQ57" s="334"/>
      <c r="JBR57" s="334"/>
      <c r="JBS57" s="334"/>
      <c r="JBT57" s="334"/>
      <c r="JBU57" s="334"/>
      <c r="JBV57" s="334"/>
      <c r="JBW57" s="334"/>
      <c r="JBX57" s="334"/>
      <c r="JBY57" s="334"/>
      <c r="JBZ57" s="334"/>
      <c r="JCA57" s="334"/>
      <c r="JCB57" s="334"/>
      <c r="JCC57" s="334"/>
      <c r="JCD57" s="334"/>
      <c r="JCE57" s="334"/>
      <c r="JCF57" s="334"/>
      <c r="JCG57" s="334"/>
      <c r="JCH57" s="334"/>
      <c r="JCI57" s="334"/>
      <c r="JCJ57" s="334"/>
      <c r="JCK57" s="334"/>
      <c r="JCL57" s="334"/>
      <c r="JCM57" s="334"/>
      <c r="JCN57" s="334"/>
      <c r="JCO57" s="334"/>
      <c r="JCP57" s="334"/>
      <c r="JCQ57" s="334"/>
      <c r="JCR57" s="334"/>
      <c r="JCS57" s="334"/>
      <c r="JCT57" s="334"/>
      <c r="JCU57" s="334"/>
      <c r="JCV57" s="334"/>
      <c r="JCW57" s="334"/>
      <c r="JCX57" s="334"/>
      <c r="JCY57" s="334"/>
      <c r="JCZ57" s="334"/>
      <c r="JDA57" s="334"/>
      <c r="JDB57" s="334"/>
      <c r="JDC57" s="334"/>
      <c r="JDD57" s="334"/>
      <c r="JDE57" s="334"/>
      <c r="JDF57" s="334"/>
      <c r="JDG57" s="334"/>
      <c r="JDH57" s="334"/>
      <c r="JDI57" s="334"/>
      <c r="JDJ57" s="334"/>
      <c r="JDK57" s="334"/>
      <c r="JDL57" s="334"/>
      <c r="JDM57" s="334"/>
      <c r="JDN57" s="334"/>
      <c r="JDO57" s="334"/>
      <c r="JDP57" s="334"/>
      <c r="JDQ57" s="334"/>
      <c r="JDR57" s="334"/>
      <c r="JDS57" s="334"/>
      <c r="JDT57" s="334"/>
      <c r="JDU57" s="334"/>
      <c r="JDV57" s="334"/>
      <c r="JDW57" s="334"/>
      <c r="JDX57" s="334"/>
      <c r="JDY57" s="334"/>
      <c r="JDZ57" s="334"/>
      <c r="JEA57" s="334"/>
      <c r="JEB57" s="334"/>
      <c r="JEC57" s="334"/>
      <c r="JED57" s="334"/>
      <c r="JEE57" s="334"/>
      <c r="JEF57" s="334"/>
      <c r="JEG57" s="334"/>
      <c r="JEH57" s="334"/>
      <c r="JEI57" s="334"/>
      <c r="JEJ57" s="334"/>
      <c r="JEK57" s="334"/>
      <c r="JEL57" s="334"/>
      <c r="JEM57" s="334"/>
      <c r="JEN57" s="334"/>
      <c r="JEO57" s="334"/>
      <c r="JEP57" s="334"/>
      <c r="JEQ57" s="334"/>
      <c r="JER57" s="334"/>
      <c r="JES57" s="334"/>
      <c r="JET57" s="334"/>
      <c r="JEU57" s="334"/>
      <c r="JEV57" s="334"/>
      <c r="JEW57" s="334"/>
      <c r="JEX57" s="334"/>
      <c r="JEY57" s="334"/>
      <c r="JEZ57" s="334"/>
      <c r="JFA57" s="334"/>
      <c r="JFB57" s="334"/>
      <c r="JFC57" s="334"/>
      <c r="JFD57" s="334"/>
      <c r="JFE57" s="334"/>
      <c r="JFF57" s="334"/>
      <c r="JFG57" s="334"/>
      <c r="JFH57" s="334"/>
      <c r="JFI57" s="334"/>
      <c r="JFJ57" s="334"/>
      <c r="JFK57" s="334"/>
      <c r="JFL57" s="334"/>
      <c r="JFM57" s="334"/>
      <c r="JFN57" s="334"/>
      <c r="JFO57" s="334"/>
      <c r="JFP57" s="334"/>
      <c r="JFQ57" s="334"/>
      <c r="JFR57" s="334"/>
      <c r="JFS57" s="334"/>
      <c r="JFT57" s="334"/>
      <c r="JFU57" s="334"/>
      <c r="JFV57" s="334"/>
      <c r="JFW57" s="334"/>
      <c r="JFX57" s="334"/>
      <c r="JFY57" s="334"/>
      <c r="JFZ57" s="334"/>
      <c r="JGA57" s="334"/>
      <c r="JGB57" s="334"/>
      <c r="JGC57" s="334"/>
      <c r="JGD57" s="334"/>
      <c r="JGE57" s="334"/>
      <c r="JGF57" s="334"/>
      <c r="JGG57" s="334"/>
      <c r="JGH57" s="334"/>
      <c r="JGI57" s="334"/>
      <c r="JGJ57" s="334"/>
      <c r="JGK57" s="334"/>
      <c r="JGL57" s="334"/>
      <c r="JGM57" s="334"/>
      <c r="JGN57" s="334"/>
      <c r="JGO57" s="334"/>
      <c r="JGP57" s="334"/>
      <c r="JGQ57" s="334"/>
      <c r="JGR57" s="334"/>
      <c r="JGS57" s="334"/>
      <c r="JGT57" s="334"/>
      <c r="JGU57" s="334"/>
      <c r="JGV57" s="334"/>
      <c r="JGW57" s="334"/>
      <c r="JGX57" s="334"/>
      <c r="JGY57" s="334"/>
      <c r="JGZ57" s="334"/>
      <c r="JHA57" s="334"/>
      <c r="JHB57" s="334"/>
      <c r="JHC57" s="334"/>
      <c r="JHD57" s="334"/>
      <c r="JHE57" s="334"/>
      <c r="JHF57" s="334"/>
      <c r="JHG57" s="334"/>
      <c r="JHH57" s="334"/>
      <c r="JHI57" s="334"/>
      <c r="JHJ57" s="334"/>
      <c r="JHK57" s="334"/>
      <c r="JHL57" s="334"/>
      <c r="JHM57" s="334"/>
      <c r="JHN57" s="334"/>
      <c r="JHO57" s="334"/>
      <c r="JHP57" s="334"/>
      <c r="JHQ57" s="334"/>
      <c r="JHR57" s="334"/>
      <c r="JHS57" s="334"/>
      <c r="JHT57" s="334"/>
      <c r="JHU57" s="334"/>
      <c r="JHV57" s="334"/>
      <c r="JHW57" s="334"/>
      <c r="JHX57" s="334"/>
      <c r="JHY57" s="334"/>
      <c r="JHZ57" s="334"/>
      <c r="JIA57" s="334"/>
      <c r="JIB57" s="334"/>
      <c r="JIC57" s="334"/>
      <c r="JID57" s="334"/>
      <c r="JIE57" s="334"/>
      <c r="JIF57" s="334"/>
      <c r="JIG57" s="334"/>
      <c r="JIH57" s="334"/>
      <c r="JII57" s="334"/>
      <c r="JIJ57" s="334"/>
      <c r="JIK57" s="334"/>
      <c r="JIL57" s="334"/>
      <c r="JIM57" s="334"/>
      <c r="JIN57" s="334"/>
      <c r="JIO57" s="334"/>
      <c r="JIP57" s="334"/>
      <c r="JIQ57" s="334"/>
      <c r="JIR57" s="334"/>
      <c r="JIS57" s="334"/>
      <c r="JIT57" s="334"/>
      <c r="JIU57" s="334"/>
      <c r="JIV57" s="334"/>
      <c r="JIW57" s="334"/>
      <c r="JIX57" s="334"/>
      <c r="JIY57" s="334"/>
      <c r="JIZ57" s="334"/>
      <c r="JJA57" s="334"/>
      <c r="JJB57" s="334"/>
      <c r="JJC57" s="334"/>
      <c r="JJD57" s="334"/>
      <c r="JJE57" s="334"/>
      <c r="JJF57" s="334"/>
      <c r="JJG57" s="334"/>
      <c r="JJH57" s="334"/>
      <c r="JJI57" s="334"/>
      <c r="JJJ57" s="334"/>
      <c r="JJK57" s="334"/>
      <c r="JJL57" s="334"/>
      <c r="JJM57" s="334"/>
      <c r="JJN57" s="334"/>
      <c r="JJO57" s="334"/>
      <c r="JJP57" s="334"/>
      <c r="JJQ57" s="334"/>
      <c r="JJR57" s="334"/>
      <c r="JJS57" s="334"/>
      <c r="JJT57" s="334"/>
      <c r="JJU57" s="334"/>
      <c r="JJV57" s="334"/>
      <c r="JJW57" s="334"/>
      <c r="JJX57" s="334"/>
      <c r="JJY57" s="334"/>
      <c r="JJZ57" s="334"/>
      <c r="JKA57" s="334"/>
      <c r="JKB57" s="334"/>
      <c r="JKC57" s="334"/>
      <c r="JKD57" s="334"/>
      <c r="JKE57" s="334"/>
      <c r="JKF57" s="334"/>
      <c r="JKG57" s="334"/>
      <c r="JKH57" s="334"/>
      <c r="JKI57" s="334"/>
      <c r="JKJ57" s="334"/>
      <c r="JKK57" s="334"/>
      <c r="JKL57" s="334"/>
      <c r="JKM57" s="334"/>
      <c r="JKN57" s="334"/>
      <c r="JKO57" s="334"/>
      <c r="JKP57" s="334"/>
      <c r="JKQ57" s="334"/>
      <c r="JKR57" s="334"/>
      <c r="JKS57" s="334"/>
      <c r="JKT57" s="334"/>
      <c r="JKU57" s="334"/>
      <c r="JKV57" s="334"/>
      <c r="JKW57" s="334"/>
      <c r="JKX57" s="334"/>
      <c r="JKY57" s="334"/>
      <c r="JKZ57" s="334"/>
      <c r="JLA57" s="334"/>
      <c r="JLB57" s="334"/>
      <c r="JLC57" s="334"/>
      <c r="JLD57" s="334"/>
      <c r="JLE57" s="334"/>
      <c r="JLF57" s="334"/>
      <c r="JLG57" s="334"/>
      <c r="JLH57" s="334"/>
      <c r="JLI57" s="334"/>
      <c r="JLJ57" s="334"/>
      <c r="JLK57" s="334"/>
      <c r="JLL57" s="334"/>
      <c r="JLM57" s="334"/>
      <c r="JLN57" s="334"/>
      <c r="JLO57" s="334"/>
      <c r="JLP57" s="334"/>
      <c r="JLQ57" s="334"/>
      <c r="JLR57" s="334"/>
      <c r="JLS57" s="334"/>
      <c r="JLT57" s="334"/>
      <c r="JLU57" s="334"/>
      <c r="JLV57" s="334"/>
      <c r="JLW57" s="334"/>
      <c r="JLX57" s="334"/>
      <c r="JLY57" s="334"/>
      <c r="JLZ57" s="334"/>
      <c r="JMA57" s="334"/>
      <c r="JMB57" s="334"/>
      <c r="JMC57" s="334"/>
      <c r="JMD57" s="334"/>
      <c r="JME57" s="334"/>
      <c r="JMF57" s="334"/>
      <c r="JMG57" s="334"/>
      <c r="JMH57" s="334"/>
      <c r="JMI57" s="334"/>
      <c r="JMJ57" s="334"/>
      <c r="JMK57" s="334"/>
      <c r="JML57" s="334"/>
      <c r="JMM57" s="334"/>
      <c r="JMN57" s="334"/>
      <c r="JMO57" s="334"/>
      <c r="JMP57" s="334"/>
      <c r="JMQ57" s="334"/>
      <c r="JMR57" s="334"/>
      <c r="JMS57" s="334"/>
      <c r="JMT57" s="334"/>
      <c r="JMU57" s="334"/>
      <c r="JMV57" s="334"/>
      <c r="JMW57" s="334"/>
      <c r="JMX57" s="334"/>
      <c r="JMY57" s="334"/>
      <c r="JMZ57" s="334"/>
      <c r="JNA57" s="334"/>
      <c r="JNB57" s="334"/>
      <c r="JNC57" s="334"/>
      <c r="JND57" s="334"/>
      <c r="JNE57" s="334"/>
      <c r="JNF57" s="334"/>
      <c r="JNG57" s="334"/>
      <c r="JNH57" s="334"/>
      <c r="JNI57" s="334"/>
      <c r="JNJ57" s="334"/>
      <c r="JNK57" s="334"/>
      <c r="JNL57" s="334"/>
      <c r="JNM57" s="334"/>
      <c r="JNN57" s="334"/>
      <c r="JNO57" s="334"/>
      <c r="JNP57" s="334"/>
      <c r="JNQ57" s="334"/>
      <c r="JNR57" s="334"/>
      <c r="JNS57" s="334"/>
      <c r="JNT57" s="334"/>
      <c r="JNU57" s="334"/>
      <c r="JNV57" s="334"/>
      <c r="JNW57" s="334"/>
      <c r="JNX57" s="334"/>
      <c r="JNY57" s="334"/>
      <c r="JNZ57" s="334"/>
      <c r="JOA57" s="334"/>
      <c r="JOB57" s="334"/>
      <c r="JOC57" s="334"/>
      <c r="JOD57" s="334"/>
      <c r="JOE57" s="334"/>
      <c r="JOF57" s="334"/>
      <c r="JOG57" s="334"/>
      <c r="JOH57" s="334"/>
      <c r="JOI57" s="334"/>
      <c r="JOJ57" s="334"/>
      <c r="JOK57" s="334"/>
      <c r="JOL57" s="334"/>
      <c r="JOM57" s="334"/>
      <c r="JON57" s="334"/>
      <c r="JOO57" s="334"/>
      <c r="JOP57" s="334"/>
      <c r="JOQ57" s="334"/>
      <c r="JOR57" s="334"/>
      <c r="JOS57" s="334"/>
      <c r="JOT57" s="334"/>
      <c r="JOU57" s="334"/>
      <c r="JOV57" s="334"/>
      <c r="JOW57" s="334"/>
      <c r="JOX57" s="334"/>
      <c r="JOY57" s="334"/>
      <c r="JOZ57" s="334"/>
      <c r="JPA57" s="334"/>
      <c r="JPB57" s="334"/>
      <c r="JPC57" s="334"/>
      <c r="JPD57" s="334"/>
      <c r="JPE57" s="334"/>
      <c r="JPF57" s="334"/>
      <c r="JPG57" s="334"/>
      <c r="JPH57" s="334"/>
      <c r="JPI57" s="334"/>
      <c r="JPJ57" s="334"/>
      <c r="JPK57" s="334"/>
      <c r="JPL57" s="334"/>
      <c r="JPM57" s="334"/>
      <c r="JPN57" s="334"/>
      <c r="JPO57" s="334"/>
      <c r="JPP57" s="334"/>
      <c r="JPQ57" s="334"/>
      <c r="JPR57" s="334"/>
      <c r="JPS57" s="334"/>
      <c r="JPT57" s="334"/>
      <c r="JPU57" s="334"/>
      <c r="JPV57" s="334"/>
      <c r="JPW57" s="334"/>
      <c r="JPX57" s="334"/>
      <c r="JPY57" s="334"/>
      <c r="JPZ57" s="334"/>
      <c r="JQA57" s="334"/>
      <c r="JQB57" s="334"/>
      <c r="JQC57" s="334"/>
      <c r="JQD57" s="334"/>
      <c r="JQE57" s="334"/>
      <c r="JQF57" s="334"/>
      <c r="JQG57" s="334"/>
      <c r="JQH57" s="334"/>
      <c r="JQI57" s="334"/>
      <c r="JQJ57" s="334"/>
      <c r="JQK57" s="334"/>
      <c r="JQL57" s="334"/>
      <c r="JQM57" s="334"/>
      <c r="JQN57" s="334"/>
      <c r="JQO57" s="334"/>
      <c r="JQP57" s="334"/>
      <c r="JQQ57" s="334"/>
      <c r="JQR57" s="334"/>
      <c r="JQS57" s="334"/>
      <c r="JQT57" s="334"/>
      <c r="JQU57" s="334"/>
      <c r="JQV57" s="334"/>
      <c r="JQW57" s="334"/>
      <c r="JQX57" s="334"/>
      <c r="JQY57" s="334"/>
      <c r="JQZ57" s="334"/>
      <c r="JRA57" s="334"/>
      <c r="JRB57" s="334"/>
      <c r="JRC57" s="334"/>
      <c r="JRD57" s="334"/>
      <c r="JRE57" s="334"/>
      <c r="JRF57" s="334"/>
      <c r="JRG57" s="334"/>
      <c r="JRH57" s="334"/>
      <c r="JRI57" s="334"/>
      <c r="JRJ57" s="334"/>
      <c r="JRK57" s="334"/>
      <c r="JRL57" s="334"/>
      <c r="JRM57" s="334"/>
      <c r="JRN57" s="334"/>
      <c r="JRO57" s="334"/>
      <c r="JRP57" s="334"/>
      <c r="JRQ57" s="334"/>
      <c r="JRR57" s="334"/>
      <c r="JRS57" s="334"/>
      <c r="JRT57" s="334"/>
      <c r="JRU57" s="334"/>
      <c r="JRV57" s="334"/>
      <c r="JRW57" s="334"/>
      <c r="JRX57" s="334"/>
      <c r="JRY57" s="334"/>
      <c r="JRZ57" s="334"/>
      <c r="JSA57" s="334"/>
      <c r="JSB57" s="334"/>
      <c r="JSC57" s="334"/>
      <c r="JSD57" s="334"/>
      <c r="JSE57" s="334"/>
      <c r="JSF57" s="334"/>
      <c r="JSG57" s="334"/>
      <c r="JSH57" s="334"/>
      <c r="JSI57" s="334"/>
      <c r="JSJ57" s="334"/>
      <c r="JSK57" s="334"/>
      <c r="JSL57" s="334"/>
      <c r="JSM57" s="334"/>
      <c r="JSN57" s="334"/>
      <c r="JSO57" s="334"/>
      <c r="JSP57" s="334"/>
      <c r="JSQ57" s="334"/>
      <c r="JSR57" s="334"/>
      <c r="JSS57" s="334"/>
      <c r="JST57" s="334"/>
      <c r="JSU57" s="334"/>
      <c r="JSV57" s="334"/>
      <c r="JSW57" s="334"/>
      <c r="JSX57" s="334"/>
      <c r="JSY57" s="334"/>
      <c r="JSZ57" s="334"/>
      <c r="JTA57" s="334"/>
      <c r="JTB57" s="334"/>
      <c r="JTC57" s="334"/>
      <c r="JTD57" s="334"/>
      <c r="JTE57" s="334"/>
      <c r="JTF57" s="334"/>
      <c r="JTG57" s="334"/>
      <c r="JTH57" s="334"/>
      <c r="JTI57" s="334"/>
      <c r="JTJ57" s="334"/>
      <c r="JTK57" s="334"/>
      <c r="JTL57" s="334"/>
      <c r="JTM57" s="334"/>
      <c r="JTN57" s="334"/>
      <c r="JTO57" s="334"/>
      <c r="JTP57" s="334"/>
      <c r="JTQ57" s="334"/>
      <c r="JTR57" s="334"/>
      <c r="JTS57" s="334"/>
      <c r="JTT57" s="334"/>
      <c r="JTU57" s="334"/>
      <c r="JTV57" s="334"/>
      <c r="JTW57" s="334"/>
      <c r="JTX57" s="334"/>
      <c r="JTY57" s="334"/>
      <c r="JTZ57" s="334"/>
      <c r="JUA57" s="334"/>
      <c r="JUB57" s="334"/>
      <c r="JUC57" s="334"/>
      <c r="JUD57" s="334"/>
      <c r="JUE57" s="334"/>
      <c r="JUF57" s="334"/>
      <c r="JUG57" s="334"/>
      <c r="JUH57" s="334"/>
      <c r="JUI57" s="334"/>
      <c r="JUJ57" s="334"/>
      <c r="JUK57" s="334"/>
      <c r="JUL57" s="334"/>
      <c r="JUM57" s="334"/>
      <c r="JUN57" s="334"/>
      <c r="JUO57" s="334"/>
      <c r="JUP57" s="334"/>
      <c r="JUQ57" s="334"/>
      <c r="JUR57" s="334"/>
      <c r="JUS57" s="334"/>
      <c r="JUT57" s="334"/>
      <c r="JUU57" s="334"/>
      <c r="JUV57" s="334"/>
      <c r="JUW57" s="334"/>
      <c r="JUX57" s="334"/>
      <c r="JUY57" s="334"/>
      <c r="JUZ57" s="334"/>
      <c r="JVA57" s="334"/>
      <c r="JVB57" s="334"/>
      <c r="JVC57" s="334"/>
      <c r="JVD57" s="334"/>
      <c r="JVE57" s="334"/>
      <c r="JVF57" s="334"/>
      <c r="JVG57" s="334"/>
      <c r="JVH57" s="334"/>
      <c r="JVI57" s="334"/>
      <c r="JVJ57" s="334"/>
      <c r="JVK57" s="334"/>
      <c r="JVL57" s="334"/>
      <c r="JVM57" s="334"/>
      <c r="JVN57" s="334"/>
      <c r="JVO57" s="334"/>
      <c r="JVP57" s="334"/>
      <c r="JVQ57" s="334"/>
      <c r="JVR57" s="334"/>
      <c r="JVS57" s="334"/>
      <c r="JVT57" s="334"/>
      <c r="JVU57" s="334"/>
      <c r="JVV57" s="334"/>
      <c r="JVW57" s="334"/>
      <c r="JVX57" s="334"/>
      <c r="JVY57" s="334"/>
      <c r="JVZ57" s="334"/>
      <c r="JWA57" s="334"/>
      <c r="JWB57" s="334"/>
      <c r="JWC57" s="334"/>
      <c r="JWD57" s="334"/>
      <c r="JWE57" s="334"/>
      <c r="JWF57" s="334"/>
      <c r="JWG57" s="334"/>
      <c r="JWH57" s="334"/>
      <c r="JWI57" s="334"/>
      <c r="JWJ57" s="334"/>
      <c r="JWK57" s="334"/>
      <c r="JWL57" s="334"/>
      <c r="JWM57" s="334"/>
      <c r="JWN57" s="334"/>
      <c r="JWO57" s="334"/>
      <c r="JWP57" s="334"/>
      <c r="JWQ57" s="334"/>
      <c r="JWR57" s="334"/>
      <c r="JWS57" s="334"/>
      <c r="JWT57" s="334"/>
      <c r="JWU57" s="334"/>
      <c r="JWV57" s="334"/>
      <c r="JWW57" s="334"/>
      <c r="JWX57" s="334"/>
      <c r="JWY57" s="334"/>
      <c r="JWZ57" s="334"/>
      <c r="JXA57" s="334"/>
      <c r="JXB57" s="334"/>
      <c r="JXC57" s="334"/>
      <c r="JXD57" s="334"/>
      <c r="JXE57" s="334"/>
      <c r="JXF57" s="334"/>
      <c r="JXG57" s="334"/>
      <c r="JXH57" s="334"/>
      <c r="JXI57" s="334"/>
      <c r="JXJ57" s="334"/>
      <c r="JXK57" s="334"/>
      <c r="JXL57" s="334"/>
      <c r="JXM57" s="334"/>
      <c r="JXN57" s="334"/>
      <c r="JXO57" s="334"/>
      <c r="JXP57" s="334"/>
      <c r="JXQ57" s="334"/>
      <c r="JXR57" s="334"/>
      <c r="JXS57" s="334"/>
      <c r="JXT57" s="334"/>
      <c r="JXU57" s="334"/>
      <c r="JXV57" s="334"/>
      <c r="JXW57" s="334"/>
      <c r="JXX57" s="334"/>
      <c r="JXY57" s="334"/>
      <c r="JXZ57" s="334"/>
      <c r="JYA57" s="334"/>
      <c r="JYB57" s="334"/>
      <c r="JYC57" s="334"/>
      <c r="JYD57" s="334"/>
      <c r="JYE57" s="334"/>
      <c r="JYF57" s="334"/>
      <c r="JYG57" s="334"/>
      <c r="JYH57" s="334"/>
      <c r="JYI57" s="334"/>
      <c r="JYJ57" s="334"/>
      <c r="JYK57" s="334"/>
      <c r="JYL57" s="334"/>
      <c r="JYM57" s="334"/>
      <c r="JYN57" s="334"/>
      <c r="JYO57" s="334"/>
      <c r="JYP57" s="334"/>
      <c r="JYQ57" s="334"/>
      <c r="JYR57" s="334"/>
      <c r="JYS57" s="334"/>
      <c r="JYT57" s="334"/>
      <c r="JYU57" s="334"/>
      <c r="JYV57" s="334"/>
      <c r="JYW57" s="334"/>
      <c r="JYX57" s="334"/>
      <c r="JYY57" s="334"/>
      <c r="JYZ57" s="334"/>
      <c r="JZA57" s="334"/>
      <c r="JZB57" s="334"/>
      <c r="JZC57" s="334"/>
      <c r="JZD57" s="334"/>
      <c r="JZE57" s="334"/>
      <c r="JZF57" s="334"/>
      <c r="JZG57" s="334"/>
      <c r="JZH57" s="334"/>
      <c r="JZI57" s="334"/>
      <c r="JZJ57" s="334"/>
      <c r="JZK57" s="334"/>
      <c r="JZL57" s="334"/>
      <c r="JZM57" s="334"/>
      <c r="JZN57" s="334"/>
      <c r="JZO57" s="334"/>
      <c r="JZP57" s="334"/>
      <c r="JZQ57" s="334"/>
      <c r="JZR57" s="334"/>
      <c r="JZS57" s="334"/>
      <c r="JZT57" s="334"/>
      <c r="JZU57" s="334"/>
      <c r="JZV57" s="334"/>
      <c r="JZW57" s="334"/>
      <c r="JZX57" s="334"/>
      <c r="JZY57" s="334"/>
      <c r="JZZ57" s="334"/>
      <c r="KAA57" s="334"/>
      <c r="KAB57" s="334"/>
      <c r="KAC57" s="334"/>
      <c r="KAD57" s="334"/>
      <c r="KAE57" s="334"/>
      <c r="KAF57" s="334"/>
      <c r="KAG57" s="334"/>
      <c r="KAH57" s="334"/>
      <c r="KAI57" s="334"/>
      <c r="KAJ57" s="334"/>
      <c r="KAK57" s="334"/>
      <c r="KAL57" s="334"/>
      <c r="KAM57" s="334"/>
      <c r="KAN57" s="334"/>
      <c r="KAO57" s="334"/>
      <c r="KAP57" s="334"/>
      <c r="KAQ57" s="334"/>
      <c r="KAR57" s="334"/>
      <c r="KAS57" s="334"/>
      <c r="KAT57" s="334"/>
      <c r="KAU57" s="334"/>
      <c r="KAV57" s="334"/>
      <c r="KAW57" s="334"/>
      <c r="KAX57" s="334"/>
      <c r="KAY57" s="334"/>
      <c r="KAZ57" s="334"/>
      <c r="KBA57" s="334"/>
      <c r="KBB57" s="334"/>
      <c r="KBC57" s="334"/>
      <c r="KBD57" s="334"/>
      <c r="KBE57" s="334"/>
      <c r="KBF57" s="334"/>
      <c r="KBG57" s="334"/>
      <c r="KBH57" s="334"/>
      <c r="KBI57" s="334"/>
      <c r="KBJ57" s="334"/>
      <c r="KBK57" s="334"/>
      <c r="KBL57" s="334"/>
      <c r="KBM57" s="334"/>
      <c r="KBN57" s="334"/>
      <c r="KBO57" s="334"/>
      <c r="KBP57" s="334"/>
      <c r="KBQ57" s="334"/>
      <c r="KBR57" s="334"/>
      <c r="KBS57" s="334"/>
      <c r="KBT57" s="334"/>
      <c r="KBU57" s="334"/>
      <c r="KBV57" s="334"/>
      <c r="KBW57" s="334"/>
      <c r="KBX57" s="334"/>
      <c r="KBY57" s="334"/>
      <c r="KBZ57" s="334"/>
      <c r="KCA57" s="334"/>
      <c r="KCB57" s="334"/>
      <c r="KCC57" s="334"/>
      <c r="KCD57" s="334"/>
      <c r="KCE57" s="334"/>
      <c r="KCF57" s="334"/>
      <c r="KCG57" s="334"/>
      <c r="KCH57" s="334"/>
      <c r="KCI57" s="334"/>
      <c r="KCJ57" s="334"/>
      <c r="KCK57" s="334"/>
      <c r="KCL57" s="334"/>
      <c r="KCM57" s="334"/>
      <c r="KCN57" s="334"/>
      <c r="KCO57" s="334"/>
      <c r="KCP57" s="334"/>
      <c r="KCQ57" s="334"/>
      <c r="KCR57" s="334"/>
      <c r="KCS57" s="334"/>
      <c r="KCT57" s="334"/>
      <c r="KCU57" s="334"/>
      <c r="KCV57" s="334"/>
      <c r="KCW57" s="334"/>
      <c r="KCX57" s="334"/>
      <c r="KCY57" s="334"/>
      <c r="KCZ57" s="334"/>
      <c r="KDA57" s="334"/>
      <c r="KDB57" s="334"/>
      <c r="KDC57" s="334"/>
      <c r="KDD57" s="334"/>
      <c r="KDE57" s="334"/>
      <c r="KDF57" s="334"/>
      <c r="KDG57" s="334"/>
      <c r="KDH57" s="334"/>
      <c r="KDI57" s="334"/>
      <c r="KDJ57" s="334"/>
      <c r="KDK57" s="334"/>
      <c r="KDL57" s="334"/>
      <c r="KDM57" s="334"/>
      <c r="KDN57" s="334"/>
      <c r="KDO57" s="334"/>
      <c r="KDP57" s="334"/>
      <c r="KDQ57" s="334"/>
      <c r="KDR57" s="334"/>
      <c r="KDS57" s="334"/>
      <c r="KDT57" s="334"/>
      <c r="KDU57" s="334"/>
      <c r="KDV57" s="334"/>
      <c r="KDW57" s="334"/>
      <c r="KDX57" s="334"/>
      <c r="KDY57" s="334"/>
      <c r="KDZ57" s="334"/>
      <c r="KEA57" s="334"/>
      <c r="KEB57" s="334"/>
      <c r="KEC57" s="334"/>
      <c r="KED57" s="334"/>
      <c r="KEE57" s="334"/>
      <c r="KEF57" s="334"/>
      <c r="KEG57" s="334"/>
      <c r="KEH57" s="334"/>
      <c r="KEI57" s="334"/>
      <c r="KEJ57" s="334"/>
      <c r="KEK57" s="334"/>
      <c r="KEL57" s="334"/>
      <c r="KEM57" s="334"/>
      <c r="KEN57" s="334"/>
      <c r="KEO57" s="334"/>
      <c r="KEP57" s="334"/>
      <c r="KEQ57" s="334"/>
      <c r="KER57" s="334"/>
      <c r="KES57" s="334"/>
      <c r="KET57" s="334"/>
      <c r="KEU57" s="334"/>
      <c r="KEV57" s="334"/>
      <c r="KEW57" s="334"/>
      <c r="KEX57" s="334"/>
      <c r="KEY57" s="334"/>
      <c r="KEZ57" s="334"/>
      <c r="KFA57" s="334"/>
      <c r="KFB57" s="334"/>
      <c r="KFC57" s="334"/>
      <c r="KFD57" s="334"/>
      <c r="KFE57" s="334"/>
      <c r="KFF57" s="334"/>
      <c r="KFG57" s="334"/>
      <c r="KFH57" s="334"/>
      <c r="KFI57" s="334"/>
      <c r="KFJ57" s="334"/>
      <c r="KFK57" s="334"/>
      <c r="KFL57" s="334"/>
      <c r="KFM57" s="334"/>
      <c r="KFN57" s="334"/>
      <c r="KFO57" s="334"/>
      <c r="KFP57" s="334"/>
      <c r="KFQ57" s="334"/>
      <c r="KFR57" s="334"/>
      <c r="KFS57" s="334"/>
      <c r="KFT57" s="334"/>
      <c r="KFU57" s="334"/>
      <c r="KFV57" s="334"/>
      <c r="KFW57" s="334"/>
      <c r="KFX57" s="334"/>
      <c r="KFY57" s="334"/>
      <c r="KFZ57" s="334"/>
      <c r="KGA57" s="334"/>
      <c r="KGB57" s="334"/>
      <c r="KGC57" s="334"/>
      <c r="KGD57" s="334"/>
      <c r="KGE57" s="334"/>
      <c r="KGF57" s="334"/>
      <c r="KGG57" s="334"/>
      <c r="KGH57" s="334"/>
      <c r="KGI57" s="334"/>
      <c r="KGJ57" s="334"/>
      <c r="KGK57" s="334"/>
      <c r="KGL57" s="334"/>
      <c r="KGM57" s="334"/>
      <c r="KGN57" s="334"/>
      <c r="KGO57" s="334"/>
      <c r="KGP57" s="334"/>
      <c r="KGQ57" s="334"/>
      <c r="KGR57" s="334"/>
      <c r="KGS57" s="334"/>
      <c r="KGT57" s="334"/>
      <c r="KGU57" s="334"/>
      <c r="KGV57" s="334"/>
      <c r="KGW57" s="334"/>
      <c r="KGX57" s="334"/>
      <c r="KGY57" s="334"/>
      <c r="KGZ57" s="334"/>
      <c r="KHA57" s="334"/>
      <c r="KHB57" s="334"/>
      <c r="KHC57" s="334"/>
      <c r="KHD57" s="334"/>
      <c r="KHE57" s="334"/>
      <c r="KHF57" s="334"/>
      <c r="KHG57" s="334"/>
      <c r="KHH57" s="334"/>
      <c r="KHI57" s="334"/>
      <c r="KHJ57" s="334"/>
      <c r="KHK57" s="334"/>
      <c r="KHL57" s="334"/>
      <c r="KHM57" s="334"/>
      <c r="KHN57" s="334"/>
      <c r="KHO57" s="334"/>
      <c r="KHP57" s="334"/>
      <c r="KHQ57" s="334"/>
      <c r="KHR57" s="334"/>
      <c r="KHS57" s="334"/>
      <c r="KHT57" s="334"/>
      <c r="KHU57" s="334"/>
      <c r="KHV57" s="334"/>
      <c r="KHW57" s="334"/>
      <c r="KHX57" s="334"/>
      <c r="KHY57" s="334"/>
      <c r="KHZ57" s="334"/>
      <c r="KIA57" s="334"/>
      <c r="KIB57" s="334"/>
      <c r="KIC57" s="334"/>
      <c r="KID57" s="334"/>
      <c r="KIE57" s="334"/>
      <c r="KIF57" s="334"/>
      <c r="KIG57" s="334"/>
      <c r="KIH57" s="334"/>
      <c r="KII57" s="334"/>
      <c r="KIJ57" s="334"/>
      <c r="KIK57" s="334"/>
      <c r="KIL57" s="334"/>
      <c r="KIM57" s="334"/>
      <c r="KIN57" s="334"/>
      <c r="KIO57" s="334"/>
      <c r="KIP57" s="334"/>
      <c r="KIQ57" s="334"/>
      <c r="KIR57" s="334"/>
      <c r="KIS57" s="334"/>
      <c r="KIT57" s="334"/>
      <c r="KIU57" s="334"/>
      <c r="KIV57" s="334"/>
      <c r="KIW57" s="334"/>
      <c r="KIX57" s="334"/>
      <c r="KIY57" s="334"/>
      <c r="KIZ57" s="334"/>
      <c r="KJA57" s="334"/>
      <c r="KJB57" s="334"/>
      <c r="KJC57" s="334"/>
      <c r="KJD57" s="334"/>
      <c r="KJE57" s="334"/>
      <c r="KJF57" s="334"/>
      <c r="KJG57" s="334"/>
      <c r="KJH57" s="334"/>
      <c r="KJI57" s="334"/>
      <c r="KJJ57" s="334"/>
      <c r="KJK57" s="334"/>
      <c r="KJL57" s="334"/>
      <c r="KJM57" s="334"/>
      <c r="KJN57" s="334"/>
      <c r="KJO57" s="334"/>
      <c r="KJP57" s="334"/>
      <c r="KJQ57" s="334"/>
      <c r="KJR57" s="334"/>
      <c r="KJS57" s="334"/>
      <c r="KJT57" s="334"/>
      <c r="KJU57" s="334"/>
      <c r="KJV57" s="334"/>
      <c r="KJW57" s="334"/>
      <c r="KJX57" s="334"/>
      <c r="KJY57" s="334"/>
      <c r="KJZ57" s="334"/>
      <c r="KKA57" s="334"/>
      <c r="KKB57" s="334"/>
      <c r="KKC57" s="334"/>
      <c r="KKD57" s="334"/>
      <c r="KKE57" s="334"/>
      <c r="KKF57" s="334"/>
      <c r="KKG57" s="334"/>
      <c r="KKH57" s="334"/>
      <c r="KKI57" s="334"/>
      <c r="KKJ57" s="334"/>
      <c r="KKK57" s="334"/>
      <c r="KKL57" s="334"/>
      <c r="KKM57" s="334"/>
      <c r="KKN57" s="334"/>
      <c r="KKO57" s="334"/>
      <c r="KKP57" s="334"/>
      <c r="KKQ57" s="334"/>
      <c r="KKR57" s="334"/>
      <c r="KKS57" s="334"/>
      <c r="KKT57" s="334"/>
      <c r="KKU57" s="334"/>
      <c r="KKV57" s="334"/>
      <c r="KKW57" s="334"/>
      <c r="KKX57" s="334"/>
      <c r="KKY57" s="334"/>
      <c r="KKZ57" s="334"/>
      <c r="KLA57" s="334"/>
      <c r="KLB57" s="334"/>
      <c r="KLC57" s="334"/>
      <c r="KLD57" s="334"/>
      <c r="KLE57" s="334"/>
      <c r="KLF57" s="334"/>
      <c r="KLG57" s="334"/>
      <c r="KLH57" s="334"/>
      <c r="KLI57" s="334"/>
      <c r="KLJ57" s="334"/>
      <c r="KLK57" s="334"/>
      <c r="KLL57" s="334"/>
      <c r="KLM57" s="334"/>
      <c r="KLN57" s="334"/>
      <c r="KLO57" s="334"/>
      <c r="KLP57" s="334"/>
      <c r="KLQ57" s="334"/>
      <c r="KLR57" s="334"/>
      <c r="KLS57" s="334"/>
      <c r="KLT57" s="334"/>
      <c r="KLU57" s="334"/>
      <c r="KLV57" s="334"/>
      <c r="KLW57" s="334"/>
      <c r="KLX57" s="334"/>
      <c r="KLY57" s="334"/>
      <c r="KLZ57" s="334"/>
      <c r="KMA57" s="334"/>
      <c r="KMB57" s="334"/>
      <c r="KMC57" s="334"/>
      <c r="KMD57" s="334"/>
      <c r="KME57" s="334"/>
      <c r="KMF57" s="334"/>
      <c r="KMG57" s="334"/>
      <c r="KMH57" s="334"/>
      <c r="KMI57" s="334"/>
      <c r="KMJ57" s="334"/>
      <c r="KMK57" s="334"/>
      <c r="KML57" s="334"/>
      <c r="KMM57" s="334"/>
      <c r="KMN57" s="334"/>
      <c r="KMO57" s="334"/>
      <c r="KMP57" s="334"/>
      <c r="KMQ57" s="334"/>
      <c r="KMR57" s="334"/>
      <c r="KMS57" s="334"/>
      <c r="KMT57" s="334"/>
      <c r="KMU57" s="334"/>
      <c r="KMV57" s="334"/>
      <c r="KMW57" s="334"/>
      <c r="KMX57" s="334"/>
      <c r="KMY57" s="334"/>
      <c r="KMZ57" s="334"/>
      <c r="KNA57" s="334"/>
      <c r="KNB57" s="334"/>
      <c r="KNC57" s="334"/>
      <c r="KND57" s="334"/>
      <c r="KNE57" s="334"/>
      <c r="KNF57" s="334"/>
      <c r="KNG57" s="334"/>
      <c r="KNH57" s="334"/>
      <c r="KNI57" s="334"/>
      <c r="KNJ57" s="334"/>
      <c r="KNK57" s="334"/>
      <c r="KNL57" s="334"/>
      <c r="KNM57" s="334"/>
      <c r="KNN57" s="334"/>
      <c r="KNO57" s="334"/>
      <c r="KNP57" s="334"/>
      <c r="KNQ57" s="334"/>
      <c r="KNR57" s="334"/>
      <c r="KNS57" s="334"/>
      <c r="KNT57" s="334"/>
      <c r="KNU57" s="334"/>
      <c r="KNV57" s="334"/>
      <c r="KNW57" s="334"/>
      <c r="KNX57" s="334"/>
      <c r="KNY57" s="334"/>
      <c r="KNZ57" s="334"/>
      <c r="KOA57" s="334"/>
      <c r="KOB57" s="334"/>
      <c r="KOC57" s="334"/>
      <c r="KOD57" s="334"/>
      <c r="KOE57" s="334"/>
      <c r="KOF57" s="334"/>
      <c r="KOG57" s="334"/>
      <c r="KOH57" s="334"/>
      <c r="KOI57" s="334"/>
      <c r="KOJ57" s="334"/>
      <c r="KOK57" s="334"/>
      <c r="KOL57" s="334"/>
      <c r="KOM57" s="334"/>
      <c r="KON57" s="334"/>
      <c r="KOO57" s="334"/>
      <c r="KOP57" s="334"/>
      <c r="KOQ57" s="334"/>
      <c r="KOR57" s="334"/>
      <c r="KOS57" s="334"/>
      <c r="KOT57" s="334"/>
      <c r="KOU57" s="334"/>
      <c r="KOV57" s="334"/>
      <c r="KOW57" s="334"/>
      <c r="KOX57" s="334"/>
      <c r="KOY57" s="334"/>
      <c r="KOZ57" s="334"/>
      <c r="KPA57" s="334"/>
      <c r="KPB57" s="334"/>
      <c r="KPC57" s="334"/>
      <c r="KPD57" s="334"/>
      <c r="KPE57" s="334"/>
      <c r="KPF57" s="334"/>
      <c r="KPG57" s="334"/>
      <c r="KPH57" s="334"/>
      <c r="KPI57" s="334"/>
      <c r="KPJ57" s="334"/>
      <c r="KPK57" s="334"/>
      <c r="KPL57" s="334"/>
      <c r="KPM57" s="334"/>
      <c r="KPN57" s="334"/>
      <c r="KPO57" s="334"/>
      <c r="KPP57" s="334"/>
      <c r="KPQ57" s="334"/>
      <c r="KPR57" s="334"/>
      <c r="KPS57" s="334"/>
      <c r="KPT57" s="334"/>
      <c r="KPU57" s="334"/>
      <c r="KPV57" s="334"/>
      <c r="KPW57" s="334"/>
      <c r="KPX57" s="334"/>
      <c r="KPY57" s="334"/>
      <c r="KPZ57" s="334"/>
      <c r="KQA57" s="334"/>
      <c r="KQB57" s="334"/>
      <c r="KQC57" s="334"/>
      <c r="KQD57" s="334"/>
      <c r="KQE57" s="334"/>
      <c r="KQF57" s="334"/>
      <c r="KQG57" s="334"/>
      <c r="KQH57" s="334"/>
      <c r="KQI57" s="334"/>
      <c r="KQJ57" s="334"/>
      <c r="KQK57" s="334"/>
      <c r="KQL57" s="334"/>
      <c r="KQM57" s="334"/>
      <c r="KQN57" s="334"/>
      <c r="KQO57" s="334"/>
      <c r="KQP57" s="334"/>
      <c r="KQQ57" s="334"/>
      <c r="KQR57" s="334"/>
      <c r="KQS57" s="334"/>
      <c r="KQT57" s="334"/>
      <c r="KQU57" s="334"/>
      <c r="KQV57" s="334"/>
      <c r="KQW57" s="334"/>
      <c r="KQX57" s="334"/>
      <c r="KQY57" s="334"/>
      <c r="KQZ57" s="334"/>
      <c r="KRA57" s="334"/>
      <c r="KRB57" s="334"/>
      <c r="KRC57" s="334"/>
      <c r="KRD57" s="334"/>
      <c r="KRE57" s="334"/>
      <c r="KRF57" s="334"/>
      <c r="KRG57" s="334"/>
      <c r="KRH57" s="334"/>
      <c r="KRI57" s="334"/>
      <c r="KRJ57" s="334"/>
      <c r="KRK57" s="334"/>
      <c r="KRL57" s="334"/>
      <c r="KRM57" s="334"/>
      <c r="KRN57" s="334"/>
      <c r="KRO57" s="334"/>
      <c r="KRP57" s="334"/>
      <c r="KRQ57" s="334"/>
      <c r="KRR57" s="334"/>
      <c r="KRS57" s="334"/>
      <c r="KRT57" s="334"/>
      <c r="KRU57" s="334"/>
      <c r="KRV57" s="334"/>
      <c r="KRW57" s="334"/>
      <c r="KRX57" s="334"/>
      <c r="KRY57" s="334"/>
      <c r="KRZ57" s="334"/>
      <c r="KSA57" s="334"/>
      <c r="KSB57" s="334"/>
      <c r="KSC57" s="334"/>
      <c r="KSD57" s="334"/>
      <c r="KSE57" s="334"/>
      <c r="KSF57" s="334"/>
      <c r="KSG57" s="334"/>
      <c r="KSH57" s="334"/>
      <c r="KSI57" s="334"/>
      <c r="KSJ57" s="334"/>
      <c r="KSK57" s="334"/>
      <c r="KSL57" s="334"/>
      <c r="KSM57" s="334"/>
      <c r="KSN57" s="334"/>
      <c r="KSO57" s="334"/>
      <c r="KSP57" s="334"/>
      <c r="KSQ57" s="334"/>
      <c r="KSR57" s="334"/>
      <c r="KSS57" s="334"/>
      <c r="KST57" s="334"/>
      <c r="KSU57" s="334"/>
      <c r="KSV57" s="334"/>
      <c r="KSW57" s="334"/>
      <c r="KSX57" s="334"/>
      <c r="KSY57" s="334"/>
      <c r="KSZ57" s="334"/>
      <c r="KTA57" s="334"/>
      <c r="KTB57" s="334"/>
      <c r="KTC57" s="334"/>
      <c r="KTD57" s="334"/>
      <c r="KTE57" s="334"/>
      <c r="KTF57" s="334"/>
      <c r="KTG57" s="334"/>
      <c r="KTH57" s="334"/>
      <c r="KTI57" s="334"/>
      <c r="KTJ57" s="334"/>
      <c r="KTK57" s="334"/>
      <c r="KTL57" s="334"/>
      <c r="KTM57" s="334"/>
      <c r="KTN57" s="334"/>
      <c r="KTO57" s="334"/>
      <c r="KTP57" s="334"/>
      <c r="KTQ57" s="334"/>
      <c r="KTR57" s="334"/>
      <c r="KTS57" s="334"/>
      <c r="KTT57" s="334"/>
      <c r="KTU57" s="334"/>
      <c r="KTV57" s="334"/>
      <c r="KTW57" s="334"/>
      <c r="KTX57" s="334"/>
      <c r="KTY57" s="334"/>
      <c r="KTZ57" s="334"/>
      <c r="KUA57" s="334"/>
      <c r="KUB57" s="334"/>
      <c r="KUC57" s="334"/>
      <c r="KUD57" s="334"/>
      <c r="KUE57" s="334"/>
      <c r="KUF57" s="334"/>
      <c r="KUG57" s="334"/>
      <c r="KUH57" s="334"/>
      <c r="KUI57" s="334"/>
      <c r="KUJ57" s="334"/>
      <c r="KUK57" s="334"/>
      <c r="KUL57" s="334"/>
      <c r="KUM57" s="334"/>
      <c r="KUN57" s="334"/>
      <c r="KUO57" s="334"/>
      <c r="KUP57" s="334"/>
      <c r="KUQ57" s="334"/>
      <c r="KUR57" s="334"/>
      <c r="KUS57" s="334"/>
      <c r="KUT57" s="334"/>
      <c r="KUU57" s="334"/>
      <c r="KUV57" s="334"/>
      <c r="KUW57" s="334"/>
      <c r="KUX57" s="334"/>
      <c r="KUY57" s="334"/>
      <c r="KUZ57" s="334"/>
      <c r="KVA57" s="334"/>
      <c r="KVB57" s="334"/>
      <c r="KVC57" s="334"/>
      <c r="KVD57" s="334"/>
      <c r="KVE57" s="334"/>
      <c r="KVF57" s="334"/>
      <c r="KVG57" s="334"/>
      <c r="KVH57" s="334"/>
      <c r="KVI57" s="334"/>
      <c r="KVJ57" s="334"/>
      <c r="KVK57" s="334"/>
      <c r="KVL57" s="334"/>
      <c r="KVM57" s="334"/>
      <c r="KVN57" s="334"/>
      <c r="KVO57" s="334"/>
      <c r="KVP57" s="334"/>
      <c r="KVQ57" s="334"/>
      <c r="KVR57" s="334"/>
      <c r="KVS57" s="334"/>
      <c r="KVT57" s="334"/>
      <c r="KVU57" s="334"/>
      <c r="KVV57" s="334"/>
      <c r="KVW57" s="334"/>
      <c r="KVX57" s="334"/>
      <c r="KVY57" s="334"/>
      <c r="KVZ57" s="334"/>
      <c r="KWA57" s="334"/>
      <c r="KWB57" s="334"/>
      <c r="KWC57" s="334"/>
      <c r="KWD57" s="334"/>
      <c r="KWE57" s="334"/>
      <c r="KWF57" s="334"/>
      <c r="KWG57" s="334"/>
      <c r="KWH57" s="334"/>
      <c r="KWI57" s="334"/>
      <c r="KWJ57" s="334"/>
      <c r="KWK57" s="334"/>
      <c r="KWL57" s="334"/>
      <c r="KWM57" s="334"/>
      <c r="KWN57" s="334"/>
      <c r="KWO57" s="334"/>
      <c r="KWP57" s="334"/>
      <c r="KWQ57" s="334"/>
      <c r="KWR57" s="334"/>
      <c r="KWS57" s="334"/>
      <c r="KWT57" s="334"/>
      <c r="KWU57" s="334"/>
      <c r="KWV57" s="334"/>
      <c r="KWW57" s="334"/>
      <c r="KWX57" s="334"/>
      <c r="KWY57" s="334"/>
      <c r="KWZ57" s="334"/>
      <c r="KXA57" s="334"/>
      <c r="KXB57" s="334"/>
      <c r="KXC57" s="334"/>
      <c r="KXD57" s="334"/>
      <c r="KXE57" s="334"/>
      <c r="KXF57" s="334"/>
      <c r="KXG57" s="334"/>
      <c r="KXH57" s="334"/>
      <c r="KXI57" s="334"/>
      <c r="KXJ57" s="334"/>
      <c r="KXK57" s="334"/>
      <c r="KXL57" s="334"/>
      <c r="KXM57" s="334"/>
      <c r="KXN57" s="334"/>
      <c r="KXO57" s="334"/>
      <c r="KXP57" s="334"/>
      <c r="KXQ57" s="334"/>
      <c r="KXR57" s="334"/>
      <c r="KXS57" s="334"/>
      <c r="KXT57" s="334"/>
      <c r="KXU57" s="334"/>
      <c r="KXV57" s="334"/>
      <c r="KXW57" s="334"/>
      <c r="KXX57" s="334"/>
      <c r="KXY57" s="334"/>
      <c r="KXZ57" s="334"/>
      <c r="KYA57" s="334"/>
      <c r="KYB57" s="334"/>
      <c r="KYC57" s="334"/>
      <c r="KYD57" s="334"/>
      <c r="KYE57" s="334"/>
      <c r="KYF57" s="334"/>
      <c r="KYG57" s="334"/>
      <c r="KYH57" s="334"/>
      <c r="KYI57" s="334"/>
      <c r="KYJ57" s="334"/>
      <c r="KYK57" s="334"/>
      <c r="KYL57" s="334"/>
      <c r="KYM57" s="334"/>
      <c r="KYN57" s="334"/>
      <c r="KYO57" s="334"/>
      <c r="KYP57" s="334"/>
      <c r="KYQ57" s="334"/>
      <c r="KYR57" s="334"/>
      <c r="KYS57" s="334"/>
      <c r="KYT57" s="334"/>
      <c r="KYU57" s="334"/>
      <c r="KYV57" s="334"/>
      <c r="KYW57" s="334"/>
      <c r="KYX57" s="334"/>
      <c r="KYY57" s="334"/>
      <c r="KYZ57" s="334"/>
      <c r="KZA57" s="334"/>
      <c r="KZB57" s="334"/>
      <c r="KZC57" s="334"/>
      <c r="KZD57" s="334"/>
      <c r="KZE57" s="334"/>
      <c r="KZF57" s="334"/>
      <c r="KZG57" s="334"/>
      <c r="KZH57" s="334"/>
      <c r="KZI57" s="334"/>
      <c r="KZJ57" s="334"/>
      <c r="KZK57" s="334"/>
      <c r="KZL57" s="334"/>
      <c r="KZM57" s="334"/>
      <c r="KZN57" s="334"/>
      <c r="KZO57" s="334"/>
      <c r="KZP57" s="334"/>
      <c r="KZQ57" s="334"/>
      <c r="KZR57" s="334"/>
      <c r="KZS57" s="334"/>
      <c r="KZT57" s="334"/>
      <c r="KZU57" s="334"/>
      <c r="KZV57" s="334"/>
      <c r="KZW57" s="334"/>
      <c r="KZX57" s="334"/>
      <c r="KZY57" s="334"/>
      <c r="KZZ57" s="334"/>
      <c r="LAA57" s="334"/>
      <c r="LAB57" s="334"/>
      <c r="LAC57" s="334"/>
      <c r="LAD57" s="334"/>
      <c r="LAE57" s="334"/>
      <c r="LAF57" s="334"/>
      <c r="LAG57" s="334"/>
      <c r="LAH57" s="334"/>
      <c r="LAI57" s="334"/>
      <c r="LAJ57" s="334"/>
      <c r="LAK57" s="334"/>
      <c r="LAL57" s="334"/>
      <c r="LAM57" s="334"/>
      <c r="LAN57" s="334"/>
      <c r="LAO57" s="334"/>
      <c r="LAP57" s="334"/>
      <c r="LAQ57" s="334"/>
      <c r="LAR57" s="334"/>
      <c r="LAS57" s="334"/>
      <c r="LAT57" s="334"/>
      <c r="LAU57" s="334"/>
      <c r="LAV57" s="334"/>
      <c r="LAW57" s="334"/>
      <c r="LAX57" s="334"/>
      <c r="LAY57" s="334"/>
      <c r="LAZ57" s="334"/>
      <c r="LBA57" s="334"/>
      <c r="LBB57" s="334"/>
      <c r="LBC57" s="334"/>
      <c r="LBD57" s="334"/>
      <c r="LBE57" s="334"/>
      <c r="LBF57" s="334"/>
      <c r="LBG57" s="334"/>
      <c r="LBH57" s="334"/>
      <c r="LBI57" s="334"/>
      <c r="LBJ57" s="334"/>
      <c r="LBK57" s="334"/>
      <c r="LBL57" s="334"/>
      <c r="LBM57" s="334"/>
      <c r="LBN57" s="334"/>
      <c r="LBO57" s="334"/>
      <c r="LBP57" s="334"/>
      <c r="LBQ57" s="334"/>
      <c r="LBR57" s="334"/>
      <c r="LBS57" s="334"/>
      <c r="LBT57" s="334"/>
      <c r="LBU57" s="334"/>
      <c r="LBV57" s="334"/>
      <c r="LBW57" s="334"/>
      <c r="LBX57" s="334"/>
      <c r="LBY57" s="334"/>
      <c r="LBZ57" s="334"/>
      <c r="LCA57" s="334"/>
      <c r="LCB57" s="334"/>
      <c r="LCC57" s="334"/>
      <c r="LCD57" s="334"/>
      <c r="LCE57" s="334"/>
      <c r="LCF57" s="334"/>
      <c r="LCG57" s="334"/>
      <c r="LCH57" s="334"/>
      <c r="LCI57" s="334"/>
      <c r="LCJ57" s="334"/>
      <c r="LCK57" s="334"/>
      <c r="LCL57" s="334"/>
      <c r="LCM57" s="334"/>
      <c r="LCN57" s="334"/>
      <c r="LCO57" s="334"/>
      <c r="LCP57" s="334"/>
      <c r="LCQ57" s="334"/>
      <c r="LCR57" s="334"/>
      <c r="LCS57" s="334"/>
      <c r="LCT57" s="334"/>
      <c r="LCU57" s="334"/>
      <c r="LCV57" s="334"/>
      <c r="LCW57" s="334"/>
      <c r="LCX57" s="334"/>
      <c r="LCY57" s="334"/>
      <c r="LCZ57" s="334"/>
      <c r="LDA57" s="334"/>
      <c r="LDB57" s="334"/>
      <c r="LDC57" s="334"/>
      <c r="LDD57" s="334"/>
      <c r="LDE57" s="334"/>
      <c r="LDF57" s="334"/>
      <c r="LDG57" s="334"/>
      <c r="LDH57" s="334"/>
      <c r="LDI57" s="334"/>
      <c r="LDJ57" s="334"/>
      <c r="LDK57" s="334"/>
      <c r="LDL57" s="334"/>
      <c r="LDM57" s="334"/>
      <c r="LDN57" s="334"/>
      <c r="LDO57" s="334"/>
      <c r="LDP57" s="334"/>
      <c r="LDQ57" s="334"/>
      <c r="LDR57" s="334"/>
      <c r="LDS57" s="334"/>
      <c r="LDT57" s="334"/>
      <c r="LDU57" s="334"/>
      <c r="LDV57" s="334"/>
      <c r="LDW57" s="334"/>
      <c r="LDX57" s="334"/>
      <c r="LDY57" s="334"/>
      <c r="LDZ57" s="334"/>
      <c r="LEA57" s="334"/>
      <c r="LEB57" s="334"/>
      <c r="LEC57" s="334"/>
      <c r="LED57" s="334"/>
      <c r="LEE57" s="334"/>
      <c r="LEF57" s="334"/>
      <c r="LEG57" s="334"/>
      <c r="LEH57" s="334"/>
      <c r="LEI57" s="334"/>
      <c r="LEJ57" s="334"/>
      <c r="LEK57" s="334"/>
      <c r="LEL57" s="334"/>
      <c r="LEM57" s="334"/>
      <c r="LEN57" s="334"/>
      <c r="LEO57" s="334"/>
      <c r="LEP57" s="334"/>
      <c r="LEQ57" s="334"/>
      <c r="LER57" s="334"/>
      <c r="LES57" s="334"/>
      <c r="LET57" s="334"/>
      <c r="LEU57" s="334"/>
      <c r="LEV57" s="334"/>
      <c r="LEW57" s="334"/>
      <c r="LEX57" s="334"/>
      <c r="LEY57" s="334"/>
      <c r="LEZ57" s="334"/>
      <c r="LFA57" s="334"/>
      <c r="LFB57" s="334"/>
      <c r="LFC57" s="334"/>
      <c r="LFD57" s="334"/>
      <c r="LFE57" s="334"/>
      <c r="LFF57" s="334"/>
      <c r="LFG57" s="334"/>
      <c r="LFH57" s="334"/>
      <c r="LFI57" s="334"/>
      <c r="LFJ57" s="334"/>
      <c r="LFK57" s="334"/>
      <c r="LFL57" s="334"/>
      <c r="LFM57" s="334"/>
      <c r="LFN57" s="334"/>
      <c r="LFO57" s="334"/>
      <c r="LFP57" s="334"/>
      <c r="LFQ57" s="334"/>
      <c r="LFR57" s="334"/>
      <c r="LFS57" s="334"/>
      <c r="LFT57" s="334"/>
      <c r="LFU57" s="334"/>
      <c r="LFV57" s="334"/>
      <c r="LFW57" s="334"/>
      <c r="LFX57" s="334"/>
      <c r="LFY57" s="334"/>
      <c r="LFZ57" s="334"/>
      <c r="LGA57" s="334"/>
      <c r="LGB57" s="334"/>
      <c r="LGC57" s="334"/>
      <c r="LGD57" s="334"/>
      <c r="LGE57" s="334"/>
      <c r="LGF57" s="334"/>
      <c r="LGG57" s="334"/>
      <c r="LGH57" s="334"/>
      <c r="LGI57" s="334"/>
      <c r="LGJ57" s="334"/>
      <c r="LGK57" s="334"/>
      <c r="LGL57" s="334"/>
      <c r="LGM57" s="334"/>
      <c r="LGN57" s="334"/>
      <c r="LGO57" s="334"/>
      <c r="LGP57" s="334"/>
      <c r="LGQ57" s="334"/>
      <c r="LGR57" s="334"/>
      <c r="LGS57" s="334"/>
      <c r="LGT57" s="334"/>
      <c r="LGU57" s="334"/>
      <c r="LGV57" s="334"/>
      <c r="LGW57" s="334"/>
      <c r="LGX57" s="334"/>
      <c r="LGY57" s="334"/>
      <c r="LGZ57" s="334"/>
      <c r="LHA57" s="334"/>
      <c r="LHB57" s="334"/>
      <c r="LHC57" s="334"/>
      <c r="LHD57" s="334"/>
      <c r="LHE57" s="334"/>
      <c r="LHF57" s="334"/>
      <c r="LHG57" s="334"/>
      <c r="LHH57" s="334"/>
      <c r="LHI57" s="334"/>
      <c r="LHJ57" s="334"/>
      <c r="LHK57" s="334"/>
      <c r="LHL57" s="334"/>
      <c r="LHM57" s="334"/>
      <c r="LHN57" s="334"/>
      <c r="LHO57" s="334"/>
      <c r="LHP57" s="334"/>
      <c r="LHQ57" s="334"/>
      <c r="LHR57" s="334"/>
      <c r="LHS57" s="334"/>
      <c r="LHT57" s="334"/>
      <c r="LHU57" s="334"/>
      <c r="LHV57" s="334"/>
      <c r="LHW57" s="334"/>
      <c r="LHX57" s="334"/>
      <c r="LHY57" s="334"/>
      <c r="LHZ57" s="334"/>
      <c r="LIA57" s="334"/>
      <c r="LIB57" s="334"/>
      <c r="LIC57" s="334"/>
      <c r="LID57" s="334"/>
      <c r="LIE57" s="334"/>
      <c r="LIF57" s="334"/>
      <c r="LIG57" s="334"/>
      <c r="LIH57" s="334"/>
      <c r="LII57" s="334"/>
      <c r="LIJ57" s="334"/>
      <c r="LIK57" s="334"/>
      <c r="LIL57" s="334"/>
      <c r="LIM57" s="334"/>
      <c r="LIN57" s="334"/>
      <c r="LIO57" s="334"/>
      <c r="LIP57" s="334"/>
      <c r="LIQ57" s="334"/>
      <c r="LIR57" s="334"/>
      <c r="LIS57" s="334"/>
      <c r="LIT57" s="334"/>
      <c r="LIU57" s="334"/>
      <c r="LIV57" s="334"/>
      <c r="LIW57" s="334"/>
      <c r="LIX57" s="334"/>
      <c r="LIY57" s="334"/>
      <c r="LIZ57" s="334"/>
      <c r="LJA57" s="334"/>
      <c r="LJB57" s="334"/>
      <c r="LJC57" s="334"/>
      <c r="LJD57" s="334"/>
      <c r="LJE57" s="334"/>
      <c r="LJF57" s="334"/>
      <c r="LJG57" s="334"/>
      <c r="LJH57" s="334"/>
      <c r="LJI57" s="334"/>
      <c r="LJJ57" s="334"/>
      <c r="LJK57" s="334"/>
      <c r="LJL57" s="334"/>
      <c r="LJM57" s="334"/>
      <c r="LJN57" s="334"/>
      <c r="LJO57" s="334"/>
      <c r="LJP57" s="334"/>
      <c r="LJQ57" s="334"/>
      <c r="LJR57" s="334"/>
      <c r="LJS57" s="334"/>
      <c r="LJT57" s="334"/>
      <c r="LJU57" s="334"/>
      <c r="LJV57" s="334"/>
      <c r="LJW57" s="334"/>
      <c r="LJX57" s="334"/>
      <c r="LJY57" s="334"/>
      <c r="LJZ57" s="334"/>
      <c r="LKA57" s="334"/>
      <c r="LKB57" s="334"/>
      <c r="LKC57" s="334"/>
      <c r="LKD57" s="334"/>
      <c r="LKE57" s="334"/>
      <c r="LKF57" s="334"/>
      <c r="LKG57" s="334"/>
      <c r="LKH57" s="334"/>
      <c r="LKI57" s="334"/>
      <c r="LKJ57" s="334"/>
      <c r="LKK57" s="334"/>
      <c r="LKL57" s="334"/>
      <c r="LKM57" s="334"/>
      <c r="LKN57" s="334"/>
      <c r="LKO57" s="334"/>
      <c r="LKP57" s="334"/>
      <c r="LKQ57" s="334"/>
      <c r="LKR57" s="334"/>
      <c r="LKS57" s="334"/>
      <c r="LKT57" s="334"/>
      <c r="LKU57" s="334"/>
      <c r="LKV57" s="334"/>
      <c r="LKW57" s="334"/>
      <c r="LKX57" s="334"/>
      <c r="LKY57" s="334"/>
      <c r="LKZ57" s="334"/>
      <c r="LLA57" s="334"/>
      <c r="LLB57" s="334"/>
      <c r="LLC57" s="334"/>
      <c r="LLD57" s="334"/>
      <c r="LLE57" s="334"/>
      <c r="LLF57" s="334"/>
      <c r="LLG57" s="334"/>
      <c r="LLH57" s="334"/>
      <c r="LLI57" s="334"/>
      <c r="LLJ57" s="334"/>
      <c r="LLK57" s="334"/>
      <c r="LLL57" s="334"/>
      <c r="LLM57" s="334"/>
      <c r="LLN57" s="334"/>
      <c r="LLO57" s="334"/>
      <c r="LLP57" s="334"/>
      <c r="LLQ57" s="334"/>
      <c r="LLR57" s="334"/>
      <c r="LLS57" s="334"/>
      <c r="LLT57" s="334"/>
      <c r="LLU57" s="334"/>
      <c r="LLV57" s="334"/>
      <c r="LLW57" s="334"/>
      <c r="LLX57" s="334"/>
      <c r="LLY57" s="334"/>
      <c r="LLZ57" s="334"/>
      <c r="LMA57" s="334"/>
      <c r="LMB57" s="334"/>
      <c r="LMC57" s="334"/>
      <c r="LMD57" s="334"/>
      <c r="LME57" s="334"/>
      <c r="LMF57" s="334"/>
      <c r="LMG57" s="334"/>
      <c r="LMH57" s="334"/>
      <c r="LMI57" s="334"/>
      <c r="LMJ57" s="334"/>
      <c r="LMK57" s="334"/>
      <c r="LML57" s="334"/>
      <c r="LMM57" s="334"/>
      <c r="LMN57" s="334"/>
      <c r="LMO57" s="334"/>
      <c r="LMP57" s="334"/>
      <c r="LMQ57" s="334"/>
      <c r="LMR57" s="334"/>
      <c r="LMS57" s="334"/>
      <c r="LMT57" s="334"/>
      <c r="LMU57" s="334"/>
      <c r="LMV57" s="334"/>
      <c r="LMW57" s="334"/>
      <c r="LMX57" s="334"/>
      <c r="LMY57" s="334"/>
      <c r="LMZ57" s="334"/>
      <c r="LNA57" s="334"/>
      <c r="LNB57" s="334"/>
      <c r="LNC57" s="334"/>
      <c r="LND57" s="334"/>
      <c r="LNE57" s="334"/>
      <c r="LNF57" s="334"/>
      <c r="LNG57" s="334"/>
      <c r="LNH57" s="334"/>
      <c r="LNI57" s="334"/>
      <c r="LNJ57" s="334"/>
      <c r="LNK57" s="334"/>
      <c r="LNL57" s="334"/>
      <c r="LNM57" s="334"/>
      <c r="LNN57" s="334"/>
      <c r="LNO57" s="334"/>
      <c r="LNP57" s="334"/>
      <c r="LNQ57" s="334"/>
      <c r="LNR57" s="334"/>
      <c r="LNS57" s="334"/>
      <c r="LNT57" s="334"/>
      <c r="LNU57" s="334"/>
      <c r="LNV57" s="334"/>
      <c r="LNW57" s="334"/>
      <c r="LNX57" s="334"/>
      <c r="LNY57" s="334"/>
      <c r="LNZ57" s="334"/>
      <c r="LOA57" s="334"/>
      <c r="LOB57" s="334"/>
      <c r="LOC57" s="334"/>
      <c r="LOD57" s="334"/>
      <c r="LOE57" s="334"/>
      <c r="LOF57" s="334"/>
      <c r="LOG57" s="334"/>
      <c r="LOH57" s="334"/>
      <c r="LOI57" s="334"/>
      <c r="LOJ57" s="334"/>
      <c r="LOK57" s="334"/>
      <c r="LOL57" s="334"/>
      <c r="LOM57" s="334"/>
      <c r="LON57" s="334"/>
      <c r="LOO57" s="334"/>
      <c r="LOP57" s="334"/>
      <c r="LOQ57" s="334"/>
      <c r="LOR57" s="334"/>
      <c r="LOS57" s="334"/>
      <c r="LOT57" s="334"/>
      <c r="LOU57" s="334"/>
      <c r="LOV57" s="334"/>
      <c r="LOW57" s="334"/>
      <c r="LOX57" s="334"/>
      <c r="LOY57" s="334"/>
      <c r="LOZ57" s="334"/>
      <c r="LPA57" s="334"/>
      <c r="LPB57" s="334"/>
      <c r="LPC57" s="334"/>
      <c r="LPD57" s="334"/>
      <c r="LPE57" s="334"/>
      <c r="LPF57" s="334"/>
      <c r="LPG57" s="334"/>
      <c r="LPH57" s="334"/>
      <c r="LPI57" s="334"/>
      <c r="LPJ57" s="334"/>
      <c r="LPK57" s="334"/>
      <c r="LPL57" s="334"/>
      <c r="LPM57" s="334"/>
      <c r="LPN57" s="334"/>
      <c r="LPO57" s="334"/>
      <c r="LPP57" s="334"/>
      <c r="LPQ57" s="334"/>
      <c r="LPR57" s="334"/>
      <c r="LPS57" s="334"/>
      <c r="LPT57" s="334"/>
      <c r="LPU57" s="334"/>
      <c r="LPV57" s="334"/>
      <c r="LPW57" s="334"/>
      <c r="LPX57" s="334"/>
      <c r="LPY57" s="334"/>
      <c r="LPZ57" s="334"/>
      <c r="LQA57" s="334"/>
      <c r="LQB57" s="334"/>
      <c r="LQC57" s="334"/>
      <c r="LQD57" s="334"/>
      <c r="LQE57" s="334"/>
      <c r="LQF57" s="334"/>
      <c r="LQG57" s="334"/>
      <c r="LQH57" s="334"/>
      <c r="LQI57" s="334"/>
      <c r="LQJ57" s="334"/>
      <c r="LQK57" s="334"/>
      <c r="LQL57" s="334"/>
      <c r="LQM57" s="334"/>
      <c r="LQN57" s="334"/>
      <c r="LQO57" s="334"/>
      <c r="LQP57" s="334"/>
      <c r="LQQ57" s="334"/>
      <c r="LQR57" s="334"/>
      <c r="LQS57" s="334"/>
      <c r="LQT57" s="334"/>
      <c r="LQU57" s="334"/>
      <c r="LQV57" s="334"/>
      <c r="LQW57" s="334"/>
      <c r="LQX57" s="334"/>
      <c r="LQY57" s="334"/>
      <c r="LQZ57" s="334"/>
      <c r="LRA57" s="334"/>
      <c r="LRB57" s="334"/>
      <c r="LRC57" s="334"/>
      <c r="LRD57" s="334"/>
      <c r="LRE57" s="334"/>
      <c r="LRF57" s="334"/>
      <c r="LRG57" s="334"/>
      <c r="LRH57" s="334"/>
      <c r="LRI57" s="334"/>
      <c r="LRJ57" s="334"/>
      <c r="LRK57" s="334"/>
      <c r="LRL57" s="334"/>
      <c r="LRM57" s="334"/>
      <c r="LRN57" s="334"/>
      <c r="LRO57" s="334"/>
      <c r="LRP57" s="334"/>
      <c r="LRQ57" s="334"/>
      <c r="LRR57" s="334"/>
      <c r="LRS57" s="334"/>
      <c r="LRT57" s="334"/>
      <c r="LRU57" s="334"/>
      <c r="LRV57" s="334"/>
      <c r="LRW57" s="334"/>
      <c r="LRX57" s="334"/>
      <c r="LRY57" s="334"/>
      <c r="LRZ57" s="334"/>
      <c r="LSA57" s="334"/>
      <c r="LSB57" s="334"/>
      <c r="LSC57" s="334"/>
      <c r="LSD57" s="334"/>
      <c r="LSE57" s="334"/>
      <c r="LSF57" s="334"/>
      <c r="LSG57" s="334"/>
      <c r="LSH57" s="334"/>
      <c r="LSI57" s="334"/>
      <c r="LSJ57" s="334"/>
      <c r="LSK57" s="334"/>
      <c r="LSL57" s="334"/>
      <c r="LSM57" s="334"/>
      <c r="LSN57" s="334"/>
      <c r="LSO57" s="334"/>
      <c r="LSP57" s="334"/>
      <c r="LSQ57" s="334"/>
      <c r="LSR57" s="334"/>
      <c r="LSS57" s="334"/>
      <c r="LST57" s="334"/>
      <c r="LSU57" s="334"/>
      <c r="LSV57" s="334"/>
      <c r="LSW57" s="334"/>
      <c r="LSX57" s="334"/>
      <c r="LSY57" s="334"/>
      <c r="LSZ57" s="334"/>
      <c r="LTA57" s="334"/>
      <c r="LTB57" s="334"/>
      <c r="LTC57" s="334"/>
      <c r="LTD57" s="334"/>
      <c r="LTE57" s="334"/>
      <c r="LTF57" s="334"/>
      <c r="LTG57" s="334"/>
      <c r="LTH57" s="334"/>
      <c r="LTI57" s="334"/>
      <c r="LTJ57" s="334"/>
      <c r="LTK57" s="334"/>
      <c r="LTL57" s="334"/>
      <c r="LTM57" s="334"/>
      <c r="LTN57" s="334"/>
      <c r="LTO57" s="334"/>
      <c r="LTP57" s="334"/>
      <c r="LTQ57" s="334"/>
      <c r="LTR57" s="334"/>
      <c r="LTS57" s="334"/>
      <c r="LTT57" s="334"/>
      <c r="LTU57" s="334"/>
      <c r="LTV57" s="334"/>
      <c r="LTW57" s="334"/>
      <c r="LTX57" s="334"/>
      <c r="LTY57" s="334"/>
      <c r="LTZ57" s="334"/>
      <c r="LUA57" s="334"/>
      <c r="LUB57" s="334"/>
      <c r="LUC57" s="334"/>
      <c r="LUD57" s="334"/>
      <c r="LUE57" s="334"/>
      <c r="LUF57" s="334"/>
      <c r="LUG57" s="334"/>
      <c r="LUH57" s="334"/>
      <c r="LUI57" s="334"/>
      <c r="LUJ57" s="334"/>
      <c r="LUK57" s="334"/>
      <c r="LUL57" s="334"/>
      <c r="LUM57" s="334"/>
      <c r="LUN57" s="334"/>
      <c r="LUO57" s="334"/>
      <c r="LUP57" s="334"/>
      <c r="LUQ57" s="334"/>
      <c r="LUR57" s="334"/>
      <c r="LUS57" s="334"/>
      <c r="LUT57" s="334"/>
      <c r="LUU57" s="334"/>
      <c r="LUV57" s="334"/>
      <c r="LUW57" s="334"/>
      <c r="LUX57" s="334"/>
      <c r="LUY57" s="334"/>
      <c r="LUZ57" s="334"/>
      <c r="LVA57" s="334"/>
      <c r="LVB57" s="334"/>
      <c r="LVC57" s="334"/>
      <c r="LVD57" s="334"/>
      <c r="LVE57" s="334"/>
      <c r="LVF57" s="334"/>
      <c r="LVG57" s="334"/>
      <c r="LVH57" s="334"/>
      <c r="LVI57" s="334"/>
      <c r="LVJ57" s="334"/>
      <c r="LVK57" s="334"/>
      <c r="LVL57" s="334"/>
      <c r="LVM57" s="334"/>
      <c r="LVN57" s="334"/>
      <c r="LVO57" s="334"/>
      <c r="LVP57" s="334"/>
      <c r="LVQ57" s="334"/>
      <c r="LVR57" s="334"/>
      <c r="LVS57" s="334"/>
      <c r="LVT57" s="334"/>
      <c r="LVU57" s="334"/>
      <c r="LVV57" s="334"/>
      <c r="LVW57" s="334"/>
      <c r="LVX57" s="334"/>
      <c r="LVY57" s="334"/>
      <c r="LVZ57" s="334"/>
      <c r="LWA57" s="334"/>
      <c r="LWB57" s="334"/>
      <c r="LWC57" s="334"/>
      <c r="LWD57" s="334"/>
      <c r="LWE57" s="334"/>
      <c r="LWF57" s="334"/>
      <c r="LWG57" s="334"/>
      <c r="LWH57" s="334"/>
      <c r="LWI57" s="334"/>
      <c r="LWJ57" s="334"/>
      <c r="LWK57" s="334"/>
      <c r="LWL57" s="334"/>
      <c r="LWM57" s="334"/>
      <c r="LWN57" s="334"/>
      <c r="LWO57" s="334"/>
      <c r="LWP57" s="334"/>
      <c r="LWQ57" s="334"/>
      <c r="LWR57" s="334"/>
      <c r="LWS57" s="334"/>
      <c r="LWT57" s="334"/>
      <c r="LWU57" s="334"/>
      <c r="LWV57" s="334"/>
      <c r="LWW57" s="334"/>
      <c r="LWX57" s="334"/>
      <c r="LWY57" s="334"/>
      <c r="LWZ57" s="334"/>
      <c r="LXA57" s="334"/>
      <c r="LXB57" s="334"/>
      <c r="LXC57" s="334"/>
      <c r="LXD57" s="334"/>
      <c r="LXE57" s="334"/>
      <c r="LXF57" s="334"/>
      <c r="LXG57" s="334"/>
      <c r="LXH57" s="334"/>
      <c r="LXI57" s="334"/>
      <c r="LXJ57" s="334"/>
      <c r="LXK57" s="334"/>
      <c r="LXL57" s="334"/>
      <c r="LXM57" s="334"/>
      <c r="LXN57" s="334"/>
      <c r="LXO57" s="334"/>
      <c r="LXP57" s="334"/>
      <c r="LXQ57" s="334"/>
      <c r="LXR57" s="334"/>
      <c r="LXS57" s="334"/>
      <c r="LXT57" s="334"/>
      <c r="LXU57" s="334"/>
      <c r="LXV57" s="334"/>
      <c r="LXW57" s="334"/>
      <c r="LXX57" s="334"/>
      <c r="LXY57" s="334"/>
      <c r="LXZ57" s="334"/>
      <c r="LYA57" s="334"/>
      <c r="LYB57" s="334"/>
      <c r="LYC57" s="334"/>
      <c r="LYD57" s="334"/>
      <c r="LYE57" s="334"/>
      <c r="LYF57" s="334"/>
      <c r="LYG57" s="334"/>
      <c r="LYH57" s="334"/>
      <c r="LYI57" s="334"/>
      <c r="LYJ57" s="334"/>
      <c r="LYK57" s="334"/>
      <c r="LYL57" s="334"/>
      <c r="LYM57" s="334"/>
      <c r="LYN57" s="334"/>
      <c r="LYO57" s="334"/>
      <c r="LYP57" s="334"/>
      <c r="LYQ57" s="334"/>
      <c r="LYR57" s="334"/>
      <c r="LYS57" s="334"/>
      <c r="LYT57" s="334"/>
      <c r="LYU57" s="334"/>
      <c r="LYV57" s="334"/>
      <c r="LYW57" s="334"/>
      <c r="LYX57" s="334"/>
      <c r="LYY57" s="334"/>
      <c r="LYZ57" s="334"/>
      <c r="LZA57" s="334"/>
      <c r="LZB57" s="334"/>
      <c r="LZC57" s="334"/>
      <c r="LZD57" s="334"/>
      <c r="LZE57" s="334"/>
      <c r="LZF57" s="334"/>
      <c r="LZG57" s="334"/>
      <c r="LZH57" s="334"/>
      <c r="LZI57" s="334"/>
      <c r="LZJ57" s="334"/>
      <c r="LZK57" s="334"/>
      <c r="LZL57" s="334"/>
      <c r="LZM57" s="334"/>
      <c r="LZN57" s="334"/>
      <c r="LZO57" s="334"/>
      <c r="LZP57" s="334"/>
      <c r="LZQ57" s="334"/>
      <c r="LZR57" s="334"/>
      <c r="LZS57" s="334"/>
      <c r="LZT57" s="334"/>
      <c r="LZU57" s="334"/>
      <c r="LZV57" s="334"/>
      <c r="LZW57" s="334"/>
      <c r="LZX57" s="334"/>
      <c r="LZY57" s="334"/>
      <c r="LZZ57" s="334"/>
      <c r="MAA57" s="334"/>
      <c r="MAB57" s="334"/>
      <c r="MAC57" s="334"/>
      <c r="MAD57" s="334"/>
      <c r="MAE57" s="334"/>
      <c r="MAF57" s="334"/>
      <c r="MAG57" s="334"/>
      <c r="MAH57" s="334"/>
      <c r="MAI57" s="334"/>
      <c r="MAJ57" s="334"/>
      <c r="MAK57" s="334"/>
      <c r="MAL57" s="334"/>
      <c r="MAM57" s="334"/>
      <c r="MAN57" s="334"/>
      <c r="MAO57" s="334"/>
      <c r="MAP57" s="334"/>
      <c r="MAQ57" s="334"/>
      <c r="MAR57" s="334"/>
      <c r="MAS57" s="334"/>
      <c r="MAT57" s="334"/>
      <c r="MAU57" s="334"/>
      <c r="MAV57" s="334"/>
      <c r="MAW57" s="334"/>
      <c r="MAX57" s="334"/>
      <c r="MAY57" s="334"/>
      <c r="MAZ57" s="334"/>
      <c r="MBA57" s="334"/>
      <c r="MBB57" s="334"/>
      <c r="MBC57" s="334"/>
      <c r="MBD57" s="334"/>
      <c r="MBE57" s="334"/>
      <c r="MBF57" s="334"/>
      <c r="MBG57" s="334"/>
      <c r="MBH57" s="334"/>
      <c r="MBI57" s="334"/>
      <c r="MBJ57" s="334"/>
      <c r="MBK57" s="334"/>
      <c r="MBL57" s="334"/>
      <c r="MBM57" s="334"/>
      <c r="MBN57" s="334"/>
      <c r="MBO57" s="334"/>
      <c r="MBP57" s="334"/>
      <c r="MBQ57" s="334"/>
      <c r="MBR57" s="334"/>
      <c r="MBS57" s="334"/>
      <c r="MBT57" s="334"/>
      <c r="MBU57" s="334"/>
      <c r="MBV57" s="334"/>
      <c r="MBW57" s="334"/>
      <c r="MBX57" s="334"/>
      <c r="MBY57" s="334"/>
      <c r="MBZ57" s="334"/>
      <c r="MCA57" s="334"/>
      <c r="MCB57" s="334"/>
      <c r="MCC57" s="334"/>
      <c r="MCD57" s="334"/>
      <c r="MCE57" s="334"/>
      <c r="MCF57" s="334"/>
      <c r="MCG57" s="334"/>
      <c r="MCH57" s="334"/>
      <c r="MCI57" s="334"/>
      <c r="MCJ57" s="334"/>
      <c r="MCK57" s="334"/>
      <c r="MCL57" s="334"/>
      <c r="MCM57" s="334"/>
      <c r="MCN57" s="334"/>
      <c r="MCO57" s="334"/>
      <c r="MCP57" s="334"/>
      <c r="MCQ57" s="334"/>
      <c r="MCR57" s="334"/>
      <c r="MCS57" s="334"/>
      <c r="MCT57" s="334"/>
      <c r="MCU57" s="334"/>
      <c r="MCV57" s="334"/>
      <c r="MCW57" s="334"/>
      <c r="MCX57" s="334"/>
      <c r="MCY57" s="334"/>
      <c r="MCZ57" s="334"/>
      <c r="MDA57" s="334"/>
      <c r="MDB57" s="334"/>
      <c r="MDC57" s="334"/>
      <c r="MDD57" s="334"/>
      <c r="MDE57" s="334"/>
      <c r="MDF57" s="334"/>
      <c r="MDG57" s="334"/>
      <c r="MDH57" s="334"/>
      <c r="MDI57" s="334"/>
      <c r="MDJ57" s="334"/>
      <c r="MDK57" s="334"/>
      <c r="MDL57" s="334"/>
      <c r="MDM57" s="334"/>
      <c r="MDN57" s="334"/>
      <c r="MDO57" s="334"/>
      <c r="MDP57" s="334"/>
      <c r="MDQ57" s="334"/>
      <c r="MDR57" s="334"/>
      <c r="MDS57" s="334"/>
      <c r="MDT57" s="334"/>
      <c r="MDU57" s="334"/>
      <c r="MDV57" s="334"/>
      <c r="MDW57" s="334"/>
      <c r="MDX57" s="334"/>
      <c r="MDY57" s="334"/>
      <c r="MDZ57" s="334"/>
      <c r="MEA57" s="334"/>
      <c r="MEB57" s="334"/>
      <c r="MEC57" s="334"/>
      <c r="MED57" s="334"/>
      <c r="MEE57" s="334"/>
      <c r="MEF57" s="334"/>
      <c r="MEG57" s="334"/>
      <c r="MEH57" s="334"/>
      <c r="MEI57" s="334"/>
      <c r="MEJ57" s="334"/>
      <c r="MEK57" s="334"/>
      <c r="MEL57" s="334"/>
      <c r="MEM57" s="334"/>
      <c r="MEN57" s="334"/>
      <c r="MEO57" s="334"/>
      <c r="MEP57" s="334"/>
      <c r="MEQ57" s="334"/>
      <c r="MER57" s="334"/>
      <c r="MES57" s="334"/>
      <c r="MET57" s="334"/>
      <c r="MEU57" s="334"/>
      <c r="MEV57" s="334"/>
      <c r="MEW57" s="334"/>
      <c r="MEX57" s="334"/>
      <c r="MEY57" s="334"/>
      <c r="MEZ57" s="334"/>
      <c r="MFA57" s="334"/>
      <c r="MFB57" s="334"/>
      <c r="MFC57" s="334"/>
      <c r="MFD57" s="334"/>
      <c r="MFE57" s="334"/>
      <c r="MFF57" s="334"/>
      <c r="MFG57" s="334"/>
      <c r="MFH57" s="334"/>
      <c r="MFI57" s="334"/>
      <c r="MFJ57" s="334"/>
      <c r="MFK57" s="334"/>
      <c r="MFL57" s="334"/>
      <c r="MFM57" s="334"/>
      <c r="MFN57" s="334"/>
      <c r="MFO57" s="334"/>
      <c r="MFP57" s="334"/>
      <c r="MFQ57" s="334"/>
      <c r="MFR57" s="334"/>
      <c r="MFS57" s="334"/>
      <c r="MFT57" s="334"/>
      <c r="MFU57" s="334"/>
      <c r="MFV57" s="334"/>
      <c r="MFW57" s="334"/>
      <c r="MFX57" s="334"/>
      <c r="MFY57" s="334"/>
      <c r="MFZ57" s="334"/>
      <c r="MGA57" s="334"/>
      <c r="MGB57" s="334"/>
      <c r="MGC57" s="334"/>
      <c r="MGD57" s="334"/>
      <c r="MGE57" s="334"/>
      <c r="MGF57" s="334"/>
      <c r="MGG57" s="334"/>
      <c r="MGH57" s="334"/>
      <c r="MGI57" s="334"/>
      <c r="MGJ57" s="334"/>
      <c r="MGK57" s="334"/>
      <c r="MGL57" s="334"/>
      <c r="MGM57" s="334"/>
      <c r="MGN57" s="334"/>
      <c r="MGO57" s="334"/>
      <c r="MGP57" s="334"/>
      <c r="MGQ57" s="334"/>
      <c r="MGR57" s="334"/>
      <c r="MGS57" s="334"/>
      <c r="MGT57" s="334"/>
      <c r="MGU57" s="334"/>
      <c r="MGV57" s="334"/>
      <c r="MGW57" s="334"/>
      <c r="MGX57" s="334"/>
      <c r="MGY57" s="334"/>
      <c r="MGZ57" s="334"/>
      <c r="MHA57" s="334"/>
      <c r="MHB57" s="334"/>
      <c r="MHC57" s="334"/>
      <c r="MHD57" s="334"/>
      <c r="MHE57" s="334"/>
      <c r="MHF57" s="334"/>
      <c r="MHG57" s="334"/>
      <c r="MHH57" s="334"/>
      <c r="MHI57" s="334"/>
      <c r="MHJ57" s="334"/>
      <c r="MHK57" s="334"/>
      <c r="MHL57" s="334"/>
      <c r="MHM57" s="334"/>
      <c r="MHN57" s="334"/>
      <c r="MHO57" s="334"/>
      <c r="MHP57" s="334"/>
      <c r="MHQ57" s="334"/>
      <c r="MHR57" s="334"/>
      <c r="MHS57" s="334"/>
      <c r="MHT57" s="334"/>
      <c r="MHU57" s="334"/>
      <c r="MHV57" s="334"/>
      <c r="MHW57" s="334"/>
      <c r="MHX57" s="334"/>
      <c r="MHY57" s="334"/>
      <c r="MHZ57" s="334"/>
      <c r="MIA57" s="334"/>
      <c r="MIB57" s="334"/>
      <c r="MIC57" s="334"/>
      <c r="MID57" s="334"/>
      <c r="MIE57" s="334"/>
      <c r="MIF57" s="334"/>
      <c r="MIG57" s="334"/>
      <c r="MIH57" s="334"/>
      <c r="MII57" s="334"/>
      <c r="MIJ57" s="334"/>
      <c r="MIK57" s="334"/>
      <c r="MIL57" s="334"/>
      <c r="MIM57" s="334"/>
      <c r="MIN57" s="334"/>
      <c r="MIO57" s="334"/>
      <c r="MIP57" s="334"/>
      <c r="MIQ57" s="334"/>
      <c r="MIR57" s="334"/>
      <c r="MIS57" s="334"/>
      <c r="MIT57" s="334"/>
      <c r="MIU57" s="334"/>
      <c r="MIV57" s="334"/>
      <c r="MIW57" s="334"/>
      <c r="MIX57" s="334"/>
      <c r="MIY57" s="334"/>
      <c r="MIZ57" s="334"/>
      <c r="MJA57" s="334"/>
      <c r="MJB57" s="334"/>
      <c r="MJC57" s="334"/>
      <c r="MJD57" s="334"/>
      <c r="MJE57" s="334"/>
      <c r="MJF57" s="334"/>
      <c r="MJG57" s="334"/>
      <c r="MJH57" s="334"/>
      <c r="MJI57" s="334"/>
      <c r="MJJ57" s="334"/>
      <c r="MJK57" s="334"/>
      <c r="MJL57" s="334"/>
      <c r="MJM57" s="334"/>
      <c r="MJN57" s="334"/>
      <c r="MJO57" s="334"/>
      <c r="MJP57" s="334"/>
      <c r="MJQ57" s="334"/>
      <c r="MJR57" s="334"/>
      <c r="MJS57" s="334"/>
      <c r="MJT57" s="334"/>
      <c r="MJU57" s="334"/>
      <c r="MJV57" s="334"/>
      <c r="MJW57" s="334"/>
      <c r="MJX57" s="334"/>
      <c r="MJY57" s="334"/>
      <c r="MJZ57" s="334"/>
      <c r="MKA57" s="334"/>
      <c r="MKB57" s="334"/>
      <c r="MKC57" s="334"/>
      <c r="MKD57" s="334"/>
      <c r="MKE57" s="334"/>
      <c r="MKF57" s="334"/>
      <c r="MKG57" s="334"/>
      <c r="MKH57" s="334"/>
      <c r="MKI57" s="334"/>
      <c r="MKJ57" s="334"/>
      <c r="MKK57" s="334"/>
      <c r="MKL57" s="334"/>
      <c r="MKM57" s="334"/>
      <c r="MKN57" s="334"/>
      <c r="MKO57" s="334"/>
      <c r="MKP57" s="334"/>
      <c r="MKQ57" s="334"/>
      <c r="MKR57" s="334"/>
      <c r="MKS57" s="334"/>
      <c r="MKT57" s="334"/>
      <c r="MKU57" s="334"/>
      <c r="MKV57" s="334"/>
      <c r="MKW57" s="334"/>
      <c r="MKX57" s="334"/>
      <c r="MKY57" s="334"/>
      <c r="MKZ57" s="334"/>
      <c r="MLA57" s="334"/>
      <c r="MLB57" s="334"/>
      <c r="MLC57" s="334"/>
      <c r="MLD57" s="334"/>
      <c r="MLE57" s="334"/>
      <c r="MLF57" s="334"/>
      <c r="MLG57" s="334"/>
      <c r="MLH57" s="334"/>
      <c r="MLI57" s="334"/>
      <c r="MLJ57" s="334"/>
      <c r="MLK57" s="334"/>
      <c r="MLL57" s="334"/>
      <c r="MLM57" s="334"/>
      <c r="MLN57" s="334"/>
      <c r="MLO57" s="334"/>
      <c r="MLP57" s="334"/>
      <c r="MLQ57" s="334"/>
      <c r="MLR57" s="334"/>
      <c r="MLS57" s="334"/>
      <c r="MLT57" s="334"/>
      <c r="MLU57" s="334"/>
      <c r="MLV57" s="334"/>
      <c r="MLW57" s="334"/>
      <c r="MLX57" s="334"/>
      <c r="MLY57" s="334"/>
      <c r="MLZ57" s="334"/>
      <c r="MMA57" s="334"/>
      <c r="MMB57" s="334"/>
      <c r="MMC57" s="334"/>
      <c r="MMD57" s="334"/>
      <c r="MME57" s="334"/>
      <c r="MMF57" s="334"/>
      <c r="MMG57" s="334"/>
      <c r="MMH57" s="334"/>
      <c r="MMI57" s="334"/>
      <c r="MMJ57" s="334"/>
      <c r="MMK57" s="334"/>
      <c r="MML57" s="334"/>
      <c r="MMM57" s="334"/>
      <c r="MMN57" s="334"/>
      <c r="MMO57" s="334"/>
      <c r="MMP57" s="334"/>
      <c r="MMQ57" s="334"/>
      <c r="MMR57" s="334"/>
      <c r="MMS57" s="334"/>
      <c r="MMT57" s="334"/>
      <c r="MMU57" s="334"/>
      <c r="MMV57" s="334"/>
      <c r="MMW57" s="334"/>
      <c r="MMX57" s="334"/>
      <c r="MMY57" s="334"/>
      <c r="MMZ57" s="334"/>
      <c r="MNA57" s="334"/>
      <c r="MNB57" s="334"/>
      <c r="MNC57" s="334"/>
      <c r="MND57" s="334"/>
      <c r="MNE57" s="334"/>
      <c r="MNF57" s="334"/>
      <c r="MNG57" s="334"/>
      <c r="MNH57" s="334"/>
      <c r="MNI57" s="334"/>
      <c r="MNJ57" s="334"/>
      <c r="MNK57" s="334"/>
      <c r="MNL57" s="334"/>
      <c r="MNM57" s="334"/>
      <c r="MNN57" s="334"/>
      <c r="MNO57" s="334"/>
      <c r="MNP57" s="334"/>
      <c r="MNQ57" s="334"/>
      <c r="MNR57" s="334"/>
      <c r="MNS57" s="334"/>
      <c r="MNT57" s="334"/>
      <c r="MNU57" s="334"/>
      <c r="MNV57" s="334"/>
      <c r="MNW57" s="334"/>
      <c r="MNX57" s="334"/>
      <c r="MNY57" s="334"/>
      <c r="MNZ57" s="334"/>
      <c r="MOA57" s="334"/>
      <c r="MOB57" s="334"/>
      <c r="MOC57" s="334"/>
      <c r="MOD57" s="334"/>
      <c r="MOE57" s="334"/>
      <c r="MOF57" s="334"/>
      <c r="MOG57" s="334"/>
      <c r="MOH57" s="334"/>
      <c r="MOI57" s="334"/>
      <c r="MOJ57" s="334"/>
      <c r="MOK57" s="334"/>
      <c r="MOL57" s="334"/>
      <c r="MOM57" s="334"/>
      <c r="MON57" s="334"/>
      <c r="MOO57" s="334"/>
      <c r="MOP57" s="334"/>
      <c r="MOQ57" s="334"/>
      <c r="MOR57" s="334"/>
      <c r="MOS57" s="334"/>
      <c r="MOT57" s="334"/>
      <c r="MOU57" s="334"/>
      <c r="MOV57" s="334"/>
      <c r="MOW57" s="334"/>
      <c r="MOX57" s="334"/>
      <c r="MOY57" s="334"/>
      <c r="MOZ57" s="334"/>
      <c r="MPA57" s="334"/>
      <c r="MPB57" s="334"/>
      <c r="MPC57" s="334"/>
      <c r="MPD57" s="334"/>
      <c r="MPE57" s="334"/>
      <c r="MPF57" s="334"/>
      <c r="MPG57" s="334"/>
      <c r="MPH57" s="334"/>
      <c r="MPI57" s="334"/>
      <c r="MPJ57" s="334"/>
      <c r="MPK57" s="334"/>
      <c r="MPL57" s="334"/>
      <c r="MPM57" s="334"/>
      <c r="MPN57" s="334"/>
      <c r="MPO57" s="334"/>
      <c r="MPP57" s="334"/>
      <c r="MPQ57" s="334"/>
      <c r="MPR57" s="334"/>
      <c r="MPS57" s="334"/>
      <c r="MPT57" s="334"/>
      <c r="MPU57" s="334"/>
      <c r="MPV57" s="334"/>
      <c r="MPW57" s="334"/>
      <c r="MPX57" s="334"/>
      <c r="MPY57" s="334"/>
      <c r="MPZ57" s="334"/>
      <c r="MQA57" s="334"/>
      <c r="MQB57" s="334"/>
      <c r="MQC57" s="334"/>
      <c r="MQD57" s="334"/>
      <c r="MQE57" s="334"/>
      <c r="MQF57" s="334"/>
      <c r="MQG57" s="334"/>
      <c r="MQH57" s="334"/>
      <c r="MQI57" s="334"/>
      <c r="MQJ57" s="334"/>
      <c r="MQK57" s="334"/>
      <c r="MQL57" s="334"/>
      <c r="MQM57" s="334"/>
      <c r="MQN57" s="334"/>
      <c r="MQO57" s="334"/>
      <c r="MQP57" s="334"/>
      <c r="MQQ57" s="334"/>
      <c r="MQR57" s="334"/>
      <c r="MQS57" s="334"/>
      <c r="MQT57" s="334"/>
      <c r="MQU57" s="334"/>
      <c r="MQV57" s="334"/>
      <c r="MQW57" s="334"/>
      <c r="MQX57" s="334"/>
      <c r="MQY57" s="334"/>
      <c r="MQZ57" s="334"/>
      <c r="MRA57" s="334"/>
      <c r="MRB57" s="334"/>
      <c r="MRC57" s="334"/>
      <c r="MRD57" s="334"/>
      <c r="MRE57" s="334"/>
      <c r="MRF57" s="334"/>
      <c r="MRG57" s="334"/>
      <c r="MRH57" s="334"/>
      <c r="MRI57" s="334"/>
      <c r="MRJ57" s="334"/>
      <c r="MRK57" s="334"/>
      <c r="MRL57" s="334"/>
      <c r="MRM57" s="334"/>
      <c r="MRN57" s="334"/>
      <c r="MRO57" s="334"/>
      <c r="MRP57" s="334"/>
      <c r="MRQ57" s="334"/>
      <c r="MRR57" s="334"/>
      <c r="MRS57" s="334"/>
      <c r="MRT57" s="334"/>
      <c r="MRU57" s="334"/>
      <c r="MRV57" s="334"/>
      <c r="MRW57" s="334"/>
      <c r="MRX57" s="334"/>
      <c r="MRY57" s="334"/>
      <c r="MRZ57" s="334"/>
      <c r="MSA57" s="334"/>
      <c r="MSB57" s="334"/>
      <c r="MSC57" s="334"/>
      <c r="MSD57" s="334"/>
      <c r="MSE57" s="334"/>
      <c r="MSF57" s="334"/>
      <c r="MSG57" s="334"/>
      <c r="MSH57" s="334"/>
      <c r="MSI57" s="334"/>
      <c r="MSJ57" s="334"/>
      <c r="MSK57" s="334"/>
      <c r="MSL57" s="334"/>
      <c r="MSM57" s="334"/>
      <c r="MSN57" s="334"/>
      <c r="MSO57" s="334"/>
      <c r="MSP57" s="334"/>
      <c r="MSQ57" s="334"/>
      <c r="MSR57" s="334"/>
      <c r="MSS57" s="334"/>
      <c r="MST57" s="334"/>
      <c r="MSU57" s="334"/>
      <c r="MSV57" s="334"/>
      <c r="MSW57" s="334"/>
      <c r="MSX57" s="334"/>
      <c r="MSY57" s="334"/>
      <c r="MSZ57" s="334"/>
      <c r="MTA57" s="334"/>
      <c r="MTB57" s="334"/>
      <c r="MTC57" s="334"/>
      <c r="MTD57" s="334"/>
      <c r="MTE57" s="334"/>
      <c r="MTF57" s="334"/>
      <c r="MTG57" s="334"/>
      <c r="MTH57" s="334"/>
      <c r="MTI57" s="334"/>
      <c r="MTJ57" s="334"/>
      <c r="MTK57" s="334"/>
      <c r="MTL57" s="334"/>
      <c r="MTM57" s="334"/>
      <c r="MTN57" s="334"/>
      <c r="MTO57" s="334"/>
      <c r="MTP57" s="334"/>
      <c r="MTQ57" s="334"/>
      <c r="MTR57" s="334"/>
      <c r="MTS57" s="334"/>
      <c r="MTT57" s="334"/>
      <c r="MTU57" s="334"/>
      <c r="MTV57" s="334"/>
      <c r="MTW57" s="334"/>
      <c r="MTX57" s="334"/>
      <c r="MTY57" s="334"/>
      <c r="MTZ57" s="334"/>
      <c r="MUA57" s="334"/>
      <c r="MUB57" s="334"/>
      <c r="MUC57" s="334"/>
      <c r="MUD57" s="334"/>
      <c r="MUE57" s="334"/>
      <c r="MUF57" s="334"/>
      <c r="MUG57" s="334"/>
      <c r="MUH57" s="334"/>
      <c r="MUI57" s="334"/>
      <c r="MUJ57" s="334"/>
      <c r="MUK57" s="334"/>
      <c r="MUL57" s="334"/>
      <c r="MUM57" s="334"/>
      <c r="MUN57" s="334"/>
      <c r="MUO57" s="334"/>
      <c r="MUP57" s="334"/>
      <c r="MUQ57" s="334"/>
      <c r="MUR57" s="334"/>
      <c r="MUS57" s="334"/>
      <c r="MUT57" s="334"/>
      <c r="MUU57" s="334"/>
      <c r="MUV57" s="334"/>
      <c r="MUW57" s="334"/>
      <c r="MUX57" s="334"/>
      <c r="MUY57" s="334"/>
      <c r="MUZ57" s="334"/>
      <c r="MVA57" s="334"/>
      <c r="MVB57" s="334"/>
      <c r="MVC57" s="334"/>
      <c r="MVD57" s="334"/>
      <c r="MVE57" s="334"/>
      <c r="MVF57" s="334"/>
      <c r="MVG57" s="334"/>
      <c r="MVH57" s="334"/>
      <c r="MVI57" s="334"/>
      <c r="MVJ57" s="334"/>
      <c r="MVK57" s="334"/>
      <c r="MVL57" s="334"/>
      <c r="MVM57" s="334"/>
      <c r="MVN57" s="334"/>
      <c r="MVO57" s="334"/>
      <c r="MVP57" s="334"/>
      <c r="MVQ57" s="334"/>
      <c r="MVR57" s="334"/>
      <c r="MVS57" s="334"/>
      <c r="MVT57" s="334"/>
      <c r="MVU57" s="334"/>
      <c r="MVV57" s="334"/>
      <c r="MVW57" s="334"/>
      <c r="MVX57" s="334"/>
      <c r="MVY57" s="334"/>
      <c r="MVZ57" s="334"/>
      <c r="MWA57" s="334"/>
      <c r="MWB57" s="334"/>
      <c r="MWC57" s="334"/>
      <c r="MWD57" s="334"/>
      <c r="MWE57" s="334"/>
      <c r="MWF57" s="334"/>
      <c r="MWG57" s="334"/>
      <c r="MWH57" s="334"/>
      <c r="MWI57" s="334"/>
      <c r="MWJ57" s="334"/>
      <c r="MWK57" s="334"/>
      <c r="MWL57" s="334"/>
      <c r="MWM57" s="334"/>
      <c r="MWN57" s="334"/>
      <c r="MWO57" s="334"/>
      <c r="MWP57" s="334"/>
      <c r="MWQ57" s="334"/>
      <c r="MWR57" s="334"/>
      <c r="MWS57" s="334"/>
      <c r="MWT57" s="334"/>
      <c r="MWU57" s="334"/>
      <c r="MWV57" s="334"/>
      <c r="MWW57" s="334"/>
      <c r="MWX57" s="334"/>
      <c r="MWY57" s="334"/>
      <c r="MWZ57" s="334"/>
      <c r="MXA57" s="334"/>
      <c r="MXB57" s="334"/>
      <c r="MXC57" s="334"/>
      <c r="MXD57" s="334"/>
      <c r="MXE57" s="334"/>
      <c r="MXF57" s="334"/>
      <c r="MXG57" s="334"/>
      <c r="MXH57" s="334"/>
      <c r="MXI57" s="334"/>
      <c r="MXJ57" s="334"/>
      <c r="MXK57" s="334"/>
      <c r="MXL57" s="334"/>
      <c r="MXM57" s="334"/>
      <c r="MXN57" s="334"/>
      <c r="MXO57" s="334"/>
      <c r="MXP57" s="334"/>
      <c r="MXQ57" s="334"/>
      <c r="MXR57" s="334"/>
      <c r="MXS57" s="334"/>
      <c r="MXT57" s="334"/>
      <c r="MXU57" s="334"/>
      <c r="MXV57" s="334"/>
      <c r="MXW57" s="334"/>
      <c r="MXX57" s="334"/>
      <c r="MXY57" s="334"/>
      <c r="MXZ57" s="334"/>
      <c r="MYA57" s="334"/>
      <c r="MYB57" s="334"/>
      <c r="MYC57" s="334"/>
      <c r="MYD57" s="334"/>
      <c r="MYE57" s="334"/>
      <c r="MYF57" s="334"/>
      <c r="MYG57" s="334"/>
      <c r="MYH57" s="334"/>
      <c r="MYI57" s="334"/>
      <c r="MYJ57" s="334"/>
      <c r="MYK57" s="334"/>
      <c r="MYL57" s="334"/>
      <c r="MYM57" s="334"/>
      <c r="MYN57" s="334"/>
      <c r="MYO57" s="334"/>
      <c r="MYP57" s="334"/>
      <c r="MYQ57" s="334"/>
      <c r="MYR57" s="334"/>
      <c r="MYS57" s="334"/>
      <c r="MYT57" s="334"/>
      <c r="MYU57" s="334"/>
      <c r="MYV57" s="334"/>
      <c r="MYW57" s="334"/>
      <c r="MYX57" s="334"/>
      <c r="MYY57" s="334"/>
      <c r="MYZ57" s="334"/>
      <c r="MZA57" s="334"/>
      <c r="MZB57" s="334"/>
      <c r="MZC57" s="334"/>
      <c r="MZD57" s="334"/>
      <c r="MZE57" s="334"/>
      <c r="MZF57" s="334"/>
      <c r="MZG57" s="334"/>
      <c r="MZH57" s="334"/>
      <c r="MZI57" s="334"/>
      <c r="MZJ57" s="334"/>
      <c r="MZK57" s="334"/>
      <c r="MZL57" s="334"/>
      <c r="MZM57" s="334"/>
      <c r="MZN57" s="334"/>
      <c r="MZO57" s="334"/>
      <c r="MZP57" s="334"/>
      <c r="MZQ57" s="334"/>
      <c r="MZR57" s="334"/>
      <c r="MZS57" s="334"/>
      <c r="MZT57" s="334"/>
      <c r="MZU57" s="334"/>
      <c r="MZV57" s="334"/>
      <c r="MZW57" s="334"/>
      <c r="MZX57" s="334"/>
      <c r="MZY57" s="334"/>
      <c r="MZZ57" s="334"/>
      <c r="NAA57" s="334"/>
      <c r="NAB57" s="334"/>
      <c r="NAC57" s="334"/>
      <c r="NAD57" s="334"/>
      <c r="NAE57" s="334"/>
      <c r="NAF57" s="334"/>
      <c r="NAG57" s="334"/>
      <c r="NAH57" s="334"/>
      <c r="NAI57" s="334"/>
      <c r="NAJ57" s="334"/>
      <c r="NAK57" s="334"/>
      <c r="NAL57" s="334"/>
      <c r="NAM57" s="334"/>
      <c r="NAN57" s="334"/>
      <c r="NAO57" s="334"/>
      <c r="NAP57" s="334"/>
      <c r="NAQ57" s="334"/>
      <c r="NAR57" s="334"/>
      <c r="NAS57" s="334"/>
      <c r="NAT57" s="334"/>
      <c r="NAU57" s="334"/>
      <c r="NAV57" s="334"/>
      <c r="NAW57" s="334"/>
      <c r="NAX57" s="334"/>
      <c r="NAY57" s="334"/>
      <c r="NAZ57" s="334"/>
      <c r="NBA57" s="334"/>
      <c r="NBB57" s="334"/>
      <c r="NBC57" s="334"/>
      <c r="NBD57" s="334"/>
      <c r="NBE57" s="334"/>
      <c r="NBF57" s="334"/>
      <c r="NBG57" s="334"/>
      <c r="NBH57" s="334"/>
      <c r="NBI57" s="334"/>
      <c r="NBJ57" s="334"/>
      <c r="NBK57" s="334"/>
      <c r="NBL57" s="334"/>
      <c r="NBM57" s="334"/>
      <c r="NBN57" s="334"/>
      <c r="NBO57" s="334"/>
      <c r="NBP57" s="334"/>
      <c r="NBQ57" s="334"/>
      <c r="NBR57" s="334"/>
      <c r="NBS57" s="334"/>
      <c r="NBT57" s="334"/>
      <c r="NBU57" s="334"/>
      <c r="NBV57" s="334"/>
      <c r="NBW57" s="334"/>
      <c r="NBX57" s="334"/>
      <c r="NBY57" s="334"/>
      <c r="NBZ57" s="334"/>
      <c r="NCA57" s="334"/>
      <c r="NCB57" s="334"/>
      <c r="NCC57" s="334"/>
      <c r="NCD57" s="334"/>
      <c r="NCE57" s="334"/>
      <c r="NCF57" s="334"/>
      <c r="NCG57" s="334"/>
      <c r="NCH57" s="334"/>
      <c r="NCI57" s="334"/>
      <c r="NCJ57" s="334"/>
      <c r="NCK57" s="334"/>
      <c r="NCL57" s="334"/>
      <c r="NCM57" s="334"/>
      <c r="NCN57" s="334"/>
      <c r="NCO57" s="334"/>
      <c r="NCP57" s="334"/>
      <c r="NCQ57" s="334"/>
      <c r="NCR57" s="334"/>
      <c r="NCS57" s="334"/>
      <c r="NCT57" s="334"/>
      <c r="NCU57" s="334"/>
      <c r="NCV57" s="334"/>
      <c r="NCW57" s="334"/>
      <c r="NCX57" s="334"/>
      <c r="NCY57" s="334"/>
      <c r="NCZ57" s="334"/>
      <c r="NDA57" s="334"/>
      <c r="NDB57" s="334"/>
      <c r="NDC57" s="334"/>
      <c r="NDD57" s="334"/>
      <c r="NDE57" s="334"/>
      <c r="NDF57" s="334"/>
      <c r="NDG57" s="334"/>
      <c r="NDH57" s="334"/>
      <c r="NDI57" s="334"/>
      <c r="NDJ57" s="334"/>
      <c r="NDK57" s="334"/>
      <c r="NDL57" s="334"/>
      <c r="NDM57" s="334"/>
      <c r="NDN57" s="334"/>
      <c r="NDO57" s="334"/>
      <c r="NDP57" s="334"/>
      <c r="NDQ57" s="334"/>
      <c r="NDR57" s="334"/>
      <c r="NDS57" s="334"/>
      <c r="NDT57" s="334"/>
      <c r="NDU57" s="334"/>
      <c r="NDV57" s="334"/>
      <c r="NDW57" s="334"/>
      <c r="NDX57" s="334"/>
      <c r="NDY57" s="334"/>
      <c r="NDZ57" s="334"/>
      <c r="NEA57" s="334"/>
      <c r="NEB57" s="334"/>
      <c r="NEC57" s="334"/>
      <c r="NED57" s="334"/>
      <c r="NEE57" s="334"/>
      <c r="NEF57" s="334"/>
      <c r="NEG57" s="334"/>
      <c r="NEH57" s="334"/>
      <c r="NEI57" s="334"/>
      <c r="NEJ57" s="334"/>
      <c r="NEK57" s="334"/>
      <c r="NEL57" s="334"/>
      <c r="NEM57" s="334"/>
      <c r="NEN57" s="334"/>
      <c r="NEO57" s="334"/>
      <c r="NEP57" s="334"/>
      <c r="NEQ57" s="334"/>
      <c r="NER57" s="334"/>
      <c r="NES57" s="334"/>
      <c r="NET57" s="334"/>
      <c r="NEU57" s="334"/>
      <c r="NEV57" s="334"/>
      <c r="NEW57" s="334"/>
      <c r="NEX57" s="334"/>
      <c r="NEY57" s="334"/>
      <c r="NEZ57" s="334"/>
      <c r="NFA57" s="334"/>
      <c r="NFB57" s="334"/>
      <c r="NFC57" s="334"/>
      <c r="NFD57" s="334"/>
      <c r="NFE57" s="334"/>
      <c r="NFF57" s="334"/>
      <c r="NFG57" s="334"/>
      <c r="NFH57" s="334"/>
      <c r="NFI57" s="334"/>
      <c r="NFJ57" s="334"/>
      <c r="NFK57" s="334"/>
      <c r="NFL57" s="334"/>
      <c r="NFM57" s="334"/>
      <c r="NFN57" s="334"/>
      <c r="NFO57" s="334"/>
      <c r="NFP57" s="334"/>
      <c r="NFQ57" s="334"/>
      <c r="NFR57" s="334"/>
      <c r="NFS57" s="334"/>
      <c r="NFT57" s="334"/>
      <c r="NFU57" s="334"/>
      <c r="NFV57" s="334"/>
      <c r="NFW57" s="334"/>
      <c r="NFX57" s="334"/>
      <c r="NFY57" s="334"/>
      <c r="NFZ57" s="334"/>
      <c r="NGA57" s="334"/>
      <c r="NGB57" s="334"/>
      <c r="NGC57" s="334"/>
      <c r="NGD57" s="334"/>
      <c r="NGE57" s="334"/>
      <c r="NGF57" s="334"/>
      <c r="NGG57" s="334"/>
      <c r="NGH57" s="334"/>
      <c r="NGI57" s="334"/>
      <c r="NGJ57" s="334"/>
      <c r="NGK57" s="334"/>
      <c r="NGL57" s="334"/>
      <c r="NGM57" s="334"/>
      <c r="NGN57" s="334"/>
      <c r="NGO57" s="334"/>
      <c r="NGP57" s="334"/>
      <c r="NGQ57" s="334"/>
      <c r="NGR57" s="334"/>
      <c r="NGS57" s="334"/>
      <c r="NGT57" s="334"/>
      <c r="NGU57" s="334"/>
      <c r="NGV57" s="334"/>
      <c r="NGW57" s="334"/>
      <c r="NGX57" s="334"/>
      <c r="NGY57" s="334"/>
      <c r="NGZ57" s="334"/>
      <c r="NHA57" s="334"/>
      <c r="NHB57" s="334"/>
      <c r="NHC57" s="334"/>
      <c r="NHD57" s="334"/>
      <c r="NHE57" s="334"/>
      <c r="NHF57" s="334"/>
      <c r="NHG57" s="334"/>
      <c r="NHH57" s="334"/>
      <c r="NHI57" s="334"/>
      <c r="NHJ57" s="334"/>
      <c r="NHK57" s="334"/>
      <c r="NHL57" s="334"/>
      <c r="NHM57" s="334"/>
      <c r="NHN57" s="334"/>
      <c r="NHO57" s="334"/>
      <c r="NHP57" s="334"/>
      <c r="NHQ57" s="334"/>
      <c r="NHR57" s="334"/>
      <c r="NHS57" s="334"/>
      <c r="NHT57" s="334"/>
      <c r="NHU57" s="334"/>
      <c r="NHV57" s="334"/>
      <c r="NHW57" s="334"/>
      <c r="NHX57" s="334"/>
      <c r="NHY57" s="334"/>
      <c r="NHZ57" s="334"/>
      <c r="NIA57" s="334"/>
      <c r="NIB57" s="334"/>
      <c r="NIC57" s="334"/>
      <c r="NID57" s="334"/>
      <c r="NIE57" s="334"/>
      <c r="NIF57" s="334"/>
      <c r="NIG57" s="334"/>
      <c r="NIH57" s="334"/>
      <c r="NII57" s="334"/>
      <c r="NIJ57" s="334"/>
      <c r="NIK57" s="334"/>
      <c r="NIL57" s="334"/>
      <c r="NIM57" s="334"/>
      <c r="NIN57" s="334"/>
      <c r="NIO57" s="334"/>
      <c r="NIP57" s="334"/>
      <c r="NIQ57" s="334"/>
      <c r="NIR57" s="334"/>
      <c r="NIS57" s="334"/>
      <c r="NIT57" s="334"/>
      <c r="NIU57" s="334"/>
      <c r="NIV57" s="334"/>
      <c r="NIW57" s="334"/>
      <c r="NIX57" s="334"/>
      <c r="NIY57" s="334"/>
      <c r="NIZ57" s="334"/>
      <c r="NJA57" s="334"/>
      <c r="NJB57" s="334"/>
      <c r="NJC57" s="334"/>
      <c r="NJD57" s="334"/>
      <c r="NJE57" s="334"/>
      <c r="NJF57" s="334"/>
      <c r="NJG57" s="334"/>
      <c r="NJH57" s="334"/>
      <c r="NJI57" s="334"/>
      <c r="NJJ57" s="334"/>
      <c r="NJK57" s="334"/>
      <c r="NJL57" s="334"/>
      <c r="NJM57" s="334"/>
      <c r="NJN57" s="334"/>
      <c r="NJO57" s="334"/>
      <c r="NJP57" s="334"/>
      <c r="NJQ57" s="334"/>
      <c r="NJR57" s="334"/>
      <c r="NJS57" s="334"/>
      <c r="NJT57" s="334"/>
      <c r="NJU57" s="334"/>
      <c r="NJV57" s="334"/>
      <c r="NJW57" s="334"/>
      <c r="NJX57" s="334"/>
      <c r="NJY57" s="334"/>
      <c r="NJZ57" s="334"/>
      <c r="NKA57" s="334"/>
      <c r="NKB57" s="334"/>
      <c r="NKC57" s="334"/>
      <c r="NKD57" s="334"/>
      <c r="NKE57" s="334"/>
      <c r="NKF57" s="334"/>
      <c r="NKG57" s="334"/>
      <c r="NKH57" s="334"/>
      <c r="NKI57" s="334"/>
      <c r="NKJ57" s="334"/>
      <c r="NKK57" s="334"/>
      <c r="NKL57" s="334"/>
      <c r="NKM57" s="334"/>
      <c r="NKN57" s="334"/>
      <c r="NKO57" s="334"/>
      <c r="NKP57" s="334"/>
      <c r="NKQ57" s="334"/>
      <c r="NKR57" s="334"/>
      <c r="NKS57" s="334"/>
      <c r="NKT57" s="334"/>
      <c r="NKU57" s="334"/>
      <c r="NKV57" s="334"/>
      <c r="NKW57" s="334"/>
      <c r="NKX57" s="334"/>
      <c r="NKY57" s="334"/>
      <c r="NKZ57" s="334"/>
      <c r="NLA57" s="334"/>
      <c r="NLB57" s="334"/>
      <c r="NLC57" s="334"/>
      <c r="NLD57" s="334"/>
      <c r="NLE57" s="334"/>
      <c r="NLF57" s="334"/>
      <c r="NLG57" s="334"/>
      <c r="NLH57" s="334"/>
      <c r="NLI57" s="334"/>
      <c r="NLJ57" s="334"/>
      <c r="NLK57" s="334"/>
      <c r="NLL57" s="334"/>
      <c r="NLM57" s="334"/>
      <c r="NLN57" s="334"/>
      <c r="NLO57" s="334"/>
      <c r="NLP57" s="334"/>
      <c r="NLQ57" s="334"/>
      <c r="NLR57" s="334"/>
      <c r="NLS57" s="334"/>
      <c r="NLT57" s="334"/>
      <c r="NLU57" s="334"/>
      <c r="NLV57" s="334"/>
      <c r="NLW57" s="334"/>
      <c r="NLX57" s="334"/>
      <c r="NLY57" s="334"/>
      <c r="NLZ57" s="334"/>
      <c r="NMA57" s="334"/>
      <c r="NMB57" s="334"/>
      <c r="NMC57" s="334"/>
      <c r="NMD57" s="334"/>
      <c r="NME57" s="334"/>
      <c r="NMF57" s="334"/>
      <c r="NMG57" s="334"/>
      <c r="NMH57" s="334"/>
      <c r="NMI57" s="334"/>
      <c r="NMJ57" s="334"/>
      <c r="NMK57" s="334"/>
      <c r="NML57" s="334"/>
      <c r="NMM57" s="334"/>
      <c r="NMN57" s="334"/>
      <c r="NMO57" s="334"/>
      <c r="NMP57" s="334"/>
      <c r="NMQ57" s="334"/>
      <c r="NMR57" s="334"/>
      <c r="NMS57" s="334"/>
      <c r="NMT57" s="334"/>
      <c r="NMU57" s="334"/>
      <c r="NMV57" s="334"/>
      <c r="NMW57" s="334"/>
      <c r="NMX57" s="334"/>
      <c r="NMY57" s="334"/>
      <c r="NMZ57" s="334"/>
      <c r="NNA57" s="334"/>
      <c r="NNB57" s="334"/>
      <c r="NNC57" s="334"/>
      <c r="NND57" s="334"/>
      <c r="NNE57" s="334"/>
      <c r="NNF57" s="334"/>
      <c r="NNG57" s="334"/>
      <c r="NNH57" s="334"/>
      <c r="NNI57" s="334"/>
      <c r="NNJ57" s="334"/>
      <c r="NNK57" s="334"/>
      <c r="NNL57" s="334"/>
      <c r="NNM57" s="334"/>
      <c r="NNN57" s="334"/>
      <c r="NNO57" s="334"/>
      <c r="NNP57" s="334"/>
      <c r="NNQ57" s="334"/>
      <c r="NNR57" s="334"/>
      <c r="NNS57" s="334"/>
      <c r="NNT57" s="334"/>
      <c r="NNU57" s="334"/>
      <c r="NNV57" s="334"/>
      <c r="NNW57" s="334"/>
      <c r="NNX57" s="334"/>
      <c r="NNY57" s="334"/>
      <c r="NNZ57" s="334"/>
      <c r="NOA57" s="334"/>
      <c r="NOB57" s="334"/>
      <c r="NOC57" s="334"/>
      <c r="NOD57" s="334"/>
      <c r="NOE57" s="334"/>
      <c r="NOF57" s="334"/>
      <c r="NOG57" s="334"/>
      <c r="NOH57" s="334"/>
      <c r="NOI57" s="334"/>
      <c r="NOJ57" s="334"/>
      <c r="NOK57" s="334"/>
      <c r="NOL57" s="334"/>
      <c r="NOM57" s="334"/>
      <c r="NON57" s="334"/>
      <c r="NOO57" s="334"/>
      <c r="NOP57" s="334"/>
      <c r="NOQ57" s="334"/>
      <c r="NOR57" s="334"/>
      <c r="NOS57" s="334"/>
      <c r="NOT57" s="334"/>
      <c r="NOU57" s="334"/>
      <c r="NOV57" s="334"/>
      <c r="NOW57" s="334"/>
      <c r="NOX57" s="334"/>
      <c r="NOY57" s="334"/>
      <c r="NOZ57" s="334"/>
      <c r="NPA57" s="334"/>
      <c r="NPB57" s="334"/>
      <c r="NPC57" s="334"/>
      <c r="NPD57" s="334"/>
      <c r="NPE57" s="334"/>
      <c r="NPF57" s="334"/>
      <c r="NPG57" s="334"/>
      <c r="NPH57" s="334"/>
      <c r="NPI57" s="334"/>
      <c r="NPJ57" s="334"/>
      <c r="NPK57" s="334"/>
      <c r="NPL57" s="334"/>
      <c r="NPM57" s="334"/>
      <c r="NPN57" s="334"/>
      <c r="NPO57" s="334"/>
      <c r="NPP57" s="334"/>
      <c r="NPQ57" s="334"/>
      <c r="NPR57" s="334"/>
      <c r="NPS57" s="334"/>
      <c r="NPT57" s="334"/>
      <c r="NPU57" s="334"/>
      <c r="NPV57" s="334"/>
      <c r="NPW57" s="334"/>
      <c r="NPX57" s="334"/>
      <c r="NPY57" s="334"/>
      <c r="NPZ57" s="334"/>
      <c r="NQA57" s="334"/>
      <c r="NQB57" s="334"/>
      <c r="NQC57" s="334"/>
      <c r="NQD57" s="334"/>
      <c r="NQE57" s="334"/>
      <c r="NQF57" s="334"/>
      <c r="NQG57" s="334"/>
      <c r="NQH57" s="334"/>
      <c r="NQI57" s="334"/>
      <c r="NQJ57" s="334"/>
      <c r="NQK57" s="334"/>
      <c r="NQL57" s="334"/>
      <c r="NQM57" s="334"/>
      <c r="NQN57" s="334"/>
      <c r="NQO57" s="334"/>
      <c r="NQP57" s="334"/>
      <c r="NQQ57" s="334"/>
      <c r="NQR57" s="334"/>
      <c r="NQS57" s="334"/>
      <c r="NQT57" s="334"/>
      <c r="NQU57" s="334"/>
      <c r="NQV57" s="334"/>
      <c r="NQW57" s="334"/>
      <c r="NQX57" s="334"/>
      <c r="NQY57" s="334"/>
      <c r="NQZ57" s="334"/>
      <c r="NRA57" s="334"/>
      <c r="NRB57" s="334"/>
      <c r="NRC57" s="334"/>
      <c r="NRD57" s="334"/>
      <c r="NRE57" s="334"/>
      <c r="NRF57" s="334"/>
      <c r="NRG57" s="334"/>
      <c r="NRH57" s="334"/>
      <c r="NRI57" s="334"/>
      <c r="NRJ57" s="334"/>
      <c r="NRK57" s="334"/>
      <c r="NRL57" s="334"/>
      <c r="NRM57" s="334"/>
      <c r="NRN57" s="334"/>
      <c r="NRO57" s="334"/>
      <c r="NRP57" s="334"/>
      <c r="NRQ57" s="334"/>
      <c r="NRR57" s="334"/>
      <c r="NRS57" s="334"/>
      <c r="NRT57" s="334"/>
      <c r="NRU57" s="334"/>
      <c r="NRV57" s="334"/>
      <c r="NRW57" s="334"/>
      <c r="NRX57" s="334"/>
      <c r="NRY57" s="334"/>
      <c r="NRZ57" s="334"/>
      <c r="NSA57" s="334"/>
      <c r="NSB57" s="334"/>
      <c r="NSC57" s="334"/>
      <c r="NSD57" s="334"/>
      <c r="NSE57" s="334"/>
      <c r="NSF57" s="334"/>
      <c r="NSG57" s="334"/>
      <c r="NSH57" s="334"/>
      <c r="NSI57" s="334"/>
      <c r="NSJ57" s="334"/>
      <c r="NSK57" s="334"/>
      <c r="NSL57" s="334"/>
      <c r="NSM57" s="334"/>
      <c r="NSN57" s="334"/>
      <c r="NSO57" s="334"/>
      <c r="NSP57" s="334"/>
      <c r="NSQ57" s="334"/>
      <c r="NSR57" s="334"/>
      <c r="NSS57" s="334"/>
      <c r="NST57" s="334"/>
      <c r="NSU57" s="334"/>
      <c r="NSV57" s="334"/>
      <c r="NSW57" s="334"/>
      <c r="NSX57" s="334"/>
      <c r="NSY57" s="334"/>
      <c r="NSZ57" s="334"/>
      <c r="NTA57" s="334"/>
      <c r="NTB57" s="334"/>
      <c r="NTC57" s="334"/>
      <c r="NTD57" s="334"/>
      <c r="NTE57" s="334"/>
      <c r="NTF57" s="334"/>
      <c r="NTG57" s="334"/>
      <c r="NTH57" s="334"/>
      <c r="NTI57" s="334"/>
      <c r="NTJ57" s="334"/>
      <c r="NTK57" s="334"/>
      <c r="NTL57" s="334"/>
      <c r="NTM57" s="334"/>
      <c r="NTN57" s="334"/>
      <c r="NTO57" s="334"/>
      <c r="NTP57" s="334"/>
      <c r="NTQ57" s="334"/>
      <c r="NTR57" s="334"/>
      <c r="NTS57" s="334"/>
      <c r="NTT57" s="334"/>
      <c r="NTU57" s="334"/>
      <c r="NTV57" s="334"/>
      <c r="NTW57" s="334"/>
      <c r="NTX57" s="334"/>
      <c r="NTY57" s="334"/>
      <c r="NTZ57" s="334"/>
      <c r="NUA57" s="334"/>
      <c r="NUB57" s="334"/>
      <c r="NUC57" s="334"/>
      <c r="NUD57" s="334"/>
      <c r="NUE57" s="334"/>
      <c r="NUF57" s="334"/>
      <c r="NUG57" s="334"/>
      <c r="NUH57" s="334"/>
      <c r="NUI57" s="334"/>
      <c r="NUJ57" s="334"/>
      <c r="NUK57" s="334"/>
      <c r="NUL57" s="334"/>
      <c r="NUM57" s="334"/>
      <c r="NUN57" s="334"/>
      <c r="NUO57" s="334"/>
      <c r="NUP57" s="334"/>
      <c r="NUQ57" s="334"/>
      <c r="NUR57" s="334"/>
      <c r="NUS57" s="334"/>
      <c r="NUT57" s="334"/>
      <c r="NUU57" s="334"/>
      <c r="NUV57" s="334"/>
      <c r="NUW57" s="334"/>
      <c r="NUX57" s="334"/>
      <c r="NUY57" s="334"/>
      <c r="NUZ57" s="334"/>
      <c r="NVA57" s="334"/>
      <c r="NVB57" s="334"/>
      <c r="NVC57" s="334"/>
      <c r="NVD57" s="334"/>
      <c r="NVE57" s="334"/>
      <c r="NVF57" s="334"/>
      <c r="NVG57" s="334"/>
      <c r="NVH57" s="334"/>
      <c r="NVI57" s="334"/>
      <c r="NVJ57" s="334"/>
      <c r="NVK57" s="334"/>
      <c r="NVL57" s="334"/>
      <c r="NVM57" s="334"/>
      <c r="NVN57" s="334"/>
      <c r="NVO57" s="334"/>
      <c r="NVP57" s="334"/>
      <c r="NVQ57" s="334"/>
      <c r="NVR57" s="334"/>
      <c r="NVS57" s="334"/>
      <c r="NVT57" s="334"/>
      <c r="NVU57" s="334"/>
      <c r="NVV57" s="334"/>
      <c r="NVW57" s="334"/>
      <c r="NVX57" s="334"/>
      <c r="NVY57" s="334"/>
      <c r="NVZ57" s="334"/>
      <c r="NWA57" s="334"/>
      <c r="NWB57" s="334"/>
      <c r="NWC57" s="334"/>
      <c r="NWD57" s="334"/>
      <c r="NWE57" s="334"/>
      <c r="NWF57" s="334"/>
      <c r="NWG57" s="334"/>
      <c r="NWH57" s="334"/>
      <c r="NWI57" s="334"/>
      <c r="NWJ57" s="334"/>
      <c r="NWK57" s="334"/>
      <c r="NWL57" s="334"/>
      <c r="NWM57" s="334"/>
      <c r="NWN57" s="334"/>
      <c r="NWO57" s="334"/>
      <c r="NWP57" s="334"/>
      <c r="NWQ57" s="334"/>
      <c r="NWR57" s="334"/>
      <c r="NWS57" s="334"/>
      <c r="NWT57" s="334"/>
      <c r="NWU57" s="334"/>
      <c r="NWV57" s="334"/>
      <c r="NWW57" s="334"/>
      <c r="NWX57" s="334"/>
      <c r="NWY57" s="334"/>
      <c r="NWZ57" s="334"/>
      <c r="NXA57" s="334"/>
      <c r="NXB57" s="334"/>
      <c r="NXC57" s="334"/>
      <c r="NXD57" s="334"/>
      <c r="NXE57" s="334"/>
      <c r="NXF57" s="334"/>
      <c r="NXG57" s="334"/>
      <c r="NXH57" s="334"/>
      <c r="NXI57" s="334"/>
      <c r="NXJ57" s="334"/>
      <c r="NXK57" s="334"/>
      <c r="NXL57" s="334"/>
      <c r="NXM57" s="334"/>
      <c r="NXN57" s="334"/>
      <c r="NXO57" s="334"/>
      <c r="NXP57" s="334"/>
      <c r="NXQ57" s="334"/>
      <c r="NXR57" s="334"/>
      <c r="NXS57" s="334"/>
      <c r="NXT57" s="334"/>
      <c r="NXU57" s="334"/>
      <c r="NXV57" s="334"/>
      <c r="NXW57" s="334"/>
      <c r="NXX57" s="334"/>
      <c r="NXY57" s="334"/>
      <c r="NXZ57" s="334"/>
      <c r="NYA57" s="334"/>
      <c r="NYB57" s="334"/>
      <c r="NYC57" s="334"/>
      <c r="NYD57" s="334"/>
      <c r="NYE57" s="334"/>
      <c r="NYF57" s="334"/>
      <c r="NYG57" s="334"/>
      <c r="NYH57" s="334"/>
      <c r="NYI57" s="334"/>
      <c r="NYJ57" s="334"/>
      <c r="NYK57" s="334"/>
      <c r="NYL57" s="334"/>
      <c r="NYM57" s="334"/>
      <c r="NYN57" s="334"/>
      <c r="NYO57" s="334"/>
      <c r="NYP57" s="334"/>
      <c r="NYQ57" s="334"/>
      <c r="NYR57" s="334"/>
      <c r="NYS57" s="334"/>
      <c r="NYT57" s="334"/>
      <c r="NYU57" s="334"/>
      <c r="NYV57" s="334"/>
      <c r="NYW57" s="334"/>
      <c r="NYX57" s="334"/>
      <c r="NYY57" s="334"/>
      <c r="NYZ57" s="334"/>
      <c r="NZA57" s="334"/>
      <c r="NZB57" s="334"/>
      <c r="NZC57" s="334"/>
      <c r="NZD57" s="334"/>
      <c r="NZE57" s="334"/>
      <c r="NZF57" s="334"/>
      <c r="NZG57" s="334"/>
      <c r="NZH57" s="334"/>
      <c r="NZI57" s="334"/>
      <c r="NZJ57" s="334"/>
      <c r="NZK57" s="334"/>
      <c r="NZL57" s="334"/>
      <c r="NZM57" s="334"/>
      <c r="NZN57" s="334"/>
      <c r="NZO57" s="334"/>
      <c r="NZP57" s="334"/>
      <c r="NZQ57" s="334"/>
      <c r="NZR57" s="334"/>
      <c r="NZS57" s="334"/>
      <c r="NZT57" s="334"/>
      <c r="NZU57" s="334"/>
      <c r="NZV57" s="334"/>
      <c r="NZW57" s="334"/>
      <c r="NZX57" s="334"/>
      <c r="NZY57" s="334"/>
      <c r="NZZ57" s="334"/>
      <c r="OAA57" s="334"/>
      <c r="OAB57" s="334"/>
      <c r="OAC57" s="334"/>
      <c r="OAD57" s="334"/>
      <c r="OAE57" s="334"/>
      <c r="OAF57" s="334"/>
      <c r="OAG57" s="334"/>
      <c r="OAH57" s="334"/>
      <c r="OAI57" s="334"/>
      <c r="OAJ57" s="334"/>
      <c r="OAK57" s="334"/>
      <c r="OAL57" s="334"/>
      <c r="OAM57" s="334"/>
      <c r="OAN57" s="334"/>
      <c r="OAO57" s="334"/>
      <c r="OAP57" s="334"/>
      <c r="OAQ57" s="334"/>
      <c r="OAR57" s="334"/>
      <c r="OAS57" s="334"/>
      <c r="OAT57" s="334"/>
      <c r="OAU57" s="334"/>
      <c r="OAV57" s="334"/>
      <c r="OAW57" s="334"/>
      <c r="OAX57" s="334"/>
      <c r="OAY57" s="334"/>
      <c r="OAZ57" s="334"/>
      <c r="OBA57" s="334"/>
      <c r="OBB57" s="334"/>
      <c r="OBC57" s="334"/>
      <c r="OBD57" s="334"/>
      <c r="OBE57" s="334"/>
      <c r="OBF57" s="334"/>
      <c r="OBG57" s="334"/>
      <c r="OBH57" s="334"/>
      <c r="OBI57" s="334"/>
      <c r="OBJ57" s="334"/>
      <c r="OBK57" s="334"/>
      <c r="OBL57" s="334"/>
      <c r="OBM57" s="334"/>
      <c r="OBN57" s="334"/>
      <c r="OBO57" s="334"/>
      <c r="OBP57" s="334"/>
      <c r="OBQ57" s="334"/>
      <c r="OBR57" s="334"/>
      <c r="OBS57" s="334"/>
      <c r="OBT57" s="334"/>
      <c r="OBU57" s="334"/>
      <c r="OBV57" s="334"/>
      <c r="OBW57" s="334"/>
      <c r="OBX57" s="334"/>
      <c r="OBY57" s="334"/>
      <c r="OBZ57" s="334"/>
      <c r="OCA57" s="334"/>
      <c r="OCB57" s="334"/>
      <c r="OCC57" s="334"/>
      <c r="OCD57" s="334"/>
      <c r="OCE57" s="334"/>
      <c r="OCF57" s="334"/>
      <c r="OCG57" s="334"/>
      <c r="OCH57" s="334"/>
      <c r="OCI57" s="334"/>
      <c r="OCJ57" s="334"/>
      <c r="OCK57" s="334"/>
      <c r="OCL57" s="334"/>
      <c r="OCM57" s="334"/>
      <c r="OCN57" s="334"/>
      <c r="OCO57" s="334"/>
      <c r="OCP57" s="334"/>
      <c r="OCQ57" s="334"/>
      <c r="OCR57" s="334"/>
      <c r="OCS57" s="334"/>
      <c r="OCT57" s="334"/>
      <c r="OCU57" s="334"/>
      <c r="OCV57" s="334"/>
      <c r="OCW57" s="334"/>
      <c r="OCX57" s="334"/>
      <c r="OCY57" s="334"/>
      <c r="OCZ57" s="334"/>
      <c r="ODA57" s="334"/>
      <c r="ODB57" s="334"/>
      <c r="ODC57" s="334"/>
      <c r="ODD57" s="334"/>
      <c r="ODE57" s="334"/>
      <c r="ODF57" s="334"/>
      <c r="ODG57" s="334"/>
      <c r="ODH57" s="334"/>
      <c r="ODI57" s="334"/>
      <c r="ODJ57" s="334"/>
      <c r="ODK57" s="334"/>
      <c r="ODL57" s="334"/>
      <c r="ODM57" s="334"/>
      <c r="ODN57" s="334"/>
      <c r="ODO57" s="334"/>
      <c r="ODP57" s="334"/>
      <c r="ODQ57" s="334"/>
      <c r="ODR57" s="334"/>
      <c r="ODS57" s="334"/>
      <c r="ODT57" s="334"/>
      <c r="ODU57" s="334"/>
      <c r="ODV57" s="334"/>
      <c r="ODW57" s="334"/>
      <c r="ODX57" s="334"/>
      <c r="ODY57" s="334"/>
      <c r="ODZ57" s="334"/>
      <c r="OEA57" s="334"/>
      <c r="OEB57" s="334"/>
      <c r="OEC57" s="334"/>
      <c r="OED57" s="334"/>
      <c r="OEE57" s="334"/>
      <c r="OEF57" s="334"/>
      <c r="OEG57" s="334"/>
      <c r="OEH57" s="334"/>
      <c r="OEI57" s="334"/>
      <c r="OEJ57" s="334"/>
      <c r="OEK57" s="334"/>
      <c r="OEL57" s="334"/>
      <c r="OEM57" s="334"/>
      <c r="OEN57" s="334"/>
      <c r="OEO57" s="334"/>
      <c r="OEP57" s="334"/>
      <c r="OEQ57" s="334"/>
      <c r="OER57" s="334"/>
      <c r="OES57" s="334"/>
      <c r="OET57" s="334"/>
      <c r="OEU57" s="334"/>
      <c r="OEV57" s="334"/>
      <c r="OEW57" s="334"/>
      <c r="OEX57" s="334"/>
      <c r="OEY57" s="334"/>
      <c r="OEZ57" s="334"/>
      <c r="OFA57" s="334"/>
      <c r="OFB57" s="334"/>
      <c r="OFC57" s="334"/>
      <c r="OFD57" s="334"/>
      <c r="OFE57" s="334"/>
      <c r="OFF57" s="334"/>
      <c r="OFG57" s="334"/>
      <c r="OFH57" s="334"/>
      <c r="OFI57" s="334"/>
      <c r="OFJ57" s="334"/>
      <c r="OFK57" s="334"/>
      <c r="OFL57" s="334"/>
      <c r="OFM57" s="334"/>
      <c r="OFN57" s="334"/>
      <c r="OFO57" s="334"/>
      <c r="OFP57" s="334"/>
      <c r="OFQ57" s="334"/>
      <c r="OFR57" s="334"/>
      <c r="OFS57" s="334"/>
      <c r="OFT57" s="334"/>
      <c r="OFU57" s="334"/>
      <c r="OFV57" s="334"/>
      <c r="OFW57" s="334"/>
      <c r="OFX57" s="334"/>
      <c r="OFY57" s="334"/>
      <c r="OFZ57" s="334"/>
      <c r="OGA57" s="334"/>
      <c r="OGB57" s="334"/>
      <c r="OGC57" s="334"/>
      <c r="OGD57" s="334"/>
      <c r="OGE57" s="334"/>
      <c r="OGF57" s="334"/>
      <c r="OGG57" s="334"/>
      <c r="OGH57" s="334"/>
      <c r="OGI57" s="334"/>
      <c r="OGJ57" s="334"/>
      <c r="OGK57" s="334"/>
      <c r="OGL57" s="334"/>
      <c r="OGM57" s="334"/>
      <c r="OGN57" s="334"/>
      <c r="OGO57" s="334"/>
      <c r="OGP57" s="334"/>
      <c r="OGQ57" s="334"/>
      <c r="OGR57" s="334"/>
      <c r="OGS57" s="334"/>
      <c r="OGT57" s="334"/>
      <c r="OGU57" s="334"/>
      <c r="OGV57" s="334"/>
      <c r="OGW57" s="334"/>
      <c r="OGX57" s="334"/>
      <c r="OGY57" s="334"/>
      <c r="OGZ57" s="334"/>
      <c r="OHA57" s="334"/>
      <c r="OHB57" s="334"/>
      <c r="OHC57" s="334"/>
      <c r="OHD57" s="334"/>
      <c r="OHE57" s="334"/>
      <c r="OHF57" s="334"/>
      <c r="OHG57" s="334"/>
      <c r="OHH57" s="334"/>
      <c r="OHI57" s="334"/>
      <c r="OHJ57" s="334"/>
      <c r="OHK57" s="334"/>
      <c r="OHL57" s="334"/>
      <c r="OHM57" s="334"/>
      <c r="OHN57" s="334"/>
      <c r="OHO57" s="334"/>
      <c r="OHP57" s="334"/>
      <c r="OHQ57" s="334"/>
      <c r="OHR57" s="334"/>
      <c r="OHS57" s="334"/>
      <c r="OHT57" s="334"/>
      <c r="OHU57" s="334"/>
      <c r="OHV57" s="334"/>
      <c r="OHW57" s="334"/>
      <c r="OHX57" s="334"/>
      <c r="OHY57" s="334"/>
      <c r="OHZ57" s="334"/>
      <c r="OIA57" s="334"/>
      <c r="OIB57" s="334"/>
      <c r="OIC57" s="334"/>
      <c r="OID57" s="334"/>
      <c r="OIE57" s="334"/>
      <c r="OIF57" s="334"/>
      <c r="OIG57" s="334"/>
      <c r="OIH57" s="334"/>
      <c r="OII57" s="334"/>
      <c r="OIJ57" s="334"/>
      <c r="OIK57" s="334"/>
      <c r="OIL57" s="334"/>
      <c r="OIM57" s="334"/>
      <c r="OIN57" s="334"/>
      <c r="OIO57" s="334"/>
      <c r="OIP57" s="334"/>
      <c r="OIQ57" s="334"/>
      <c r="OIR57" s="334"/>
      <c r="OIS57" s="334"/>
      <c r="OIT57" s="334"/>
      <c r="OIU57" s="334"/>
      <c r="OIV57" s="334"/>
      <c r="OIW57" s="334"/>
      <c r="OIX57" s="334"/>
      <c r="OIY57" s="334"/>
      <c r="OIZ57" s="334"/>
      <c r="OJA57" s="334"/>
      <c r="OJB57" s="334"/>
      <c r="OJC57" s="334"/>
      <c r="OJD57" s="334"/>
      <c r="OJE57" s="334"/>
      <c r="OJF57" s="334"/>
      <c r="OJG57" s="334"/>
      <c r="OJH57" s="334"/>
      <c r="OJI57" s="334"/>
      <c r="OJJ57" s="334"/>
      <c r="OJK57" s="334"/>
      <c r="OJL57" s="334"/>
      <c r="OJM57" s="334"/>
      <c r="OJN57" s="334"/>
      <c r="OJO57" s="334"/>
      <c r="OJP57" s="334"/>
      <c r="OJQ57" s="334"/>
      <c r="OJR57" s="334"/>
      <c r="OJS57" s="334"/>
      <c r="OJT57" s="334"/>
      <c r="OJU57" s="334"/>
      <c r="OJV57" s="334"/>
      <c r="OJW57" s="334"/>
      <c r="OJX57" s="334"/>
      <c r="OJY57" s="334"/>
      <c r="OJZ57" s="334"/>
      <c r="OKA57" s="334"/>
      <c r="OKB57" s="334"/>
      <c r="OKC57" s="334"/>
      <c r="OKD57" s="334"/>
      <c r="OKE57" s="334"/>
      <c r="OKF57" s="334"/>
      <c r="OKG57" s="334"/>
      <c r="OKH57" s="334"/>
      <c r="OKI57" s="334"/>
      <c r="OKJ57" s="334"/>
      <c r="OKK57" s="334"/>
      <c r="OKL57" s="334"/>
      <c r="OKM57" s="334"/>
      <c r="OKN57" s="334"/>
      <c r="OKO57" s="334"/>
      <c r="OKP57" s="334"/>
      <c r="OKQ57" s="334"/>
      <c r="OKR57" s="334"/>
      <c r="OKS57" s="334"/>
      <c r="OKT57" s="334"/>
      <c r="OKU57" s="334"/>
      <c r="OKV57" s="334"/>
      <c r="OKW57" s="334"/>
      <c r="OKX57" s="334"/>
      <c r="OKY57" s="334"/>
      <c r="OKZ57" s="334"/>
      <c r="OLA57" s="334"/>
      <c r="OLB57" s="334"/>
      <c r="OLC57" s="334"/>
      <c r="OLD57" s="334"/>
      <c r="OLE57" s="334"/>
      <c r="OLF57" s="334"/>
      <c r="OLG57" s="334"/>
      <c r="OLH57" s="334"/>
      <c r="OLI57" s="334"/>
      <c r="OLJ57" s="334"/>
      <c r="OLK57" s="334"/>
      <c r="OLL57" s="334"/>
      <c r="OLM57" s="334"/>
      <c r="OLN57" s="334"/>
      <c r="OLO57" s="334"/>
      <c r="OLP57" s="334"/>
      <c r="OLQ57" s="334"/>
      <c r="OLR57" s="334"/>
      <c r="OLS57" s="334"/>
      <c r="OLT57" s="334"/>
      <c r="OLU57" s="334"/>
      <c r="OLV57" s="334"/>
      <c r="OLW57" s="334"/>
      <c r="OLX57" s="334"/>
      <c r="OLY57" s="334"/>
      <c r="OLZ57" s="334"/>
      <c r="OMA57" s="334"/>
      <c r="OMB57" s="334"/>
      <c r="OMC57" s="334"/>
      <c r="OMD57" s="334"/>
      <c r="OME57" s="334"/>
      <c r="OMF57" s="334"/>
      <c r="OMG57" s="334"/>
      <c r="OMH57" s="334"/>
      <c r="OMI57" s="334"/>
      <c r="OMJ57" s="334"/>
      <c r="OMK57" s="334"/>
      <c r="OML57" s="334"/>
      <c r="OMM57" s="334"/>
      <c r="OMN57" s="334"/>
      <c r="OMO57" s="334"/>
      <c r="OMP57" s="334"/>
      <c r="OMQ57" s="334"/>
      <c r="OMR57" s="334"/>
      <c r="OMS57" s="334"/>
      <c r="OMT57" s="334"/>
      <c r="OMU57" s="334"/>
      <c r="OMV57" s="334"/>
      <c r="OMW57" s="334"/>
      <c r="OMX57" s="334"/>
      <c r="OMY57" s="334"/>
      <c r="OMZ57" s="334"/>
      <c r="ONA57" s="334"/>
      <c r="ONB57" s="334"/>
      <c r="ONC57" s="334"/>
      <c r="OND57" s="334"/>
      <c r="ONE57" s="334"/>
      <c r="ONF57" s="334"/>
      <c r="ONG57" s="334"/>
      <c r="ONH57" s="334"/>
      <c r="ONI57" s="334"/>
      <c r="ONJ57" s="334"/>
      <c r="ONK57" s="334"/>
      <c r="ONL57" s="334"/>
      <c r="ONM57" s="334"/>
      <c r="ONN57" s="334"/>
      <c r="ONO57" s="334"/>
      <c r="ONP57" s="334"/>
      <c r="ONQ57" s="334"/>
      <c r="ONR57" s="334"/>
      <c r="ONS57" s="334"/>
      <c r="ONT57" s="334"/>
      <c r="ONU57" s="334"/>
      <c r="ONV57" s="334"/>
      <c r="ONW57" s="334"/>
      <c r="ONX57" s="334"/>
      <c r="ONY57" s="334"/>
      <c r="ONZ57" s="334"/>
      <c r="OOA57" s="334"/>
      <c r="OOB57" s="334"/>
      <c r="OOC57" s="334"/>
      <c r="OOD57" s="334"/>
      <c r="OOE57" s="334"/>
      <c r="OOF57" s="334"/>
      <c r="OOG57" s="334"/>
      <c r="OOH57" s="334"/>
      <c r="OOI57" s="334"/>
      <c r="OOJ57" s="334"/>
      <c r="OOK57" s="334"/>
      <c r="OOL57" s="334"/>
      <c r="OOM57" s="334"/>
      <c r="OON57" s="334"/>
      <c r="OOO57" s="334"/>
      <c r="OOP57" s="334"/>
      <c r="OOQ57" s="334"/>
      <c r="OOR57" s="334"/>
      <c r="OOS57" s="334"/>
      <c r="OOT57" s="334"/>
      <c r="OOU57" s="334"/>
      <c r="OOV57" s="334"/>
      <c r="OOW57" s="334"/>
      <c r="OOX57" s="334"/>
      <c r="OOY57" s="334"/>
      <c r="OOZ57" s="334"/>
      <c r="OPA57" s="334"/>
      <c r="OPB57" s="334"/>
      <c r="OPC57" s="334"/>
      <c r="OPD57" s="334"/>
      <c r="OPE57" s="334"/>
      <c r="OPF57" s="334"/>
      <c r="OPG57" s="334"/>
      <c r="OPH57" s="334"/>
      <c r="OPI57" s="334"/>
      <c r="OPJ57" s="334"/>
      <c r="OPK57" s="334"/>
      <c r="OPL57" s="334"/>
      <c r="OPM57" s="334"/>
      <c r="OPN57" s="334"/>
      <c r="OPO57" s="334"/>
      <c r="OPP57" s="334"/>
      <c r="OPQ57" s="334"/>
      <c r="OPR57" s="334"/>
      <c r="OPS57" s="334"/>
      <c r="OPT57" s="334"/>
      <c r="OPU57" s="334"/>
      <c r="OPV57" s="334"/>
      <c r="OPW57" s="334"/>
      <c r="OPX57" s="334"/>
      <c r="OPY57" s="334"/>
      <c r="OPZ57" s="334"/>
      <c r="OQA57" s="334"/>
      <c r="OQB57" s="334"/>
      <c r="OQC57" s="334"/>
      <c r="OQD57" s="334"/>
      <c r="OQE57" s="334"/>
      <c r="OQF57" s="334"/>
      <c r="OQG57" s="334"/>
      <c r="OQH57" s="334"/>
      <c r="OQI57" s="334"/>
      <c r="OQJ57" s="334"/>
      <c r="OQK57" s="334"/>
      <c r="OQL57" s="334"/>
      <c r="OQM57" s="334"/>
      <c r="OQN57" s="334"/>
      <c r="OQO57" s="334"/>
      <c r="OQP57" s="334"/>
      <c r="OQQ57" s="334"/>
      <c r="OQR57" s="334"/>
      <c r="OQS57" s="334"/>
      <c r="OQT57" s="334"/>
      <c r="OQU57" s="334"/>
      <c r="OQV57" s="334"/>
      <c r="OQW57" s="334"/>
      <c r="OQX57" s="334"/>
      <c r="OQY57" s="334"/>
      <c r="OQZ57" s="334"/>
      <c r="ORA57" s="334"/>
      <c r="ORB57" s="334"/>
      <c r="ORC57" s="334"/>
      <c r="ORD57" s="334"/>
      <c r="ORE57" s="334"/>
      <c r="ORF57" s="334"/>
      <c r="ORG57" s="334"/>
      <c r="ORH57" s="334"/>
      <c r="ORI57" s="334"/>
      <c r="ORJ57" s="334"/>
      <c r="ORK57" s="334"/>
      <c r="ORL57" s="334"/>
      <c r="ORM57" s="334"/>
      <c r="ORN57" s="334"/>
      <c r="ORO57" s="334"/>
      <c r="ORP57" s="334"/>
      <c r="ORQ57" s="334"/>
      <c r="ORR57" s="334"/>
      <c r="ORS57" s="334"/>
      <c r="ORT57" s="334"/>
      <c r="ORU57" s="334"/>
      <c r="ORV57" s="334"/>
      <c r="ORW57" s="334"/>
      <c r="ORX57" s="334"/>
      <c r="ORY57" s="334"/>
      <c r="ORZ57" s="334"/>
      <c r="OSA57" s="334"/>
      <c r="OSB57" s="334"/>
      <c r="OSC57" s="334"/>
      <c r="OSD57" s="334"/>
      <c r="OSE57" s="334"/>
      <c r="OSF57" s="334"/>
      <c r="OSG57" s="334"/>
      <c r="OSH57" s="334"/>
      <c r="OSI57" s="334"/>
      <c r="OSJ57" s="334"/>
      <c r="OSK57" s="334"/>
      <c r="OSL57" s="334"/>
      <c r="OSM57" s="334"/>
      <c r="OSN57" s="334"/>
      <c r="OSO57" s="334"/>
      <c r="OSP57" s="334"/>
      <c r="OSQ57" s="334"/>
      <c r="OSR57" s="334"/>
      <c r="OSS57" s="334"/>
      <c r="OST57" s="334"/>
      <c r="OSU57" s="334"/>
      <c r="OSV57" s="334"/>
      <c r="OSW57" s="334"/>
      <c r="OSX57" s="334"/>
      <c r="OSY57" s="334"/>
      <c r="OSZ57" s="334"/>
      <c r="OTA57" s="334"/>
      <c r="OTB57" s="334"/>
      <c r="OTC57" s="334"/>
      <c r="OTD57" s="334"/>
      <c r="OTE57" s="334"/>
      <c r="OTF57" s="334"/>
      <c r="OTG57" s="334"/>
      <c r="OTH57" s="334"/>
      <c r="OTI57" s="334"/>
      <c r="OTJ57" s="334"/>
      <c r="OTK57" s="334"/>
      <c r="OTL57" s="334"/>
      <c r="OTM57" s="334"/>
      <c r="OTN57" s="334"/>
      <c r="OTO57" s="334"/>
      <c r="OTP57" s="334"/>
      <c r="OTQ57" s="334"/>
      <c r="OTR57" s="334"/>
      <c r="OTS57" s="334"/>
      <c r="OTT57" s="334"/>
      <c r="OTU57" s="334"/>
      <c r="OTV57" s="334"/>
      <c r="OTW57" s="334"/>
      <c r="OTX57" s="334"/>
      <c r="OTY57" s="334"/>
      <c r="OTZ57" s="334"/>
      <c r="OUA57" s="334"/>
      <c r="OUB57" s="334"/>
      <c r="OUC57" s="334"/>
      <c r="OUD57" s="334"/>
      <c r="OUE57" s="334"/>
      <c r="OUF57" s="334"/>
      <c r="OUG57" s="334"/>
      <c r="OUH57" s="334"/>
      <c r="OUI57" s="334"/>
      <c r="OUJ57" s="334"/>
      <c r="OUK57" s="334"/>
      <c r="OUL57" s="334"/>
      <c r="OUM57" s="334"/>
      <c r="OUN57" s="334"/>
      <c r="OUO57" s="334"/>
      <c r="OUP57" s="334"/>
      <c r="OUQ57" s="334"/>
      <c r="OUR57" s="334"/>
      <c r="OUS57" s="334"/>
      <c r="OUT57" s="334"/>
      <c r="OUU57" s="334"/>
      <c r="OUV57" s="334"/>
      <c r="OUW57" s="334"/>
      <c r="OUX57" s="334"/>
      <c r="OUY57" s="334"/>
      <c r="OUZ57" s="334"/>
      <c r="OVA57" s="334"/>
      <c r="OVB57" s="334"/>
      <c r="OVC57" s="334"/>
      <c r="OVD57" s="334"/>
      <c r="OVE57" s="334"/>
      <c r="OVF57" s="334"/>
      <c r="OVG57" s="334"/>
      <c r="OVH57" s="334"/>
      <c r="OVI57" s="334"/>
      <c r="OVJ57" s="334"/>
      <c r="OVK57" s="334"/>
      <c r="OVL57" s="334"/>
      <c r="OVM57" s="334"/>
      <c r="OVN57" s="334"/>
      <c r="OVO57" s="334"/>
      <c r="OVP57" s="334"/>
      <c r="OVQ57" s="334"/>
      <c r="OVR57" s="334"/>
      <c r="OVS57" s="334"/>
      <c r="OVT57" s="334"/>
      <c r="OVU57" s="334"/>
      <c r="OVV57" s="334"/>
      <c r="OVW57" s="334"/>
      <c r="OVX57" s="334"/>
      <c r="OVY57" s="334"/>
      <c r="OVZ57" s="334"/>
      <c r="OWA57" s="334"/>
      <c r="OWB57" s="334"/>
      <c r="OWC57" s="334"/>
      <c r="OWD57" s="334"/>
      <c r="OWE57" s="334"/>
      <c r="OWF57" s="334"/>
      <c r="OWG57" s="334"/>
      <c r="OWH57" s="334"/>
      <c r="OWI57" s="334"/>
      <c r="OWJ57" s="334"/>
      <c r="OWK57" s="334"/>
      <c r="OWL57" s="334"/>
      <c r="OWM57" s="334"/>
      <c r="OWN57" s="334"/>
      <c r="OWO57" s="334"/>
      <c r="OWP57" s="334"/>
      <c r="OWQ57" s="334"/>
      <c r="OWR57" s="334"/>
      <c r="OWS57" s="334"/>
      <c r="OWT57" s="334"/>
      <c r="OWU57" s="334"/>
      <c r="OWV57" s="334"/>
      <c r="OWW57" s="334"/>
      <c r="OWX57" s="334"/>
      <c r="OWY57" s="334"/>
      <c r="OWZ57" s="334"/>
      <c r="OXA57" s="334"/>
      <c r="OXB57" s="334"/>
      <c r="OXC57" s="334"/>
      <c r="OXD57" s="334"/>
      <c r="OXE57" s="334"/>
      <c r="OXF57" s="334"/>
      <c r="OXG57" s="334"/>
      <c r="OXH57" s="334"/>
      <c r="OXI57" s="334"/>
      <c r="OXJ57" s="334"/>
      <c r="OXK57" s="334"/>
      <c r="OXL57" s="334"/>
      <c r="OXM57" s="334"/>
      <c r="OXN57" s="334"/>
      <c r="OXO57" s="334"/>
      <c r="OXP57" s="334"/>
      <c r="OXQ57" s="334"/>
      <c r="OXR57" s="334"/>
      <c r="OXS57" s="334"/>
      <c r="OXT57" s="334"/>
      <c r="OXU57" s="334"/>
      <c r="OXV57" s="334"/>
      <c r="OXW57" s="334"/>
      <c r="OXX57" s="334"/>
      <c r="OXY57" s="334"/>
      <c r="OXZ57" s="334"/>
      <c r="OYA57" s="334"/>
      <c r="OYB57" s="334"/>
      <c r="OYC57" s="334"/>
      <c r="OYD57" s="334"/>
      <c r="OYE57" s="334"/>
      <c r="OYF57" s="334"/>
      <c r="OYG57" s="334"/>
      <c r="OYH57" s="334"/>
      <c r="OYI57" s="334"/>
      <c r="OYJ57" s="334"/>
      <c r="OYK57" s="334"/>
      <c r="OYL57" s="334"/>
      <c r="OYM57" s="334"/>
      <c r="OYN57" s="334"/>
      <c r="OYO57" s="334"/>
      <c r="OYP57" s="334"/>
      <c r="OYQ57" s="334"/>
      <c r="OYR57" s="334"/>
      <c r="OYS57" s="334"/>
      <c r="OYT57" s="334"/>
      <c r="OYU57" s="334"/>
      <c r="OYV57" s="334"/>
      <c r="OYW57" s="334"/>
      <c r="OYX57" s="334"/>
      <c r="OYY57" s="334"/>
      <c r="OYZ57" s="334"/>
      <c r="OZA57" s="334"/>
      <c r="OZB57" s="334"/>
      <c r="OZC57" s="334"/>
      <c r="OZD57" s="334"/>
      <c r="OZE57" s="334"/>
      <c r="OZF57" s="334"/>
      <c r="OZG57" s="334"/>
      <c r="OZH57" s="334"/>
      <c r="OZI57" s="334"/>
      <c r="OZJ57" s="334"/>
      <c r="OZK57" s="334"/>
      <c r="OZL57" s="334"/>
      <c r="OZM57" s="334"/>
      <c r="OZN57" s="334"/>
      <c r="OZO57" s="334"/>
      <c r="OZP57" s="334"/>
      <c r="OZQ57" s="334"/>
      <c r="OZR57" s="334"/>
      <c r="OZS57" s="334"/>
      <c r="OZT57" s="334"/>
      <c r="OZU57" s="334"/>
      <c r="OZV57" s="334"/>
      <c r="OZW57" s="334"/>
      <c r="OZX57" s="334"/>
      <c r="OZY57" s="334"/>
      <c r="OZZ57" s="334"/>
      <c r="PAA57" s="334"/>
      <c r="PAB57" s="334"/>
      <c r="PAC57" s="334"/>
      <c r="PAD57" s="334"/>
      <c r="PAE57" s="334"/>
      <c r="PAF57" s="334"/>
      <c r="PAG57" s="334"/>
      <c r="PAH57" s="334"/>
      <c r="PAI57" s="334"/>
      <c r="PAJ57" s="334"/>
      <c r="PAK57" s="334"/>
      <c r="PAL57" s="334"/>
      <c r="PAM57" s="334"/>
      <c r="PAN57" s="334"/>
      <c r="PAO57" s="334"/>
      <c r="PAP57" s="334"/>
      <c r="PAQ57" s="334"/>
      <c r="PAR57" s="334"/>
      <c r="PAS57" s="334"/>
      <c r="PAT57" s="334"/>
      <c r="PAU57" s="334"/>
      <c r="PAV57" s="334"/>
      <c r="PAW57" s="334"/>
      <c r="PAX57" s="334"/>
      <c r="PAY57" s="334"/>
      <c r="PAZ57" s="334"/>
      <c r="PBA57" s="334"/>
      <c r="PBB57" s="334"/>
      <c r="PBC57" s="334"/>
      <c r="PBD57" s="334"/>
      <c r="PBE57" s="334"/>
      <c r="PBF57" s="334"/>
      <c r="PBG57" s="334"/>
      <c r="PBH57" s="334"/>
      <c r="PBI57" s="334"/>
      <c r="PBJ57" s="334"/>
      <c r="PBK57" s="334"/>
      <c r="PBL57" s="334"/>
      <c r="PBM57" s="334"/>
      <c r="PBN57" s="334"/>
      <c r="PBO57" s="334"/>
      <c r="PBP57" s="334"/>
      <c r="PBQ57" s="334"/>
      <c r="PBR57" s="334"/>
      <c r="PBS57" s="334"/>
      <c r="PBT57" s="334"/>
      <c r="PBU57" s="334"/>
      <c r="PBV57" s="334"/>
      <c r="PBW57" s="334"/>
      <c r="PBX57" s="334"/>
      <c r="PBY57" s="334"/>
      <c r="PBZ57" s="334"/>
      <c r="PCA57" s="334"/>
      <c r="PCB57" s="334"/>
      <c r="PCC57" s="334"/>
      <c r="PCD57" s="334"/>
      <c r="PCE57" s="334"/>
      <c r="PCF57" s="334"/>
      <c r="PCG57" s="334"/>
      <c r="PCH57" s="334"/>
      <c r="PCI57" s="334"/>
      <c r="PCJ57" s="334"/>
      <c r="PCK57" s="334"/>
      <c r="PCL57" s="334"/>
      <c r="PCM57" s="334"/>
      <c r="PCN57" s="334"/>
      <c r="PCO57" s="334"/>
      <c r="PCP57" s="334"/>
      <c r="PCQ57" s="334"/>
      <c r="PCR57" s="334"/>
      <c r="PCS57" s="334"/>
      <c r="PCT57" s="334"/>
      <c r="PCU57" s="334"/>
      <c r="PCV57" s="334"/>
      <c r="PCW57" s="334"/>
      <c r="PCX57" s="334"/>
      <c r="PCY57" s="334"/>
      <c r="PCZ57" s="334"/>
      <c r="PDA57" s="334"/>
      <c r="PDB57" s="334"/>
      <c r="PDC57" s="334"/>
      <c r="PDD57" s="334"/>
      <c r="PDE57" s="334"/>
      <c r="PDF57" s="334"/>
      <c r="PDG57" s="334"/>
      <c r="PDH57" s="334"/>
      <c r="PDI57" s="334"/>
      <c r="PDJ57" s="334"/>
      <c r="PDK57" s="334"/>
      <c r="PDL57" s="334"/>
      <c r="PDM57" s="334"/>
      <c r="PDN57" s="334"/>
      <c r="PDO57" s="334"/>
      <c r="PDP57" s="334"/>
      <c r="PDQ57" s="334"/>
      <c r="PDR57" s="334"/>
      <c r="PDS57" s="334"/>
      <c r="PDT57" s="334"/>
      <c r="PDU57" s="334"/>
      <c r="PDV57" s="334"/>
      <c r="PDW57" s="334"/>
      <c r="PDX57" s="334"/>
      <c r="PDY57" s="334"/>
      <c r="PDZ57" s="334"/>
      <c r="PEA57" s="334"/>
      <c r="PEB57" s="334"/>
      <c r="PEC57" s="334"/>
      <c r="PED57" s="334"/>
      <c r="PEE57" s="334"/>
      <c r="PEF57" s="334"/>
      <c r="PEG57" s="334"/>
      <c r="PEH57" s="334"/>
      <c r="PEI57" s="334"/>
      <c r="PEJ57" s="334"/>
      <c r="PEK57" s="334"/>
      <c r="PEL57" s="334"/>
      <c r="PEM57" s="334"/>
      <c r="PEN57" s="334"/>
      <c r="PEO57" s="334"/>
      <c r="PEP57" s="334"/>
      <c r="PEQ57" s="334"/>
      <c r="PER57" s="334"/>
      <c r="PES57" s="334"/>
      <c r="PET57" s="334"/>
      <c r="PEU57" s="334"/>
      <c r="PEV57" s="334"/>
      <c r="PEW57" s="334"/>
      <c r="PEX57" s="334"/>
      <c r="PEY57" s="334"/>
      <c r="PEZ57" s="334"/>
      <c r="PFA57" s="334"/>
      <c r="PFB57" s="334"/>
      <c r="PFC57" s="334"/>
      <c r="PFD57" s="334"/>
      <c r="PFE57" s="334"/>
      <c r="PFF57" s="334"/>
      <c r="PFG57" s="334"/>
      <c r="PFH57" s="334"/>
      <c r="PFI57" s="334"/>
      <c r="PFJ57" s="334"/>
      <c r="PFK57" s="334"/>
      <c r="PFL57" s="334"/>
      <c r="PFM57" s="334"/>
      <c r="PFN57" s="334"/>
      <c r="PFO57" s="334"/>
      <c r="PFP57" s="334"/>
      <c r="PFQ57" s="334"/>
      <c r="PFR57" s="334"/>
      <c r="PFS57" s="334"/>
      <c r="PFT57" s="334"/>
      <c r="PFU57" s="334"/>
      <c r="PFV57" s="334"/>
      <c r="PFW57" s="334"/>
      <c r="PFX57" s="334"/>
      <c r="PFY57" s="334"/>
      <c r="PFZ57" s="334"/>
      <c r="PGA57" s="334"/>
      <c r="PGB57" s="334"/>
      <c r="PGC57" s="334"/>
      <c r="PGD57" s="334"/>
      <c r="PGE57" s="334"/>
      <c r="PGF57" s="334"/>
      <c r="PGG57" s="334"/>
      <c r="PGH57" s="334"/>
      <c r="PGI57" s="334"/>
      <c r="PGJ57" s="334"/>
      <c r="PGK57" s="334"/>
      <c r="PGL57" s="334"/>
      <c r="PGM57" s="334"/>
      <c r="PGN57" s="334"/>
      <c r="PGO57" s="334"/>
      <c r="PGP57" s="334"/>
      <c r="PGQ57" s="334"/>
      <c r="PGR57" s="334"/>
      <c r="PGS57" s="334"/>
      <c r="PGT57" s="334"/>
      <c r="PGU57" s="334"/>
      <c r="PGV57" s="334"/>
      <c r="PGW57" s="334"/>
      <c r="PGX57" s="334"/>
      <c r="PGY57" s="334"/>
      <c r="PGZ57" s="334"/>
      <c r="PHA57" s="334"/>
      <c r="PHB57" s="334"/>
      <c r="PHC57" s="334"/>
      <c r="PHD57" s="334"/>
      <c r="PHE57" s="334"/>
      <c r="PHF57" s="334"/>
      <c r="PHG57" s="334"/>
      <c r="PHH57" s="334"/>
      <c r="PHI57" s="334"/>
      <c r="PHJ57" s="334"/>
      <c r="PHK57" s="334"/>
      <c r="PHL57" s="334"/>
      <c r="PHM57" s="334"/>
      <c r="PHN57" s="334"/>
      <c r="PHO57" s="334"/>
      <c r="PHP57" s="334"/>
      <c r="PHQ57" s="334"/>
      <c r="PHR57" s="334"/>
      <c r="PHS57" s="334"/>
      <c r="PHT57" s="334"/>
      <c r="PHU57" s="334"/>
      <c r="PHV57" s="334"/>
      <c r="PHW57" s="334"/>
      <c r="PHX57" s="334"/>
      <c r="PHY57" s="334"/>
      <c r="PHZ57" s="334"/>
      <c r="PIA57" s="334"/>
      <c r="PIB57" s="334"/>
      <c r="PIC57" s="334"/>
      <c r="PID57" s="334"/>
      <c r="PIE57" s="334"/>
      <c r="PIF57" s="334"/>
      <c r="PIG57" s="334"/>
      <c r="PIH57" s="334"/>
      <c r="PII57" s="334"/>
      <c r="PIJ57" s="334"/>
      <c r="PIK57" s="334"/>
      <c r="PIL57" s="334"/>
      <c r="PIM57" s="334"/>
      <c r="PIN57" s="334"/>
      <c r="PIO57" s="334"/>
      <c r="PIP57" s="334"/>
      <c r="PIQ57" s="334"/>
      <c r="PIR57" s="334"/>
      <c r="PIS57" s="334"/>
      <c r="PIT57" s="334"/>
      <c r="PIU57" s="334"/>
      <c r="PIV57" s="334"/>
      <c r="PIW57" s="334"/>
      <c r="PIX57" s="334"/>
      <c r="PIY57" s="334"/>
      <c r="PIZ57" s="334"/>
      <c r="PJA57" s="334"/>
      <c r="PJB57" s="334"/>
      <c r="PJC57" s="334"/>
      <c r="PJD57" s="334"/>
      <c r="PJE57" s="334"/>
      <c r="PJF57" s="334"/>
      <c r="PJG57" s="334"/>
      <c r="PJH57" s="334"/>
      <c r="PJI57" s="334"/>
      <c r="PJJ57" s="334"/>
      <c r="PJK57" s="334"/>
      <c r="PJL57" s="334"/>
      <c r="PJM57" s="334"/>
      <c r="PJN57" s="334"/>
      <c r="PJO57" s="334"/>
      <c r="PJP57" s="334"/>
      <c r="PJQ57" s="334"/>
      <c r="PJR57" s="334"/>
      <c r="PJS57" s="334"/>
      <c r="PJT57" s="334"/>
      <c r="PJU57" s="334"/>
      <c r="PJV57" s="334"/>
      <c r="PJW57" s="334"/>
      <c r="PJX57" s="334"/>
      <c r="PJY57" s="334"/>
      <c r="PJZ57" s="334"/>
      <c r="PKA57" s="334"/>
      <c r="PKB57" s="334"/>
      <c r="PKC57" s="334"/>
      <c r="PKD57" s="334"/>
      <c r="PKE57" s="334"/>
      <c r="PKF57" s="334"/>
      <c r="PKG57" s="334"/>
      <c r="PKH57" s="334"/>
      <c r="PKI57" s="334"/>
      <c r="PKJ57" s="334"/>
      <c r="PKK57" s="334"/>
      <c r="PKL57" s="334"/>
      <c r="PKM57" s="334"/>
      <c r="PKN57" s="334"/>
      <c r="PKO57" s="334"/>
      <c r="PKP57" s="334"/>
      <c r="PKQ57" s="334"/>
      <c r="PKR57" s="334"/>
      <c r="PKS57" s="334"/>
      <c r="PKT57" s="334"/>
      <c r="PKU57" s="334"/>
      <c r="PKV57" s="334"/>
      <c r="PKW57" s="334"/>
      <c r="PKX57" s="334"/>
      <c r="PKY57" s="334"/>
      <c r="PKZ57" s="334"/>
      <c r="PLA57" s="334"/>
      <c r="PLB57" s="334"/>
      <c r="PLC57" s="334"/>
      <c r="PLD57" s="334"/>
      <c r="PLE57" s="334"/>
      <c r="PLF57" s="334"/>
      <c r="PLG57" s="334"/>
      <c r="PLH57" s="334"/>
      <c r="PLI57" s="334"/>
      <c r="PLJ57" s="334"/>
      <c r="PLK57" s="334"/>
      <c r="PLL57" s="334"/>
      <c r="PLM57" s="334"/>
      <c r="PLN57" s="334"/>
      <c r="PLO57" s="334"/>
      <c r="PLP57" s="334"/>
      <c r="PLQ57" s="334"/>
      <c r="PLR57" s="334"/>
      <c r="PLS57" s="334"/>
      <c r="PLT57" s="334"/>
      <c r="PLU57" s="334"/>
      <c r="PLV57" s="334"/>
      <c r="PLW57" s="334"/>
      <c r="PLX57" s="334"/>
      <c r="PLY57" s="334"/>
      <c r="PLZ57" s="334"/>
      <c r="PMA57" s="334"/>
      <c r="PMB57" s="334"/>
      <c r="PMC57" s="334"/>
      <c r="PMD57" s="334"/>
      <c r="PME57" s="334"/>
      <c r="PMF57" s="334"/>
      <c r="PMG57" s="334"/>
      <c r="PMH57" s="334"/>
      <c r="PMI57" s="334"/>
      <c r="PMJ57" s="334"/>
      <c r="PMK57" s="334"/>
      <c r="PML57" s="334"/>
      <c r="PMM57" s="334"/>
      <c r="PMN57" s="334"/>
      <c r="PMO57" s="334"/>
      <c r="PMP57" s="334"/>
      <c r="PMQ57" s="334"/>
      <c r="PMR57" s="334"/>
      <c r="PMS57" s="334"/>
      <c r="PMT57" s="334"/>
      <c r="PMU57" s="334"/>
      <c r="PMV57" s="334"/>
      <c r="PMW57" s="334"/>
      <c r="PMX57" s="334"/>
      <c r="PMY57" s="334"/>
      <c r="PMZ57" s="334"/>
      <c r="PNA57" s="334"/>
      <c r="PNB57" s="334"/>
      <c r="PNC57" s="334"/>
      <c r="PND57" s="334"/>
      <c r="PNE57" s="334"/>
      <c r="PNF57" s="334"/>
      <c r="PNG57" s="334"/>
      <c r="PNH57" s="334"/>
      <c r="PNI57" s="334"/>
      <c r="PNJ57" s="334"/>
      <c r="PNK57" s="334"/>
      <c r="PNL57" s="334"/>
      <c r="PNM57" s="334"/>
      <c r="PNN57" s="334"/>
      <c r="PNO57" s="334"/>
      <c r="PNP57" s="334"/>
      <c r="PNQ57" s="334"/>
      <c r="PNR57" s="334"/>
      <c r="PNS57" s="334"/>
      <c r="PNT57" s="334"/>
      <c r="PNU57" s="334"/>
      <c r="PNV57" s="334"/>
      <c r="PNW57" s="334"/>
      <c r="PNX57" s="334"/>
      <c r="PNY57" s="334"/>
      <c r="PNZ57" s="334"/>
      <c r="POA57" s="334"/>
      <c r="POB57" s="334"/>
      <c r="POC57" s="334"/>
      <c r="POD57" s="334"/>
      <c r="POE57" s="334"/>
      <c r="POF57" s="334"/>
      <c r="POG57" s="334"/>
      <c r="POH57" s="334"/>
      <c r="POI57" s="334"/>
      <c r="POJ57" s="334"/>
      <c r="POK57" s="334"/>
      <c r="POL57" s="334"/>
      <c r="POM57" s="334"/>
      <c r="PON57" s="334"/>
      <c r="POO57" s="334"/>
      <c r="POP57" s="334"/>
      <c r="POQ57" s="334"/>
      <c r="POR57" s="334"/>
      <c r="POS57" s="334"/>
      <c r="POT57" s="334"/>
      <c r="POU57" s="334"/>
      <c r="POV57" s="334"/>
      <c r="POW57" s="334"/>
      <c r="POX57" s="334"/>
      <c r="POY57" s="334"/>
      <c r="POZ57" s="334"/>
      <c r="PPA57" s="334"/>
      <c r="PPB57" s="334"/>
      <c r="PPC57" s="334"/>
      <c r="PPD57" s="334"/>
      <c r="PPE57" s="334"/>
      <c r="PPF57" s="334"/>
      <c r="PPG57" s="334"/>
      <c r="PPH57" s="334"/>
      <c r="PPI57" s="334"/>
      <c r="PPJ57" s="334"/>
      <c r="PPK57" s="334"/>
      <c r="PPL57" s="334"/>
      <c r="PPM57" s="334"/>
      <c r="PPN57" s="334"/>
      <c r="PPO57" s="334"/>
      <c r="PPP57" s="334"/>
      <c r="PPQ57" s="334"/>
      <c r="PPR57" s="334"/>
      <c r="PPS57" s="334"/>
      <c r="PPT57" s="334"/>
      <c r="PPU57" s="334"/>
      <c r="PPV57" s="334"/>
      <c r="PPW57" s="334"/>
      <c r="PPX57" s="334"/>
      <c r="PPY57" s="334"/>
      <c r="PPZ57" s="334"/>
      <c r="PQA57" s="334"/>
      <c r="PQB57" s="334"/>
      <c r="PQC57" s="334"/>
      <c r="PQD57" s="334"/>
      <c r="PQE57" s="334"/>
      <c r="PQF57" s="334"/>
      <c r="PQG57" s="334"/>
      <c r="PQH57" s="334"/>
      <c r="PQI57" s="334"/>
      <c r="PQJ57" s="334"/>
      <c r="PQK57" s="334"/>
      <c r="PQL57" s="334"/>
      <c r="PQM57" s="334"/>
      <c r="PQN57" s="334"/>
      <c r="PQO57" s="334"/>
      <c r="PQP57" s="334"/>
      <c r="PQQ57" s="334"/>
      <c r="PQR57" s="334"/>
      <c r="PQS57" s="334"/>
      <c r="PQT57" s="334"/>
      <c r="PQU57" s="334"/>
      <c r="PQV57" s="334"/>
      <c r="PQW57" s="334"/>
      <c r="PQX57" s="334"/>
      <c r="PQY57" s="334"/>
      <c r="PQZ57" s="334"/>
      <c r="PRA57" s="334"/>
      <c r="PRB57" s="334"/>
      <c r="PRC57" s="334"/>
      <c r="PRD57" s="334"/>
      <c r="PRE57" s="334"/>
      <c r="PRF57" s="334"/>
      <c r="PRG57" s="334"/>
      <c r="PRH57" s="334"/>
      <c r="PRI57" s="334"/>
      <c r="PRJ57" s="334"/>
      <c r="PRK57" s="334"/>
      <c r="PRL57" s="334"/>
      <c r="PRM57" s="334"/>
      <c r="PRN57" s="334"/>
      <c r="PRO57" s="334"/>
      <c r="PRP57" s="334"/>
      <c r="PRQ57" s="334"/>
      <c r="PRR57" s="334"/>
      <c r="PRS57" s="334"/>
      <c r="PRT57" s="334"/>
      <c r="PRU57" s="334"/>
      <c r="PRV57" s="334"/>
      <c r="PRW57" s="334"/>
      <c r="PRX57" s="334"/>
      <c r="PRY57" s="334"/>
      <c r="PRZ57" s="334"/>
      <c r="PSA57" s="334"/>
      <c r="PSB57" s="334"/>
      <c r="PSC57" s="334"/>
      <c r="PSD57" s="334"/>
      <c r="PSE57" s="334"/>
      <c r="PSF57" s="334"/>
      <c r="PSG57" s="334"/>
      <c r="PSH57" s="334"/>
      <c r="PSI57" s="334"/>
      <c r="PSJ57" s="334"/>
      <c r="PSK57" s="334"/>
      <c r="PSL57" s="334"/>
      <c r="PSM57" s="334"/>
      <c r="PSN57" s="334"/>
      <c r="PSO57" s="334"/>
      <c r="PSP57" s="334"/>
      <c r="PSQ57" s="334"/>
      <c r="PSR57" s="334"/>
      <c r="PSS57" s="334"/>
      <c r="PST57" s="334"/>
      <c r="PSU57" s="334"/>
      <c r="PSV57" s="334"/>
      <c r="PSW57" s="334"/>
      <c r="PSX57" s="334"/>
      <c r="PSY57" s="334"/>
      <c r="PSZ57" s="334"/>
      <c r="PTA57" s="334"/>
      <c r="PTB57" s="334"/>
      <c r="PTC57" s="334"/>
      <c r="PTD57" s="334"/>
      <c r="PTE57" s="334"/>
      <c r="PTF57" s="334"/>
      <c r="PTG57" s="334"/>
      <c r="PTH57" s="334"/>
      <c r="PTI57" s="334"/>
      <c r="PTJ57" s="334"/>
      <c r="PTK57" s="334"/>
      <c r="PTL57" s="334"/>
      <c r="PTM57" s="334"/>
      <c r="PTN57" s="334"/>
      <c r="PTO57" s="334"/>
      <c r="PTP57" s="334"/>
      <c r="PTQ57" s="334"/>
      <c r="PTR57" s="334"/>
      <c r="PTS57" s="334"/>
      <c r="PTT57" s="334"/>
      <c r="PTU57" s="334"/>
      <c r="PTV57" s="334"/>
      <c r="PTW57" s="334"/>
      <c r="PTX57" s="334"/>
      <c r="PTY57" s="334"/>
      <c r="PTZ57" s="334"/>
      <c r="PUA57" s="334"/>
      <c r="PUB57" s="334"/>
      <c r="PUC57" s="334"/>
      <c r="PUD57" s="334"/>
      <c r="PUE57" s="334"/>
      <c r="PUF57" s="334"/>
      <c r="PUG57" s="334"/>
      <c r="PUH57" s="334"/>
      <c r="PUI57" s="334"/>
      <c r="PUJ57" s="334"/>
      <c r="PUK57" s="334"/>
      <c r="PUL57" s="334"/>
      <c r="PUM57" s="334"/>
      <c r="PUN57" s="334"/>
      <c r="PUO57" s="334"/>
      <c r="PUP57" s="334"/>
      <c r="PUQ57" s="334"/>
      <c r="PUR57" s="334"/>
      <c r="PUS57" s="334"/>
      <c r="PUT57" s="334"/>
      <c r="PUU57" s="334"/>
      <c r="PUV57" s="334"/>
      <c r="PUW57" s="334"/>
      <c r="PUX57" s="334"/>
      <c r="PUY57" s="334"/>
      <c r="PUZ57" s="334"/>
      <c r="PVA57" s="334"/>
      <c r="PVB57" s="334"/>
      <c r="PVC57" s="334"/>
      <c r="PVD57" s="334"/>
      <c r="PVE57" s="334"/>
      <c r="PVF57" s="334"/>
      <c r="PVG57" s="334"/>
      <c r="PVH57" s="334"/>
      <c r="PVI57" s="334"/>
      <c r="PVJ57" s="334"/>
      <c r="PVK57" s="334"/>
      <c r="PVL57" s="334"/>
      <c r="PVM57" s="334"/>
      <c r="PVN57" s="334"/>
      <c r="PVO57" s="334"/>
      <c r="PVP57" s="334"/>
      <c r="PVQ57" s="334"/>
      <c r="PVR57" s="334"/>
      <c r="PVS57" s="334"/>
      <c r="PVT57" s="334"/>
      <c r="PVU57" s="334"/>
      <c r="PVV57" s="334"/>
      <c r="PVW57" s="334"/>
      <c r="PVX57" s="334"/>
      <c r="PVY57" s="334"/>
      <c r="PVZ57" s="334"/>
      <c r="PWA57" s="334"/>
      <c r="PWB57" s="334"/>
      <c r="PWC57" s="334"/>
      <c r="PWD57" s="334"/>
      <c r="PWE57" s="334"/>
      <c r="PWF57" s="334"/>
      <c r="PWG57" s="334"/>
      <c r="PWH57" s="334"/>
      <c r="PWI57" s="334"/>
      <c r="PWJ57" s="334"/>
      <c r="PWK57" s="334"/>
      <c r="PWL57" s="334"/>
      <c r="PWM57" s="334"/>
      <c r="PWN57" s="334"/>
      <c r="PWO57" s="334"/>
      <c r="PWP57" s="334"/>
      <c r="PWQ57" s="334"/>
      <c r="PWR57" s="334"/>
      <c r="PWS57" s="334"/>
      <c r="PWT57" s="334"/>
      <c r="PWU57" s="334"/>
      <c r="PWV57" s="334"/>
      <c r="PWW57" s="334"/>
      <c r="PWX57" s="334"/>
      <c r="PWY57" s="334"/>
      <c r="PWZ57" s="334"/>
      <c r="PXA57" s="334"/>
      <c r="PXB57" s="334"/>
      <c r="PXC57" s="334"/>
      <c r="PXD57" s="334"/>
      <c r="PXE57" s="334"/>
      <c r="PXF57" s="334"/>
      <c r="PXG57" s="334"/>
      <c r="PXH57" s="334"/>
      <c r="PXI57" s="334"/>
      <c r="PXJ57" s="334"/>
      <c r="PXK57" s="334"/>
      <c r="PXL57" s="334"/>
      <c r="PXM57" s="334"/>
      <c r="PXN57" s="334"/>
      <c r="PXO57" s="334"/>
      <c r="PXP57" s="334"/>
      <c r="PXQ57" s="334"/>
      <c r="PXR57" s="334"/>
      <c r="PXS57" s="334"/>
      <c r="PXT57" s="334"/>
      <c r="PXU57" s="334"/>
      <c r="PXV57" s="334"/>
      <c r="PXW57" s="334"/>
      <c r="PXX57" s="334"/>
      <c r="PXY57" s="334"/>
      <c r="PXZ57" s="334"/>
      <c r="PYA57" s="334"/>
      <c r="PYB57" s="334"/>
      <c r="PYC57" s="334"/>
      <c r="PYD57" s="334"/>
      <c r="PYE57" s="334"/>
      <c r="PYF57" s="334"/>
      <c r="PYG57" s="334"/>
      <c r="PYH57" s="334"/>
      <c r="PYI57" s="334"/>
      <c r="PYJ57" s="334"/>
      <c r="PYK57" s="334"/>
      <c r="PYL57" s="334"/>
      <c r="PYM57" s="334"/>
      <c r="PYN57" s="334"/>
      <c r="PYO57" s="334"/>
      <c r="PYP57" s="334"/>
      <c r="PYQ57" s="334"/>
      <c r="PYR57" s="334"/>
      <c r="PYS57" s="334"/>
      <c r="PYT57" s="334"/>
      <c r="PYU57" s="334"/>
      <c r="PYV57" s="334"/>
      <c r="PYW57" s="334"/>
      <c r="PYX57" s="334"/>
      <c r="PYY57" s="334"/>
      <c r="PYZ57" s="334"/>
      <c r="PZA57" s="334"/>
      <c r="PZB57" s="334"/>
      <c r="PZC57" s="334"/>
      <c r="PZD57" s="334"/>
      <c r="PZE57" s="334"/>
      <c r="PZF57" s="334"/>
      <c r="PZG57" s="334"/>
      <c r="PZH57" s="334"/>
      <c r="PZI57" s="334"/>
      <c r="PZJ57" s="334"/>
      <c r="PZK57" s="334"/>
      <c r="PZL57" s="334"/>
      <c r="PZM57" s="334"/>
      <c r="PZN57" s="334"/>
      <c r="PZO57" s="334"/>
      <c r="PZP57" s="334"/>
      <c r="PZQ57" s="334"/>
      <c r="PZR57" s="334"/>
      <c r="PZS57" s="334"/>
      <c r="PZT57" s="334"/>
      <c r="PZU57" s="334"/>
      <c r="PZV57" s="334"/>
      <c r="PZW57" s="334"/>
      <c r="PZX57" s="334"/>
      <c r="PZY57" s="334"/>
      <c r="PZZ57" s="334"/>
      <c r="QAA57" s="334"/>
      <c r="QAB57" s="334"/>
      <c r="QAC57" s="334"/>
      <c r="QAD57" s="334"/>
      <c r="QAE57" s="334"/>
      <c r="QAF57" s="334"/>
      <c r="QAG57" s="334"/>
      <c r="QAH57" s="334"/>
      <c r="QAI57" s="334"/>
      <c r="QAJ57" s="334"/>
      <c r="QAK57" s="334"/>
      <c r="QAL57" s="334"/>
      <c r="QAM57" s="334"/>
      <c r="QAN57" s="334"/>
      <c r="QAO57" s="334"/>
      <c r="QAP57" s="334"/>
      <c r="QAQ57" s="334"/>
      <c r="QAR57" s="334"/>
      <c r="QAS57" s="334"/>
      <c r="QAT57" s="334"/>
      <c r="QAU57" s="334"/>
      <c r="QAV57" s="334"/>
      <c r="QAW57" s="334"/>
      <c r="QAX57" s="334"/>
      <c r="QAY57" s="334"/>
      <c r="QAZ57" s="334"/>
      <c r="QBA57" s="334"/>
      <c r="QBB57" s="334"/>
      <c r="QBC57" s="334"/>
      <c r="QBD57" s="334"/>
      <c r="QBE57" s="334"/>
      <c r="QBF57" s="334"/>
      <c r="QBG57" s="334"/>
      <c r="QBH57" s="334"/>
      <c r="QBI57" s="334"/>
      <c r="QBJ57" s="334"/>
      <c r="QBK57" s="334"/>
      <c r="QBL57" s="334"/>
      <c r="QBM57" s="334"/>
      <c r="QBN57" s="334"/>
      <c r="QBO57" s="334"/>
      <c r="QBP57" s="334"/>
      <c r="QBQ57" s="334"/>
      <c r="QBR57" s="334"/>
      <c r="QBS57" s="334"/>
      <c r="QBT57" s="334"/>
      <c r="QBU57" s="334"/>
      <c r="QBV57" s="334"/>
      <c r="QBW57" s="334"/>
      <c r="QBX57" s="334"/>
      <c r="QBY57" s="334"/>
      <c r="QBZ57" s="334"/>
      <c r="QCA57" s="334"/>
      <c r="QCB57" s="334"/>
      <c r="QCC57" s="334"/>
      <c r="QCD57" s="334"/>
      <c r="QCE57" s="334"/>
      <c r="QCF57" s="334"/>
      <c r="QCG57" s="334"/>
      <c r="QCH57" s="334"/>
      <c r="QCI57" s="334"/>
      <c r="QCJ57" s="334"/>
      <c r="QCK57" s="334"/>
      <c r="QCL57" s="334"/>
      <c r="QCM57" s="334"/>
      <c r="QCN57" s="334"/>
      <c r="QCO57" s="334"/>
      <c r="QCP57" s="334"/>
      <c r="QCQ57" s="334"/>
      <c r="QCR57" s="334"/>
      <c r="QCS57" s="334"/>
      <c r="QCT57" s="334"/>
      <c r="QCU57" s="334"/>
      <c r="QCV57" s="334"/>
      <c r="QCW57" s="334"/>
      <c r="QCX57" s="334"/>
      <c r="QCY57" s="334"/>
      <c r="QCZ57" s="334"/>
      <c r="QDA57" s="334"/>
      <c r="QDB57" s="334"/>
      <c r="QDC57" s="334"/>
      <c r="QDD57" s="334"/>
      <c r="QDE57" s="334"/>
      <c r="QDF57" s="334"/>
      <c r="QDG57" s="334"/>
      <c r="QDH57" s="334"/>
      <c r="QDI57" s="334"/>
      <c r="QDJ57" s="334"/>
      <c r="QDK57" s="334"/>
      <c r="QDL57" s="334"/>
      <c r="QDM57" s="334"/>
      <c r="QDN57" s="334"/>
      <c r="QDO57" s="334"/>
      <c r="QDP57" s="334"/>
      <c r="QDQ57" s="334"/>
      <c r="QDR57" s="334"/>
      <c r="QDS57" s="334"/>
      <c r="QDT57" s="334"/>
      <c r="QDU57" s="334"/>
      <c r="QDV57" s="334"/>
      <c r="QDW57" s="334"/>
      <c r="QDX57" s="334"/>
      <c r="QDY57" s="334"/>
      <c r="QDZ57" s="334"/>
      <c r="QEA57" s="334"/>
      <c r="QEB57" s="334"/>
      <c r="QEC57" s="334"/>
      <c r="QED57" s="334"/>
      <c r="QEE57" s="334"/>
      <c r="QEF57" s="334"/>
      <c r="QEG57" s="334"/>
      <c r="QEH57" s="334"/>
      <c r="QEI57" s="334"/>
      <c r="QEJ57" s="334"/>
      <c r="QEK57" s="334"/>
      <c r="QEL57" s="334"/>
      <c r="QEM57" s="334"/>
      <c r="QEN57" s="334"/>
      <c r="QEO57" s="334"/>
      <c r="QEP57" s="334"/>
      <c r="QEQ57" s="334"/>
      <c r="QER57" s="334"/>
      <c r="QES57" s="334"/>
      <c r="QET57" s="334"/>
      <c r="QEU57" s="334"/>
      <c r="QEV57" s="334"/>
      <c r="QEW57" s="334"/>
      <c r="QEX57" s="334"/>
      <c r="QEY57" s="334"/>
      <c r="QEZ57" s="334"/>
      <c r="QFA57" s="334"/>
      <c r="QFB57" s="334"/>
      <c r="QFC57" s="334"/>
      <c r="QFD57" s="334"/>
      <c r="QFE57" s="334"/>
      <c r="QFF57" s="334"/>
      <c r="QFG57" s="334"/>
      <c r="QFH57" s="334"/>
      <c r="QFI57" s="334"/>
      <c r="QFJ57" s="334"/>
      <c r="QFK57" s="334"/>
      <c r="QFL57" s="334"/>
      <c r="QFM57" s="334"/>
      <c r="QFN57" s="334"/>
      <c r="QFO57" s="334"/>
      <c r="QFP57" s="334"/>
      <c r="QFQ57" s="334"/>
      <c r="QFR57" s="334"/>
      <c r="QFS57" s="334"/>
      <c r="QFT57" s="334"/>
      <c r="QFU57" s="334"/>
      <c r="QFV57" s="334"/>
      <c r="QFW57" s="334"/>
      <c r="QFX57" s="334"/>
      <c r="QFY57" s="334"/>
      <c r="QFZ57" s="334"/>
      <c r="QGA57" s="334"/>
      <c r="QGB57" s="334"/>
      <c r="QGC57" s="334"/>
      <c r="QGD57" s="334"/>
      <c r="QGE57" s="334"/>
      <c r="QGF57" s="334"/>
      <c r="QGG57" s="334"/>
      <c r="QGH57" s="334"/>
      <c r="QGI57" s="334"/>
      <c r="QGJ57" s="334"/>
      <c r="QGK57" s="334"/>
      <c r="QGL57" s="334"/>
      <c r="QGM57" s="334"/>
      <c r="QGN57" s="334"/>
      <c r="QGO57" s="334"/>
      <c r="QGP57" s="334"/>
      <c r="QGQ57" s="334"/>
      <c r="QGR57" s="334"/>
      <c r="QGS57" s="334"/>
      <c r="QGT57" s="334"/>
      <c r="QGU57" s="334"/>
      <c r="QGV57" s="334"/>
      <c r="QGW57" s="334"/>
      <c r="QGX57" s="334"/>
      <c r="QGY57" s="334"/>
      <c r="QGZ57" s="334"/>
      <c r="QHA57" s="334"/>
      <c r="QHB57" s="334"/>
      <c r="QHC57" s="334"/>
      <c r="QHD57" s="334"/>
      <c r="QHE57" s="334"/>
      <c r="QHF57" s="334"/>
      <c r="QHG57" s="334"/>
      <c r="QHH57" s="334"/>
      <c r="QHI57" s="334"/>
      <c r="QHJ57" s="334"/>
      <c r="QHK57" s="334"/>
      <c r="QHL57" s="334"/>
      <c r="QHM57" s="334"/>
      <c r="QHN57" s="334"/>
      <c r="QHO57" s="334"/>
      <c r="QHP57" s="334"/>
      <c r="QHQ57" s="334"/>
      <c r="QHR57" s="334"/>
      <c r="QHS57" s="334"/>
      <c r="QHT57" s="334"/>
      <c r="QHU57" s="334"/>
      <c r="QHV57" s="334"/>
      <c r="QHW57" s="334"/>
      <c r="QHX57" s="334"/>
      <c r="QHY57" s="334"/>
      <c r="QHZ57" s="334"/>
      <c r="QIA57" s="334"/>
      <c r="QIB57" s="334"/>
      <c r="QIC57" s="334"/>
      <c r="QID57" s="334"/>
      <c r="QIE57" s="334"/>
      <c r="QIF57" s="334"/>
      <c r="QIG57" s="334"/>
      <c r="QIH57" s="334"/>
      <c r="QII57" s="334"/>
      <c r="QIJ57" s="334"/>
      <c r="QIK57" s="334"/>
      <c r="QIL57" s="334"/>
      <c r="QIM57" s="334"/>
      <c r="QIN57" s="334"/>
      <c r="QIO57" s="334"/>
      <c r="QIP57" s="334"/>
      <c r="QIQ57" s="334"/>
      <c r="QIR57" s="334"/>
      <c r="QIS57" s="334"/>
      <c r="QIT57" s="334"/>
      <c r="QIU57" s="334"/>
      <c r="QIV57" s="334"/>
      <c r="QIW57" s="334"/>
      <c r="QIX57" s="334"/>
      <c r="QIY57" s="334"/>
      <c r="QIZ57" s="334"/>
      <c r="QJA57" s="334"/>
      <c r="QJB57" s="334"/>
      <c r="QJC57" s="334"/>
      <c r="QJD57" s="334"/>
      <c r="QJE57" s="334"/>
      <c r="QJF57" s="334"/>
      <c r="QJG57" s="334"/>
      <c r="QJH57" s="334"/>
      <c r="QJI57" s="334"/>
      <c r="QJJ57" s="334"/>
      <c r="QJK57" s="334"/>
      <c r="QJL57" s="334"/>
      <c r="QJM57" s="334"/>
      <c r="QJN57" s="334"/>
      <c r="QJO57" s="334"/>
      <c r="QJP57" s="334"/>
      <c r="QJQ57" s="334"/>
      <c r="QJR57" s="334"/>
      <c r="QJS57" s="334"/>
      <c r="QJT57" s="334"/>
      <c r="QJU57" s="334"/>
      <c r="QJV57" s="334"/>
      <c r="QJW57" s="334"/>
      <c r="QJX57" s="334"/>
      <c r="QJY57" s="334"/>
      <c r="QJZ57" s="334"/>
      <c r="QKA57" s="334"/>
      <c r="QKB57" s="334"/>
      <c r="QKC57" s="334"/>
      <c r="QKD57" s="334"/>
      <c r="QKE57" s="334"/>
      <c r="QKF57" s="334"/>
      <c r="QKG57" s="334"/>
      <c r="QKH57" s="334"/>
      <c r="QKI57" s="334"/>
      <c r="QKJ57" s="334"/>
      <c r="QKK57" s="334"/>
      <c r="QKL57" s="334"/>
      <c r="QKM57" s="334"/>
      <c r="QKN57" s="334"/>
      <c r="QKO57" s="334"/>
      <c r="QKP57" s="334"/>
      <c r="QKQ57" s="334"/>
      <c r="QKR57" s="334"/>
      <c r="QKS57" s="334"/>
      <c r="QKT57" s="334"/>
      <c r="QKU57" s="334"/>
      <c r="QKV57" s="334"/>
      <c r="QKW57" s="334"/>
      <c r="QKX57" s="334"/>
      <c r="QKY57" s="334"/>
      <c r="QKZ57" s="334"/>
      <c r="QLA57" s="334"/>
      <c r="QLB57" s="334"/>
      <c r="QLC57" s="334"/>
      <c r="QLD57" s="334"/>
      <c r="QLE57" s="334"/>
      <c r="QLF57" s="334"/>
      <c r="QLG57" s="334"/>
      <c r="QLH57" s="334"/>
      <c r="QLI57" s="334"/>
      <c r="QLJ57" s="334"/>
      <c r="QLK57" s="334"/>
      <c r="QLL57" s="334"/>
      <c r="QLM57" s="334"/>
      <c r="QLN57" s="334"/>
      <c r="QLO57" s="334"/>
      <c r="QLP57" s="334"/>
      <c r="QLQ57" s="334"/>
      <c r="QLR57" s="334"/>
      <c r="QLS57" s="334"/>
      <c r="QLT57" s="334"/>
      <c r="QLU57" s="334"/>
      <c r="QLV57" s="334"/>
      <c r="QLW57" s="334"/>
      <c r="QLX57" s="334"/>
      <c r="QLY57" s="334"/>
      <c r="QLZ57" s="334"/>
      <c r="QMA57" s="334"/>
      <c r="QMB57" s="334"/>
      <c r="QMC57" s="334"/>
      <c r="QMD57" s="334"/>
      <c r="QME57" s="334"/>
      <c r="QMF57" s="334"/>
      <c r="QMG57" s="334"/>
      <c r="QMH57" s="334"/>
      <c r="QMI57" s="334"/>
      <c r="QMJ57" s="334"/>
      <c r="QMK57" s="334"/>
      <c r="QML57" s="334"/>
      <c r="QMM57" s="334"/>
      <c r="QMN57" s="334"/>
      <c r="QMO57" s="334"/>
      <c r="QMP57" s="334"/>
      <c r="QMQ57" s="334"/>
      <c r="QMR57" s="334"/>
      <c r="QMS57" s="334"/>
      <c r="QMT57" s="334"/>
      <c r="QMU57" s="334"/>
      <c r="QMV57" s="334"/>
      <c r="QMW57" s="334"/>
      <c r="QMX57" s="334"/>
      <c r="QMY57" s="334"/>
      <c r="QMZ57" s="334"/>
      <c r="QNA57" s="334"/>
      <c r="QNB57" s="334"/>
      <c r="QNC57" s="334"/>
      <c r="QND57" s="334"/>
      <c r="QNE57" s="334"/>
      <c r="QNF57" s="334"/>
      <c r="QNG57" s="334"/>
      <c r="QNH57" s="334"/>
      <c r="QNI57" s="334"/>
      <c r="QNJ57" s="334"/>
      <c r="QNK57" s="334"/>
      <c r="QNL57" s="334"/>
      <c r="QNM57" s="334"/>
      <c r="QNN57" s="334"/>
      <c r="QNO57" s="334"/>
      <c r="QNP57" s="334"/>
      <c r="QNQ57" s="334"/>
      <c r="QNR57" s="334"/>
      <c r="QNS57" s="334"/>
      <c r="QNT57" s="334"/>
      <c r="QNU57" s="334"/>
      <c r="QNV57" s="334"/>
      <c r="QNW57" s="334"/>
      <c r="QNX57" s="334"/>
      <c r="QNY57" s="334"/>
      <c r="QNZ57" s="334"/>
      <c r="QOA57" s="334"/>
      <c r="QOB57" s="334"/>
      <c r="QOC57" s="334"/>
      <c r="QOD57" s="334"/>
      <c r="QOE57" s="334"/>
      <c r="QOF57" s="334"/>
      <c r="QOG57" s="334"/>
      <c r="QOH57" s="334"/>
      <c r="QOI57" s="334"/>
      <c r="QOJ57" s="334"/>
      <c r="QOK57" s="334"/>
      <c r="QOL57" s="334"/>
      <c r="QOM57" s="334"/>
      <c r="QON57" s="334"/>
      <c r="QOO57" s="334"/>
      <c r="QOP57" s="334"/>
      <c r="QOQ57" s="334"/>
      <c r="QOR57" s="334"/>
      <c r="QOS57" s="334"/>
      <c r="QOT57" s="334"/>
      <c r="QOU57" s="334"/>
      <c r="QOV57" s="334"/>
      <c r="QOW57" s="334"/>
      <c r="QOX57" s="334"/>
      <c r="QOY57" s="334"/>
      <c r="QOZ57" s="334"/>
      <c r="QPA57" s="334"/>
      <c r="QPB57" s="334"/>
      <c r="QPC57" s="334"/>
      <c r="QPD57" s="334"/>
      <c r="QPE57" s="334"/>
      <c r="QPF57" s="334"/>
      <c r="QPG57" s="334"/>
      <c r="QPH57" s="334"/>
      <c r="QPI57" s="334"/>
      <c r="QPJ57" s="334"/>
      <c r="QPK57" s="334"/>
      <c r="QPL57" s="334"/>
      <c r="QPM57" s="334"/>
      <c r="QPN57" s="334"/>
      <c r="QPO57" s="334"/>
      <c r="QPP57" s="334"/>
      <c r="QPQ57" s="334"/>
      <c r="QPR57" s="334"/>
      <c r="QPS57" s="334"/>
      <c r="QPT57" s="334"/>
      <c r="QPU57" s="334"/>
      <c r="QPV57" s="334"/>
      <c r="QPW57" s="334"/>
      <c r="QPX57" s="334"/>
      <c r="QPY57" s="334"/>
      <c r="QPZ57" s="334"/>
      <c r="QQA57" s="334"/>
      <c r="QQB57" s="334"/>
      <c r="QQC57" s="334"/>
      <c r="QQD57" s="334"/>
      <c r="QQE57" s="334"/>
      <c r="QQF57" s="334"/>
      <c r="QQG57" s="334"/>
      <c r="QQH57" s="334"/>
      <c r="QQI57" s="334"/>
      <c r="QQJ57" s="334"/>
      <c r="QQK57" s="334"/>
      <c r="QQL57" s="334"/>
      <c r="QQM57" s="334"/>
      <c r="QQN57" s="334"/>
      <c r="QQO57" s="334"/>
      <c r="QQP57" s="334"/>
      <c r="QQQ57" s="334"/>
      <c r="QQR57" s="334"/>
      <c r="QQS57" s="334"/>
      <c r="QQT57" s="334"/>
      <c r="QQU57" s="334"/>
      <c r="QQV57" s="334"/>
      <c r="QQW57" s="334"/>
      <c r="QQX57" s="334"/>
      <c r="QQY57" s="334"/>
      <c r="QQZ57" s="334"/>
      <c r="QRA57" s="334"/>
      <c r="QRB57" s="334"/>
      <c r="QRC57" s="334"/>
      <c r="QRD57" s="334"/>
      <c r="QRE57" s="334"/>
      <c r="QRF57" s="334"/>
      <c r="QRG57" s="334"/>
      <c r="QRH57" s="334"/>
      <c r="QRI57" s="334"/>
      <c r="QRJ57" s="334"/>
      <c r="QRK57" s="334"/>
      <c r="QRL57" s="334"/>
      <c r="QRM57" s="334"/>
      <c r="QRN57" s="334"/>
      <c r="QRO57" s="334"/>
      <c r="QRP57" s="334"/>
      <c r="QRQ57" s="334"/>
      <c r="QRR57" s="334"/>
      <c r="QRS57" s="334"/>
      <c r="QRT57" s="334"/>
      <c r="QRU57" s="334"/>
      <c r="QRV57" s="334"/>
      <c r="QRW57" s="334"/>
      <c r="QRX57" s="334"/>
      <c r="QRY57" s="334"/>
      <c r="QRZ57" s="334"/>
      <c r="QSA57" s="334"/>
      <c r="QSB57" s="334"/>
      <c r="QSC57" s="334"/>
      <c r="QSD57" s="334"/>
      <c r="QSE57" s="334"/>
      <c r="QSF57" s="334"/>
      <c r="QSG57" s="334"/>
      <c r="QSH57" s="334"/>
      <c r="QSI57" s="334"/>
      <c r="QSJ57" s="334"/>
      <c r="QSK57" s="334"/>
      <c r="QSL57" s="334"/>
      <c r="QSM57" s="334"/>
      <c r="QSN57" s="334"/>
      <c r="QSO57" s="334"/>
      <c r="QSP57" s="334"/>
      <c r="QSQ57" s="334"/>
      <c r="QSR57" s="334"/>
      <c r="QSS57" s="334"/>
      <c r="QST57" s="334"/>
      <c r="QSU57" s="334"/>
      <c r="QSV57" s="334"/>
      <c r="QSW57" s="334"/>
      <c r="QSX57" s="334"/>
      <c r="QSY57" s="334"/>
      <c r="QSZ57" s="334"/>
      <c r="QTA57" s="334"/>
      <c r="QTB57" s="334"/>
      <c r="QTC57" s="334"/>
      <c r="QTD57" s="334"/>
      <c r="QTE57" s="334"/>
      <c r="QTF57" s="334"/>
      <c r="QTG57" s="334"/>
      <c r="QTH57" s="334"/>
      <c r="QTI57" s="334"/>
      <c r="QTJ57" s="334"/>
      <c r="QTK57" s="334"/>
      <c r="QTL57" s="334"/>
      <c r="QTM57" s="334"/>
      <c r="QTN57" s="334"/>
      <c r="QTO57" s="334"/>
      <c r="QTP57" s="334"/>
      <c r="QTQ57" s="334"/>
      <c r="QTR57" s="334"/>
      <c r="QTS57" s="334"/>
      <c r="QTT57" s="334"/>
      <c r="QTU57" s="334"/>
      <c r="QTV57" s="334"/>
      <c r="QTW57" s="334"/>
      <c r="QTX57" s="334"/>
      <c r="QTY57" s="334"/>
      <c r="QTZ57" s="334"/>
      <c r="QUA57" s="334"/>
      <c r="QUB57" s="334"/>
      <c r="QUC57" s="334"/>
      <c r="QUD57" s="334"/>
      <c r="QUE57" s="334"/>
      <c r="QUF57" s="334"/>
      <c r="QUG57" s="334"/>
      <c r="QUH57" s="334"/>
      <c r="QUI57" s="334"/>
      <c r="QUJ57" s="334"/>
      <c r="QUK57" s="334"/>
      <c r="QUL57" s="334"/>
      <c r="QUM57" s="334"/>
      <c r="QUN57" s="334"/>
      <c r="QUO57" s="334"/>
      <c r="QUP57" s="334"/>
      <c r="QUQ57" s="334"/>
      <c r="QUR57" s="334"/>
      <c r="QUS57" s="334"/>
      <c r="QUT57" s="334"/>
      <c r="QUU57" s="334"/>
      <c r="QUV57" s="334"/>
      <c r="QUW57" s="334"/>
      <c r="QUX57" s="334"/>
      <c r="QUY57" s="334"/>
      <c r="QUZ57" s="334"/>
      <c r="QVA57" s="334"/>
      <c r="QVB57" s="334"/>
      <c r="QVC57" s="334"/>
      <c r="QVD57" s="334"/>
      <c r="QVE57" s="334"/>
      <c r="QVF57" s="334"/>
      <c r="QVG57" s="334"/>
      <c r="QVH57" s="334"/>
      <c r="QVI57" s="334"/>
      <c r="QVJ57" s="334"/>
      <c r="QVK57" s="334"/>
      <c r="QVL57" s="334"/>
      <c r="QVM57" s="334"/>
      <c r="QVN57" s="334"/>
      <c r="QVO57" s="334"/>
      <c r="QVP57" s="334"/>
      <c r="QVQ57" s="334"/>
      <c r="QVR57" s="334"/>
      <c r="QVS57" s="334"/>
      <c r="QVT57" s="334"/>
      <c r="QVU57" s="334"/>
      <c r="QVV57" s="334"/>
      <c r="QVW57" s="334"/>
      <c r="QVX57" s="334"/>
      <c r="QVY57" s="334"/>
      <c r="QVZ57" s="334"/>
      <c r="QWA57" s="334"/>
      <c r="QWB57" s="334"/>
      <c r="QWC57" s="334"/>
      <c r="QWD57" s="334"/>
      <c r="QWE57" s="334"/>
      <c r="QWF57" s="334"/>
      <c r="QWG57" s="334"/>
      <c r="QWH57" s="334"/>
      <c r="QWI57" s="334"/>
      <c r="QWJ57" s="334"/>
      <c r="QWK57" s="334"/>
      <c r="QWL57" s="334"/>
      <c r="QWM57" s="334"/>
      <c r="QWN57" s="334"/>
      <c r="QWO57" s="334"/>
      <c r="QWP57" s="334"/>
      <c r="QWQ57" s="334"/>
      <c r="QWR57" s="334"/>
      <c r="QWS57" s="334"/>
      <c r="QWT57" s="334"/>
      <c r="QWU57" s="334"/>
      <c r="QWV57" s="334"/>
      <c r="QWW57" s="334"/>
      <c r="QWX57" s="334"/>
      <c r="QWY57" s="334"/>
      <c r="QWZ57" s="334"/>
      <c r="QXA57" s="334"/>
      <c r="QXB57" s="334"/>
      <c r="QXC57" s="334"/>
      <c r="QXD57" s="334"/>
      <c r="QXE57" s="334"/>
      <c r="QXF57" s="334"/>
      <c r="QXG57" s="334"/>
      <c r="QXH57" s="334"/>
      <c r="QXI57" s="334"/>
      <c r="QXJ57" s="334"/>
      <c r="QXK57" s="334"/>
      <c r="QXL57" s="334"/>
      <c r="QXM57" s="334"/>
      <c r="QXN57" s="334"/>
      <c r="QXO57" s="334"/>
      <c r="QXP57" s="334"/>
      <c r="QXQ57" s="334"/>
      <c r="QXR57" s="334"/>
      <c r="QXS57" s="334"/>
      <c r="QXT57" s="334"/>
      <c r="QXU57" s="334"/>
      <c r="QXV57" s="334"/>
      <c r="QXW57" s="334"/>
      <c r="QXX57" s="334"/>
      <c r="QXY57" s="334"/>
      <c r="QXZ57" s="334"/>
      <c r="QYA57" s="334"/>
      <c r="QYB57" s="334"/>
      <c r="QYC57" s="334"/>
      <c r="QYD57" s="334"/>
      <c r="QYE57" s="334"/>
      <c r="QYF57" s="334"/>
      <c r="QYG57" s="334"/>
      <c r="QYH57" s="334"/>
      <c r="QYI57" s="334"/>
      <c r="QYJ57" s="334"/>
      <c r="QYK57" s="334"/>
      <c r="QYL57" s="334"/>
      <c r="QYM57" s="334"/>
      <c r="QYN57" s="334"/>
      <c r="QYO57" s="334"/>
      <c r="QYP57" s="334"/>
      <c r="QYQ57" s="334"/>
      <c r="QYR57" s="334"/>
      <c r="QYS57" s="334"/>
      <c r="QYT57" s="334"/>
      <c r="QYU57" s="334"/>
      <c r="QYV57" s="334"/>
      <c r="QYW57" s="334"/>
      <c r="QYX57" s="334"/>
      <c r="QYY57" s="334"/>
      <c r="QYZ57" s="334"/>
      <c r="QZA57" s="334"/>
      <c r="QZB57" s="334"/>
      <c r="QZC57" s="334"/>
      <c r="QZD57" s="334"/>
      <c r="QZE57" s="334"/>
      <c r="QZF57" s="334"/>
      <c r="QZG57" s="334"/>
      <c r="QZH57" s="334"/>
      <c r="QZI57" s="334"/>
      <c r="QZJ57" s="334"/>
      <c r="QZK57" s="334"/>
      <c r="QZL57" s="334"/>
      <c r="QZM57" s="334"/>
      <c r="QZN57" s="334"/>
      <c r="QZO57" s="334"/>
      <c r="QZP57" s="334"/>
      <c r="QZQ57" s="334"/>
      <c r="QZR57" s="334"/>
      <c r="QZS57" s="334"/>
      <c r="QZT57" s="334"/>
      <c r="QZU57" s="334"/>
      <c r="QZV57" s="334"/>
      <c r="QZW57" s="334"/>
      <c r="QZX57" s="334"/>
      <c r="QZY57" s="334"/>
      <c r="QZZ57" s="334"/>
      <c r="RAA57" s="334"/>
      <c r="RAB57" s="334"/>
      <c r="RAC57" s="334"/>
      <c r="RAD57" s="334"/>
      <c r="RAE57" s="334"/>
      <c r="RAF57" s="334"/>
      <c r="RAG57" s="334"/>
      <c r="RAH57" s="334"/>
      <c r="RAI57" s="334"/>
      <c r="RAJ57" s="334"/>
      <c r="RAK57" s="334"/>
      <c r="RAL57" s="334"/>
      <c r="RAM57" s="334"/>
      <c r="RAN57" s="334"/>
      <c r="RAO57" s="334"/>
      <c r="RAP57" s="334"/>
      <c r="RAQ57" s="334"/>
      <c r="RAR57" s="334"/>
      <c r="RAS57" s="334"/>
      <c r="RAT57" s="334"/>
      <c r="RAU57" s="334"/>
      <c r="RAV57" s="334"/>
      <c r="RAW57" s="334"/>
      <c r="RAX57" s="334"/>
      <c r="RAY57" s="334"/>
      <c r="RAZ57" s="334"/>
      <c r="RBA57" s="334"/>
      <c r="RBB57" s="334"/>
      <c r="RBC57" s="334"/>
      <c r="RBD57" s="334"/>
      <c r="RBE57" s="334"/>
      <c r="RBF57" s="334"/>
      <c r="RBG57" s="334"/>
      <c r="RBH57" s="334"/>
      <c r="RBI57" s="334"/>
      <c r="RBJ57" s="334"/>
      <c r="RBK57" s="334"/>
      <c r="RBL57" s="334"/>
      <c r="RBM57" s="334"/>
      <c r="RBN57" s="334"/>
      <c r="RBO57" s="334"/>
      <c r="RBP57" s="334"/>
      <c r="RBQ57" s="334"/>
      <c r="RBR57" s="334"/>
      <c r="RBS57" s="334"/>
      <c r="RBT57" s="334"/>
      <c r="RBU57" s="334"/>
      <c r="RBV57" s="334"/>
      <c r="RBW57" s="334"/>
      <c r="RBX57" s="334"/>
      <c r="RBY57" s="334"/>
      <c r="RBZ57" s="334"/>
      <c r="RCA57" s="334"/>
      <c r="RCB57" s="334"/>
      <c r="RCC57" s="334"/>
      <c r="RCD57" s="334"/>
      <c r="RCE57" s="334"/>
      <c r="RCF57" s="334"/>
      <c r="RCG57" s="334"/>
      <c r="RCH57" s="334"/>
      <c r="RCI57" s="334"/>
      <c r="RCJ57" s="334"/>
      <c r="RCK57" s="334"/>
      <c r="RCL57" s="334"/>
      <c r="RCM57" s="334"/>
      <c r="RCN57" s="334"/>
      <c r="RCO57" s="334"/>
      <c r="RCP57" s="334"/>
      <c r="RCQ57" s="334"/>
      <c r="RCR57" s="334"/>
      <c r="RCS57" s="334"/>
      <c r="RCT57" s="334"/>
      <c r="RCU57" s="334"/>
      <c r="RCV57" s="334"/>
      <c r="RCW57" s="334"/>
      <c r="RCX57" s="334"/>
      <c r="RCY57" s="334"/>
      <c r="RCZ57" s="334"/>
      <c r="RDA57" s="334"/>
      <c r="RDB57" s="334"/>
      <c r="RDC57" s="334"/>
      <c r="RDD57" s="334"/>
      <c r="RDE57" s="334"/>
      <c r="RDF57" s="334"/>
      <c r="RDG57" s="334"/>
      <c r="RDH57" s="334"/>
      <c r="RDI57" s="334"/>
      <c r="RDJ57" s="334"/>
      <c r="RDK57" s="334"/>
      <c r="RDL57" s="334"/>
      <c r="RDM57" s="334"/>
      <c r="RDN57" s="334"/>
      <c r="RDO57" s="334"/>
      <c r="RDP57" s="334"/>
      <c r="RDQ57" s="334"/>
      <c r="RDR57" s="334"/>
      <c r="RDS57" s="334"/>
      <c r="RDT57" s="334"/>
      <c r="RDU57" s="334"/>
      <c r="RDV57" s="334"/>
      <c r="RDW57" s="334"/>
      <c r="RDX57" s="334"/>
      <c r="RDY57" s="334"/>
      <c r="RDZ57" s="334"/>
      <c r="REA57" s="334"/>
      <c r="REB57" s="334"/>
      <c r="REC57" s="334"/>
      <c r="RED57" s="334"/>
      <c r="REE57" s="334"/>
      <c r="REF57" s="334"/>
      <c r="REG57" s="334"/>
      <c r="REH57" s="334"/>
      <c r="REI57" s="334"/>
      <c r="REJ57" s="334"/>
      <c r="REK57" s="334"/>
      <c r="REL57" s="334"/>
      <c r="REM57" s="334"/>
      <c r="REN57" s="334"/>
      <c r="REO57" s="334"/>
      <c r="REP57" s="334"/>
      <c r="REQ57" s="334"/>
      <c r="RER57" s="334"/>
      <c r="RES57" s="334"/>
      <c r="RET57" s="334"/>
      <c r="REU57" s="334"/>
      <c r="REV57" s="334"/>
      <c r="REW57" s="334"/>
      <c r="REX57" s="334"/>
      <c r="REY57" s="334"/>
      <c r="REZ57" s="334"/>
      <c r="RFA57" s="334"/>
      <c r="RFB57" s="334"/>
      <c r="RFC57" s="334"/>
      <c r="RFD57" s="334"/>
      <c r="RFE57" s="334"/>
      <c r="RFF57" s="334"/>
      <c r="RFG57" s="334"/>
      <c r="RFH57" s="334"/>
      <c r="RFI57" s="334"/>
      <c r="RFJ57" s="334"/>
      <c r="RFK57" s="334"/>
      <c r="RFL57" s="334"/>
      <c r="RFM57" s="334"/>
      <c r="RFN57" s="334"/>
      <c r="RFO57" s="334"/>
      <c r="RFP57" s="334"/>
      <c r="RFQ57" s="334"/>
      <c r="RFR57" s="334"/>
      <c r="RFS57" s="334"/>
      <c r="RFT57" s="334"/>
      <c r="RFU57" s="334"/>
      <c r="RFV57" s="334"/>
      <c r="RFW57" s="334"/>
      <c r="RFX57" s="334"/>
      <c r="RFY57" s="334"/>
      <c r="RFZ57" s="334"/>
      <c r="RGA57" s="334"/>
      <c r="RGB57" s="334"/>
      <c r="RGC57" s="334"/>
      <c r="RGD57" s="334"/>
      <c r="RGE57" s="334"/>
      <c r="RGF57" s="334"/>
      <c r="RGG57" s="334"/>
      <c r="RGH57" s="334"/>
      <c r="RGI57" s="334"/>
      <c r="RGJ57" s="334"/>
      <c r="RGK57" s="334"/>
      <c r="RGL57" s="334"/>
      <c r="RGM57" s="334"/>
      <c r="RGN57" s="334"/>
      <c r="RGO57" s="334"/>
      <c r="RGP57" s="334"/>
      <c r="RGQ57" s="334"/>
      <c r="RGR57" s="334"/>
      <c r="RGS57" s="334"/>
      <c r="RGT57" s="334"/>
      <c r="RGU57" s="334"/>
      <c r="RGV57" s="334"/>
      <c r="RGW57" s="334"/>
      <c r="RGX57" s="334"/>
      <c r="RGY57" s="334"/>
      <c r="RGZ57" s="334"/>
      <c r="RHA57" s="334"/>
      <c r="RHB57" s="334"/>
      <c r="RHC57" s="334"/>
      <c r="RHD57" s="334"/>
      <c r="RHE57" s="334"/>
      <c r="RHF57" s="334"/>
      <c r="RHG57" s="334"/>
      <c r="RHH57" s="334"/>
      <c r="RHI57" s="334"/>
      <c r="RHJ57" s="334"/>
      <c r="RHK57" s="334"/>
      <c r="RHL57" s="334"/>
      <c r="RHM57" s="334"/>
      <c r="RHN57" s="334"/>
      <c r="RHO57" s="334"/>
      <c r="RHP57" s="334"/>
      <c r="RHQ57" s="334"/>
      <c r="RHR57" s="334"/>
      <c r="RHS57" s="334"/>
      <c r="RHT57" s="334"/>
      <c r="RHU57" s="334"/>
      <c r="RHV57" s="334"/>
      <c r="RHW57" s="334"/>
      <c r="RHX57" s="334"/>
      <c r="RHY57" s="334"/>
      <c r="RHZ57" s="334"/>
      <c r="RIA57" s="334"/>
      <c r="RIB57" s="334"/>
      <c r="RIC57" s="334"/>
      <c r="RID57" s="334"/>
      <c r="RIE57" s="334"/>
      <c r="RIF57" s="334"/>
      <c r="RIG57" s="334"/>
      <c r="RIH57" s="334"/>
      <c r="RII57" s="334"/>
      <c r="RIJ57" s="334"/>
      <c r="RIK57" s="334"/>
      <c r="RIL57" s="334"/>
      <c r="RIM57" s="334"/>
      <c r="RIN57" s="334"/>
      <c r="RIO57" s="334"/>
      <c r="RIP57" s="334"/>
      <c r="RIQ57" s="334"/>
      <c r="RIR57" s="334"/>
      <c r="RIS57" s="334"/>
      <c r="RIT57" s="334"/>
      <c r="RIU57" s="334"/>
      <c r="RIV57" s="334"/>
      <c r="RIW57" s="334"/>
      <c r="RIX57" s="334"/>
      <c r="RIY57" s="334"/>
      <c r="RIZ57" s="334"/>
      <c r="RJA57" s="334"/>
      <c r="RJB57" s="334"/>
      <c r="RJC57" s="334"/>
      <c r="RJD57" s="334"/>
      <c r="RJE57" s="334"/>
      <c r="RJF57" s="334"/>
      <c r="RJG57" s="334"/>
      <c r="RJH57" s="334"/>
      <c r="RJI57" s="334"/>
      <c r="RJJ57" s="334"/>
      <c r="RJK57" s="334"/>
      <c r="RJL57" s="334"/>
      <c r="RJM57" s="334"/>
      <c r="RJN57" s="334"/>
      <c r="RJO57" s="334"/>
      <c r="RJP57" s="334"/>
      <c r="RJQ57" s="334"/>
      <c r="RJR57" s="334"/>
      <c r="RJS57" s="334"/>
      <c r="RJT57" s="334"/>
      <c r="RJU57" s="334"/>
      <c r="RJV57" s="334"/>
      <c r="RJW57" s="334"/>
      <c r="RJX57" s="334"/>
      <c r="RJY57" s="334"/>
      <c r="RJZ57" s="334"/>
      <c r="RKA57" s="334"/>
      <c r="RKB57" s="334"/>
      <c r="RKC57" s="334"/>
      <c r="RKD57" s="334"/>
      <c r="RKE57" s="334"/>
      <c r="RKF57" s="334"/>
      <c r="RKG57" s="334"/>
      <c r="RKH57" s="334"/>
      <c r="RKI57" s="334"/>
      <c r="RKJ57" s="334"/>
      <c r="RKK57" s="334"/>
      <c r="RKL57" s="334"/>
      <c r="RKM57" s="334"/>
      <c r="RKN57" s="334"/>
      <c r="RKO57" s="334"/>
      <c r="RKP57" s="334"/>
      <c r="RKQ57" s="334"/>
      <c r="RKR57" s="334"/>
      <c r="RKS57" s="334"/>
      <c r="RKT57" s="334"/>
      <c r="RKU57" s="334"/>
      <c r="RKV57" s="334"/>
      <c r="RKW57" s="334"/>
      <c r="RKX57" s="334"/>
      <c r="RKY57" s="334"/>
      <c r="RKZ57" s="334"/>
      <c r="RLA57" s="334"/>
      <c r="RLB57" s="334"/>
      <c r="RLC57" s="334"/>
      <c r="RLD57" s="334"/>
      <c r="RLE57" s="334"/>
      <c r="RLF57" s="334"/>
      <c r="RLG57" s="334"/>
      <c r="RLH57" s="334"/>
      <c r="RLI57" s="334"/>
      <c r="RLJ57" s="334"/>
      <c r="RLK57" s="334"/>
      <c r="RLL57" s="334"/>
      <c r="RLM57" s="334"/>
      <c r="RLN57" s="334"/>
      <c r="RLO57" s="334"/>
      <c r="RLP57" s="334"/>
      <c r="RLQ57" s="334"/>
      <c r="RLR57" s="334"/>
      <c r="RLS57" s="334"/>
      <c r="RLT57" s="334"/>
      <c r="RLU57" s="334"/>
      <c r="RLV57" s="334"/>
      <c r="RLW57" s="334"/>
      <c r="RLX57" s="334"/>
      <c r="RLY57" s="334"/>
      <c r="RLZ57" s="334"/>
      <c r="RMA57" s="334"/>
      <c r="RMB57" s="334"/>
      <c r="RMC57" s="334"/>
      <c r="RMD57" s="334"/>
      <c r="RME57" s="334"/>
      <c r="RMF57" s="334"/>
      <c r="RMG57" s="334"/>
      <c r="RMH57" s="334"/>
      <c r="RMI57" s="334"/>
      <c r="RMJ57" s="334"/>
      <c r="RMK57" s="334"/>
      <c r="RML57" s="334"/>
      <c r="RMM57" s="334"/>
      <c r="RMN57" s="334"/>
      <c r="RMO57" s="334"/>
      <c r="RMP57" s="334"/>
      <c r="RMQ57" s="334"/>
      <c r="RMR57" s="334"/>
      <c r="RMS57" s="334"/>
      <c r="RMT57" s="334"/>
      <c r="RMU57" s="334"/>
      <c r="RMV57" s="334"/>
      <c r="RMW57" s="334"/>
      <c r="RMX57" s="334"/>
      <c r="RMY57" s="334"/>
      <c r="RMZ57" s="334"/>
      <c r="RNA57" s="334"/>
      <c r="RNB57" s="334"/>
      <c r="RNC57" s="334"/>
      <c r="RND57" s="334"/>
      <c r="RNE57" s="334"/>
      <c r="RNF57" s="334"/>
      <c r="RNG57" s="334"/>
      <c r="RNH57" s="334"/>
      <c r="RNI57" s="334"/>
      <c r="RNJ57" s="334"/>
      <c r="RNK57" s="334"/>
      <c r="RNL57" s="334"/>
      <c r="RNM57" s="334"/>
      <c r="RNN57" s="334"/>
      <c r="RNO57" s="334"/>
      <c r="RNP57" s="334"/>
      <c r="RNQ57" s="334"/>
      <c r="RNR57" s="334"/>
      <c r="RNS57" s="334"/>
      <c r="RNT57" s="334"/>
      <c r="RNU57" s="334"/>
      <c r="RNV57" s="334"/>
      <c r="RNW57" s="334"/>
      <c r="RNX57" s="334"/>
      <c r="RNY57" s="334"/>
      <c r="RNZ57" s="334"/>
      <c r="ROA57" s="334"/>
      <c r="ROB57" s="334"/>
      <c r="ROC57" s="334"/>
      <c r="ROD57" s="334"/>
      <c r="ROE57" s="334"/>
      <c r="ROF57" s="334"/>
      <c r="ROG57" s="334"/>
      <c r="ROH57" s="334"/>
      <c r="ROI57" s="334"/>
      <c r="ROJ57" s="334"/>
      <c r="ROK57" s="334"/>
      <c r="ROL57" s="334"/>
      <c r="ROM57" s="334"/>
      <c r="RON57" s="334"/>
      <c r="ROO57" s="334"/>
      <c r="ROP57" s="334"/>
      <c r="ROQ57" s="334"/>
      <c r="ROR57" s="334"/>
      <c r="ROS57" s="334"/>
      <c r="ROT57" s="334"/>
      <c r="ROU57" s="334"/>
      <c r="ROV57" s="334"/>
      <c r="ROW57" s="334"/>
      <c r="ROX57" s="334"/>
      <c r="ROY57" s="334"/>
      <c r="ROZ57" s="334"/>
      <c r="RPA57" s="334"/>
      <c r="RPB57" s="334"/>
      <c r="RPC57" s="334"/>
      <c r="RPD57" s="334"/>
      <c r="RPE57" s="334"/>
      <c r="RPF57" s="334"/>
      <c r="RPG57" s="334"/>
      <c r="RPH57" s="334"/>
      <c r="RPI57" s="334"/>
      <c r="RPJ57" s="334"/>
      <c r="RPK57" s="334"/>
      <c r="RPL57" s="334"/>
      <c r="RPM57" s="334"/>
      <c r="RPN57" s="334"/>
      <c r="RPO57" s="334"/>
      <c r="RPP57" s="334"/>
      <c r="RPQ57" s="334"/>
      <c r="RPR57" s="334"/>
      <c r="RPS57" s="334"/>
      <c r="RPT57" s="334"/>
      <c r="RPU57" s="334"/>
      <c r="RPV57" s="334"/>
      <c r="RPW57" s="334"/>
      <c r="RPX57" s="334"/>
      <c r="RPY57" s="334"/>
      <c r="RPZ57" s="334"/>
      <c r="RQA57" s="334"/>
      <c r="RQB57" s="334"/>
      <c r="RQC57" s="334"/>
      <c r="RQD57" s="334"/>
      <c r="RQE57" s="334"/>
      <c r="RQF57" s="334"/>
      <c r="RQG57" s="334"/>
      <c r="RQH57" s="334"/>
      <c r="RQI57" s="334"/>
      <c r="RQJ57" s="334"/>
      <c r="RQK57" s="334"/>
      <c r="RQL57" s="334"/>
      <c r="RQM57" s="334"/>
      <c r="RQN57" s="334"/>
      <c r="RQO57" s="334"/>
      <c r="RQP57" s="334"/>
      <c r="RQQ57" s="334"/>
      <c r="RQR57" s="334"/>
      <c r="RQS57" s="334"/>
      <c r="RQT57" s="334"/>
      <c r="RQU57" s="334"/>
      <c r="RQV57" s="334"/>
      <c r="RQW57" s="334"/>
      <c r="RQX57" s="334"/>
      <c r="RQY57" s="334"/>
      <c r="RQZ57" s="334"/>
      <c r="RRA57" s="334"/>
      <c r="RRB57" s="334"/>
      <c r="RRC57" s="334"/>
      <c r="RRD57" s="334"/>
      <c r="RRE57" s="334"/>
      <c r="RRF57" s="334"/>
      <c r="RRG57" s="334"/>
      <c r="RRH57" s="334"/>
      <c r="RRI57" s="334"/>
      <c r="RRJ57" s="334"/>
      <c r="RRK57" s="334"/>
      <c r="RRL57" s="334"/>
      <c r="RRM57" s="334"/>
      <c r="RRN57" s="334"/>
      <c r="RRO57" s="334"/>
      <c r="RRP57" s="334"/>
      <c r="RRQ57" s="334"/>
      <c r="RRR57" s="334"/>
      <c r="RRS57" s="334"/>
      <c r="RRT57" s="334"/>
      <c r="RRU57" s="334"/>
      <c r="RRV57" s="334"/>
      <c r="RRW57" s="334"/>
      <c r="RRX57" s="334"/>
      <c r="RRY57" s="334"/>
      <c r="RRZ57" s="334"/>
      <c r="RSA57" s="334"/>
      <c r="RSB57" s="334"/>
      <c r="RSC57" s="334"/>
      <c r="RSD57" s="334"/>
      <c r="RSE57" s="334"/>
      <c r="RSF57" s="334"/>
      <c r="RSG57" s="334"/>
      <c r="RSH57" s="334"/>
      <c r="RSI57" s="334"/>
      <c r="RSJ57" s="334"/>
      <c r="RSK57" s="334"/>
      <c r="RSL57" s="334"/>
      <c r="RSM57" s="334"/>
      <c r="RSN57" s="334"/>
      <c r="RSO57" s="334"/>
      <c r="RSP57" s="334"/>
      <c r="RSQ57" s="334"/>
      <c r="RSR57" s="334"/>
      <c r="RSS57" s="334"/>
      <c r="RST57" s="334"/>
      <c r="RSU57" s="334"/>
      <c r="RSV57" s="334"/>
      <c r="RSW57" s="334"/>
      <c r="RSX57" s="334"/>
      <c r="RSY57" s="334"/>
      <c r="RSZ57" s="334"/>
      <c r="RTA57" s="334"/>
      <c r="RTB57" s="334"/>
      <c r="RTC57" s="334"/>
      <c r="RTD57" s="334"/>
      <c r="RTE57" s="334"/>
      <c r="RTF57" s="334"/>
      <c r="RTG57" s="334"/>
      <c r="RTH57" s="334"/>
      <c r="RTI57" s="334"/>
      <c r="RTJ57" s="334"/>
      <c r="RTK57" s="334"/>
      <c r="RTL57" s="334"/>
      <c r="RTM57" s="334"/>
      <c r="RTN57" s="334"/>
      <c r="RTO57" s="334"/>
      <c r="RTP57" s="334"/>
      <c r="RTQ57" s="334"/>
      <c r="RTR57" s="334"/>
      <c r="RTS57" s="334"/>
      <c r="RTT57" s="334"/>
      <c r="RTU57" s="334"/>
      <c r="RTV57" s="334"/>
      <c r="RTW57" s="334"/>
      <c r="RTX57" s="334"/>
      <c r="RTY57" s="334"/>
      <c r="RTZ57" s="334"/>
      <c r="RUA57" s="334"/>
      <c r="RUB57" s="334"/>
      <c r="RUC57" s="334"/>
      <c r="RUD57" s="334"/>
      <c r="RUE57" s="334"/>
      <c r="RUF57" s="334"/>
      <c r="RUG57" s="334"/>
      <c r="RUH57" s="334"/>
      <c r="RUI57" s="334"/>
      <c r="RUJ57" s="334"/>
      <c r="RUK57" s="334"/>
      <c r="RUL57" s="334"/>
      <c r="RUM57" s="334"/>
      <c r="RUN57" s="334"/>
      <c r="RUO57" s="334"/>
      <c r="RUP57" s="334"/>
      <c r="RUQ57" s="334"/>
      <c r="RUR57" s="334"/>
      <c r="RUS57" s="334"/>
      <c r="RUT57" s="334"/>
      <c r="RUU57" s="334"/>
      <c r="RUV57" s="334"/>
      <c r="RUW57" s="334"/>
      <c r="RUX57" s="334"/>
      <c r="RUY57" s="334"/>
      <c r="RUZ57" s="334"/>
      <c r="RVA57" s="334"/>
      <c r="RVB57" s="334"/>
      <c r="RVC57" s="334"/>
      <c r="RVD57" s="334"/>
      <c r="RVE57" s="334"/>
      <c r="RVF57" s="334"/>
      <c r="RVG57" s="334"/>
      <c r="RVH57" s="334"/>
      <c r="RVI57" s="334"/>
      <c r="RVJ57" s="334"/>
      <c r="RVK57" s="334"/>
      <c r="RVL57" s="334"/>
      <c r="RVM57" s="334"/>
      <c r="RVN57" s="334"/>
      <c r="RVO57" s="334"/>
      <c r="RVP57" s="334"/>
      <c r="RVQ57" s="334"/>
      <c r="RVR57" s="334"/>
      <c r="RVS57" s="334"/>
      <c r="RVT57" s="334"/>
      <c r="RVU57" s="334"/>
      <c r="RVV57" s="334"/>
      <c r="RVW57" s="334"/>
      <c r="RVX57" s="334"/>
      <c r="RVY57" s="334"/>
      <c r="RVZ57" s="334"/>
      <c r="RWA57" s="334"/>
      <c r="RWB57" s="334"/>
      <c r="RWC57" s="334"/>
      <c r="RWD57" s="334"/>
      <c r="RWE57" s="334"/>
      <c r="RWF57" s="334"/>
      <c r="RWG57" s="334"/>
      <c r="RWH57" s="334"/>
      <c r="RWI57" s="334"/>
      <c r="RWJ57" s="334"/>
      <c r="RWK57" s="334"/>
      <c r="RWL57" s="334"/>
      <c r="RWM57" s="334"/>
      <c r="RWN57" s="334"/>
      <c r="RWO57" s="334"/>
      <c r="RWP57" s="334"/>
      <c r="RWQ57" s="334"/>
      <c r="RWR57" s="334"/>
      <c r="RWS57" s="334"/>
      <c r="RWT57" s="334"/>
      <c r="RWU57" s="334"/>
      <c r="RWV57" s="334"/>
      <c r="RWW57" s="334"/>
      <c r="RWX57" s="334"/>
      <c r="RWY57" s="334"/>
      <c r="RWZ57" s="334"/>
      <c r="RXA57" s="334"/>
      <c r="RXB57" s="334"/>
      <c r="RXC57" s="334"/>
      <c r="RXD57" s="334"/>
      <c r="RXE57" s="334"/>
      <c r="RXF57" s="334"/>
      <c r="RXG57" s="334"/>
      <c r="RXH57" s="334"/>
      <c r="RXI57" s="334"/>
      <c r="RXJ57" s="334"/>
      <c r="RXK57" s="334"/>
      <c r="RXL57" s="334"/>
      <c r="RXM57" s="334"/>
      <c r="RXN57" s="334"/>
      <c r="RXO57" s="334"/>
      <c r="RXP57" s="334"/>
      <c r="RXQ57" s="334"/>
      <c r="RXR57" s="334"/>
      <c r="RXS57" s="334"/>
      <c r="RXT57" s="334"/>
      <c r="RXU57" s="334"/>
      <c r="RXV57" s="334"/>
      <c r="RXW57" s="334"/>
      <c r="RXX57" s="334"/>
      <c r="RXY57" s="334"/>
      <c r="RXZ57" s="334"/>
      <c r="RYA57" s="334"/>
      <c r="RYB57" s="334"/>
      <c r="RYC57" s="334"/>
      <c r="RYD57" s="334"/>
      <c r="RYE57" s="334"/>
      <c r="RYF57" s="334"/>
      <c r="RYG57" s="334"/>
      <c r="RYH57" s="334"/>
      <c r="RYI57" s="334"/>
      <c r="RYJ57" s="334"/>
      <c r="RYK57" s="334"/>
      <c r="RYL57" s="334"/>
      <c r="RYM57" s="334"/>
      <c r="RYN57" s="334"/>
      <c r="RYO57" s="334"/>
      <c r="RYP57" s="334"/>
      <c r="RYQ57" s="334"/>
      <c r="RYR57" s="334"/>
      <c r="RYS57" s="334"/>
      <c r="RYT57" s="334"/>
      <c r="RYU57" s="334"/>
      <c r="RYV57" s="334"/>
      <c r="RYW57" s="334"/>
      <c r="RYX57" s="334"/>
      <c r="RYY57" s="334"/>
      <c r="RYZ57" s="334"/>
      <c r="RZA57" s="334"/>
      <c r="RZB57" s="334"/>
      <c r="RZC57" s="334"/>
      <c r="RZD57" s="334"/>
      <c r="RZE57" s="334"/>
      <c r="RZF57" s="334"/>
      <c r="RZG57" s="334"/>
      <c r="RZH57" s="334"/>
      <c r="RZI57" s="334"/>
      <c r="RZJ57" s="334"/>
      <c r="RZK57" s="334"/>
      <c r="RZL57" s="334"/>
      <c r="RZM57" s="334"/>
      <c r="RZN57" s="334"/>
      <c r="RZO57" s="334"/>
      <c r="RZP57" s="334"/>
      <c r="RZQ57" s="334"/>
      <c r="RZR57" s="334"/>
      <c r="RZS57" s="334"/>
      <c r="RZT57" s="334"/>
      <c r="RZU57" s="334"/>
      <c r="RZV57" s="334"/>
      <c r="RZW57" s="334"/>
      <c r="RZX57" s="334"/>
      <c r="RZY57" s="334"/>
      <c r="RZZ57" s="334"/>
      <c r="SAA57" s="334"/>
      <c r="SAB57" s="334"/>
      <c r="SAC57" s="334"/>
      <c r="SAD57" s="334"/>
      <c r="SAE57" s="334"/>
      <c r="SAF57" s="334"/>
      <c r="SAG57" s="334"/>
      <c r="SAH57" s="334"/>
      <c r="SAI57" s="334"/>
      <c r="SAJ57" s="334"/>
      <c r="SAK57" s="334"/>
      <c r="SAL57" s="334"/>
      <c r="SAM57" s="334"/>
      <c r="SAN57" s="334"/>
      <c r="SAO57" s="334"/>
      <c r="SAP57" s="334"/>
      <c r="SAQ57" s="334"/>
      <c r="SAR57" s="334"/>
      <c r="SAS57" s="334"/>
      <c r="SAT57" s="334"/>
      <c r="SAU57" s="334"/>
      <c r="SAV57" s="334"/>
      <c r="SAW57" s="334"/>
      <c r="SAX57" s="334"/>
      <c r="SAY57" s="334"/>
      <c r="SAZ57" s="334"/>
      <c r="SBA57" s="334"/>
      <c r="SBB57" s="334"/>
      <c r="SBC57" s="334"/>
      <c r="SBD57" s="334"/>
      <c r="SBE57" s="334"/>
      <c r="SBF57" s="334"/>
      <c r="SBG57" s="334"/>
      <c r="SBH57" s="334"/>
      <c r="SBI57" s="334"/>
      <c r="SBJ57" s="334"/>
      <c r="SBK57" s="334"/>
      <c r="SBL57" s="334"/>
      <c r="SBM57" s="334"/>
      <c r="SBN57" s="334"/>
      <c r="SBO57" s="334"/>
      <c r="SBP57" s="334"/>
      <c r="SBQ57" s="334"/>
      <c r="SBR57" s="334"/>
      <c r="SBS57" s="334"/>
      <c r="SBT57" s="334"/>
      <c r="SBU57" s="334"/>
      <c r="SBV57" s="334"/>
      <c r="SBW57" s="334"/>
      <c r="SBX57" s="334"/>
      <c r="SBY57" s="334"/>
      <c r="SBZ57" s="334"/>
      <c r="SCA57" s="334"/>
      <c r="SCB57" s="334"/>
      <c r="SCC57" s="334"/>
      <c r="SCD57" s="334"/>
      <c r="SCE57" s="334"/>
      <c r="SCF57" s="334"/>
      <c r="SCG57" s="334"/>
      <c r="SCH57" s="334"/>
      <c r="SCI57" s="334"/>
      <c r="SCJ57" s="334"/>
      <c r="SCK57" s="334"/>
      <c r="SCL57" s="334"/>
      <c r="SCM57" s="334"/>
      <c r="SCN57" s="334"/>
      <c r="SCO57" s="334"/>
      <c r="SCP57" s="334"/>
      <c r="SCQ57" s="334"/>
      <c r="SCR57" s="334"/>
      <c r="SCS57" s="334"/>
      <c r="SCT57" s="334"/>
      <c r="SCU57" s="334"/>
      <c r="SCV57" s="334"/>
      <c r="SCW57" s="334"/>
      <c r="SCX57" s="334"/>
      <c r="SCY57" s="334"/>
      <c r="SCZ57" s="334"/>
      <c r="SDA57" s="334"/>
      <c r="SDB57" s="334"/>
      <c r="SDC57" s="334"/>
      <c r="SDD57" s="334"/>
      <c r="SDE57" s="334"/>
      <c r="SDF57" s="334"/>
      <c r="SDG57" s="334"/>
      <c r="SDH57" s="334"/>
      <c r="SDI57" s="334"/>
      <c r="SDJ57" s="334"/>
      <c r="SDK57" s="334"/>
      <c r="SDL57" s="334"/>
      <c r="SDM57" s="334"/>
      <c r="SDN57" s="334"/>
      <c r="SDO57" s="334"/>
      <c r="SDP57" s="334"/>
      <c r="SDQ57" s="334"/>
      <c r="SDR57" s="334"/>
      <c r="SDS57" s="334"/>
      <c r="SDT57" s="334"/>
      <c r="SDU57" s="334"/>
      <c r="SDV57" s="334"/>
      <c r="SDW57" s="334"/>
      <c r="SDX57" s="334"/>
      <c r="SDY57" s="334"/>
      <c r="SDZ57" s="334"/>
      <c r="SEA57" s="334"/>
      <c r="SEB57" s="334"/>
      <c r="SEC57" s="334"/>
      <c r="SED57" s="334"/>
      <c r="SEE57" s="334"/>
      <c r="SEF57" s="334"/>
      <c r="SEG57" s="334"/>
      <c r="SEH57" s="334"/>
      <c r="SEI57" s="334"/>
      <c r="SEJ57" s="334"/>
      <c r="SEK57" s="334"/>
      <c r="SEL57" s="334"/>
      <c r="SEM57" s="334"/>
      <c r="SEN57" s="334"/>
      <c r="SEO57" s="334"/>
      <c r="SEP57" s="334"/>
      <c r="SEQ57" s="334"/>
      <c r="SER57" s="334"/>
      <c r="SES57" s="334"/>
      <c r="SET57" s="334"/>
      <c r="SEU57" s="334"/>
      <c r="SEV57" s="334"/>
      <c r="SEW57" s="334"/>
      <c r="SEX57" s="334"/>
      <c r="SEY57" s="334"/>
      <c r="SEZ57" s="334"/>
      <c r="SFA57" s="334"/>
      <c r="SFB57" s="334"/>
      <c r="SFC57" s="334"/>
      <c r="SFD57" s="334"/>
      <c r="SFE57" s="334"/>
      <c r="SFF57" s="334"/>
      <c r="SFG57" s="334"/>
      <c r="SFH57" s="334"/>
      <c r="SFI57" s="334"/>
      <c r="SFJ57" s="334"/>
      <c r="SFK57" s="334"/>
      <c r="SFL57" s="334"/>
      <c r="SFM57" s="334"/>
      <c r="SFN57" s="334"/>
      <c r="SFO57" s="334"/>
      <c r="SFP57" s="334"/>
      <c r="SFQ57" s="334"/>
      <c r="SFR57" s="334"/>
      <c r="SFS57" s="334"/>
      <c r="SFT57" s="334"/>
      <c r="SFU57" s="334"/>
      <c r="SFV57" s="334"/>
      <c r="SFW57" s="334"/>
      <c r="SFX57" s="334"/>
      <c r="SFY57" s="334"/>
      <c r="SFZ57" s="334"/>
      <c r="SGA57" s="334"/>
      <c r="SGB57" s="334"/>
      <c r="SGC57" s="334"/>
      <c r="SGD57" s="334"/>
      <c r="SGE57" s="334"/>
      <c r="SGF57" s="334"/>
      <c r="SGG57" s="334"/>
      <c r="SGH57" s="334"/>
      <c r="SGI57" s="334"/>
      <c r="SGJ57" s="334"/>
      <c r="SGK57" s="334"/>
      <c r="SGL57" s="334"/>
      <c r="SGM57" s="334"/>
      <c r="SGN57" s="334"/>
      <c r="SGO57" s="334"/>
      <c r="SGP57" s="334"/>
      <c r="SGQ57" s="334"/>
      <c r="SGR57" s="334"/>
      <c r="SGS57" s="334"/>
      <c r="SGT57" s="334"/>
      <c r="SGU57" s="334"/>
      <c r="SGV57" s="334"/>
      <c r="SGW57" s="334"/>
      <c r="SGX57" s="334"/>
      <c r="SGY57" s="334"/>
      <c r="SGZ57" s="334"/>
      <c r="SHA57" s="334"/>
      <c r="SHB57" s="334"/>
      <c r="SHC57" s="334"/>
      <c r="SHD57" s="334"/>
      <c r="SHE57" s="334"/>
      <c r="SHF57" s="334"/>
      <c r="SHG57" s="334"/>
      <c r="SHH57" s="334"/>
      <c r="SHI57" s="334"/>
      <c r="SHJ57" s="334"/>
      <c r="SHK57" s="334"/>
      <c r="SHL57" s="334"/>
      <c r="SHM57" s="334"/>
      <c r="SHN57" s="334"/>
      <c r="SHO57" s="334"/>
      <c r="SHP57" s="334"/>
      <c r="SHQ57" s="334"/>
      <c r="SHR57" s="334"/>
      <c r="SHS57" s="334"/>
      <c r="SHT57" s="334"/>
      <c r="SHU57" s="334"/>
      <c r="SHV57" s="334"/>
      <c r="SHW57" s="334"/>
      <c r="SHX57" s="334"/>
      <c r="SHY57" s="334"/>
      <c r="SHZ57" s="334"/>
      <c r="SIA57" s="334"/>
      <c r="SIB57" s="334"/>
      <c r="SIC57" s="334"/>
      <c r="SID57" s="334"/>
      <c r="SIE57" s="334"/>
      <c r="SIF57" s="334"/>
      <c r="SIG57" s="334"/>
      <c r="SIH57" s="334"/>
      <c r="SII57" s="334"/>
      <c r="SIJ57" s="334"/>
      <c r="SIK57" s="334"/>
      <c r="SIL57" s="334"/>
      <c r="SIM57" s="334"/>
      <c r="SIN57" s="334"/>
      <c r="SIO57" s="334"/>
      <c r="SIP57" s="334"/>
      <c r="SIQ57" s="334"/>
      <c r="SIR57" s="334"/>
      <c r="SIS57" s="334"/>
      <c r="SIT57" s="334"/>
      <c r="SIU57" s="334"/>
      <c r="SIV57" s="334"/>
      <c r="SIW57" s="334"/>
      <c r="SIX57" s="334"/>
      <c r="SIY57" s="334"/>
      <c r="SIZ57" s="334"/>
      <c r="SJA57" s="334"/>
      <c r="SJB57" s="334"/>
      <c r="SJC57" s="334"/>
      <c r="SJD57" s="334"/>
      <c r="SJE57" s="334"/>
      <c r="SJF57" s="334"/>
      <c r="SJG57" s="334"/>
      <c r="SJH57" s="334"/>
      <c r="SJI57" s="334"/>
      <c r="SJJ57" s="334"/>
      <c r="SJK57" s="334"/>
      <c r="SJL57" s="334"/>
      <c r="SJM57" s="334"/>
      <c r="SJN57" s="334"/>
      <c r="SJO57" s="334"/>
      <c r="SJP57" s="334"/>
      <c r="SJQ57" s="334"/>
      <c r="SJR57" s="334"/>
      <c r="SJS57" s="334"/>
      <c r="SJT57" s="334"/>
      <c r="SJU57" s="334"/>
      <c r="SJV57" s="334"/>
      <c r="SJW57" s="334"/>
      <c r="SJX57" s="334"/>
      <c r="SJY57" s="334"/>
      <c r="SJZ57" s="334"/>
      <c r="SKA57" s="334"/>
      <c r="SKB57" s="334"/>
      <c r="SKC57" s="334"/>
      <c r="SKD57" s="334"/>
      <c r="SKE57" s="334"/>
      <c r="SKF57" s="334"/>
      <c r="SKG57" s="334"/>
      <c r="SKH57" s="334"/>
      <c r="SKI57" s="334"/>
      <c r="SKJ57" s="334"/>
      <c r="SKK57" s="334"/>
      <c r="SKL57" s="334"/>
      <c r="SKM57" s="334"/>
      <c r="SKN57" s="334"/>
      <c r="SKO57" s="334"/>
      <c r="SKP57" s="334"/>
      <c r="SKQ57" s="334"/>
      <c r="SKR57" s="334"/>
      <c r="SKS57" s="334"/>
      <c r="SKT57" s="334"/>
      <c r="SKU57" s="334"/>
      <c r="SKV57" s="334"/>
      <c r="SKW57" s="334"/>
      <c r="SKX57" s="334"/>
      <c r="SKY57" s="334"/>
      <c r="SKZ57" s="334"/>
      <c r="SLA57" s="334"/>
      <c r="SLB57" s="334"/>
      <c r="SLC57" s="334"/>
      <c r="SLD57" s="334"/>
      <c r="SLE57" s="334"/>
      <c r="SLF57" s="334"/>
      <c r="SLG57" s="334"/>
      <c r="SLH57" s="334"/>
      <c r="SLI57" s="334"/>
      <c r="SLJ57" s="334"/>
      <c r="SLK57" s="334"/>
      <c r="SLL57" s="334"/>
      <c r="SLM57" s="334"/>
      <c r="SLN57" s="334"/>
      <c r="SLO57" s="334"/>
      <c r="SLP57" s="334"/>
      <c r="SLQ57" s="334"/>
      <c r="SLR57" s="334"/>
      <c r="SLS57" s="334"/>
      <c r="SLT57" s="334"/>
      <c r="SLU57" s="334"/>
      <c r="SLV57" s="334"/>
      <c r="SLW57" s="334"/>
      <c r="SLX57" s="334"/>
      <c r="SLY57" s="334"/>
      <c r="SLZ57" s="334"/>
      <c r="SMA57" s="334"/>
      <c r="SMB57" s="334"/>
      <c r="SMC57" s="334"/>
      <c r="SMD57" s="334"/>
      <c r="SME57" s="334"/>
      <c r="SMF57" s="334"/>
      <c r="SMG57" s="334"/>
      <c r="SMH57" s="334"/>
      <c r="SMI57" s="334"/>
      <c r="SMJ57" s="334"/>
      <c r="SMK57" s="334"/>
      <c r="SML57" s="334"/>
      <c r="SMM57" s="334"/>
      <c r="SMN57" s="334"/>
      <c r="SMO57" s="334"/>
      <c r="SMP57" s="334"/>
      <c r="SMQ57" s="334"/>
      <c r="SMR57" s="334"/>
      <c r="SMS57" s="334"/>
      <c r="SMT57" s="334"/>
      <c r="SMU57" s="334"/>
      <c r="SMV57" s="334"/>
      <c r="SMW57" s="334"/>
      <c r="SMX57" s="334"/>
      <c r="SMY57" s="334"/>
      <c r="SMZ57" s="334"/>
      <c r="SNA57" s="334"/>
      <c r="SNB57" s="334"/>
      <c r="SNC57" s="334"/>
      <c r="SND57" s="334"/>
      <c r="SNE57" s="334"/>
      <c r="SNF57" s="334"/>
      <c r="SNG57" s="334"/>
      <c r="SNH57" s="334"/>
      <c r="SNI57" s="334"/>
      <c r="SNJ57" s="334"/>
      <c r="SNK57" s="334"/>
      <c r="SNL57" s="334"/>
      <c r="SNM57" s="334"/>
      <c r="SNN57" s="334"/>
      <c r="SNO57" s="334"/>
      <c r="SNP57" s="334"/>
      <c r="SNQ57" s="334"/>
      <c r="SNR57" s="334"/>
      <c r="SNS57" s="334"/>
      <c r="SNT57" s="334"/>
      <c r="SNU57" s="334"/>
      <c r="SNV57" s="334"/>
      <c r="SNW57" s="334"/>
      <c r="SNX57" s="334"/>
      <c r="SNY57" s="334"/>
      <c r="SNZ57" s="334"/>
      <c r="SOA57" s="334"/>
      <c r="SOB57" s="334"/>
      <c r="SOC57" s="334"/>
      <c r="SOD57" s="334"/>
      <c r="SOE57" s="334"/>
      <c r="SOF57" s="334"/>
      <c r="SOG57" s="334"/>
      <c r="SOH57" s="334"/>
      <c r="SOI57" s="334"/>
      <c r="SOJ57" s="334"/>
      <c r="SOK57" s="334"/>
      <c r="SOL57" s="334"/>
      <c r="SOM57" s="334"/>
      <c r="SON57" s="334"/>
      <c r="SOO57" s="334"/>
      <c r="SOP57" s="334"/>
      <c r="SOQ57" s="334"/>
      <c r="SOR57" s="334"/>
      <c r="SOS57" s="334"/>
      <c r="SOT57" s="334"/>
      <c r="SOU57" s="334"/>
      <c r="SOV57" s="334"/>
      <c r="SOW57" s="334"/>
      <c r="SOX57" s="334"/>
      <c r="SOY57" s="334"/>
      <c r="SOZ57" s="334"/>
      <c r="SPA57" s="334"/>
      <c r="SPB57" s="334"/>
      <c r="SPC57" s="334"/>
      <c r="SPD57" s="334"/>
      <c r="SPE57" s="334"/>
      <c r="SPF57" s="334"/>
      <c r="SPG57" s="334"/>
      <c r="SPH57" s="334"/>
      <c r="SPI57" s="334"/>
      <c r="SPJ57" s="334"/>
      <c r="SPK57" s="334"/>
      <c r="SPL57" s="334"/>
      <c r="SPM57" s="334"/>
      <c r="SPN57" s="334"/>
      <c r="SPO57" s="334"/>
      <c r="SPP57" s="334"/>
      <c r="SPQ57" s="334"/>
      <c r="SPR57" s="334"/>
      <c r="SPS57" s="334"/>
      <c r="SPT57" s="334"/>
      <c r="SPU57" s="334"/>
      <c r="SPV57" s="334"/>
      <c r="SPW57" s="334"/>
      <c r="SPX57" s="334"/>
      <c r="SPY57" s="334"/>
      <c r="SPZ57" s="334"/>
      <c r="SQA57" s="334"/>
      <c r="SQB57" s="334"/>
      <c r="SQC57" s="334"/>
      <c r="SQD57" s="334"/>
      <c r="SQE57" s="334"/>
      <c r="SQF57" s="334"/>
      <c r="SQG57" s="334"/>
      <c r="SQH57" s="334"/>
      <c r="SQI57" s="334"/>
      <c r="SQJ57" s="334"/>
      <c r="SQK57" s="334"/>
      <c r="SQL57" s="334"/>
      <c r="SQM57" s="334"/>
      <c r="SQN57" s="334"/>
      <c r="SQO57" s="334"/>
      <c r="SQP57" s="334"/>
      <c r="SQQ57" s="334"/>
      <c r="SQR57" s="334"/>
      <c r="SQS57" s="334"/>
      <c r="SQT57" s="334"/>
      <c r="SQU57" s="334"/>
      <c r="SQV57" s="334"/>
      <c r="SQW57" s="334"/>
      <c r="SQX57" s="334"/>
      <c r="SQY57" s="334"/>
      <c r="SQZ57" s="334"/>
      <c r="SRA57" s="334"/>
      <c r="SRB57" s="334"/>
      <c r="SRC57" s="334"/>
      <c r="SRD57" s="334"/>
      <c r="SRE57" s="334"/>
      <c r="SRF57" s="334"/>
      <c r="SRG57" s="334"/>
      <c r="SRH57" s="334"/>
      <c r="SRI57" s="334"/>
      <c r="SRJ57" s="334"/>
      <c r="SRK57" s="334"/>
      <c r="SRL57" s="334"/>
      <c r="SRM57" s="334"/>
      <c r="SRN57" s="334"/>
      <c r="SRO57" s="334"/>
      <c r="SRP57" s="334"/>
      <c r="SRQ57" s="334"/>
      <c r="SRR57" s="334"/>
      <c r="SRS57" s="334"/>
      <c r="SRT57" s="334"/>
      <c r="SRU57" s="334"/>
      <c r="SRV57" s="334"/>
      <c r="SRW57" s="334"/>
      <c r="SRX57" s="334"/>
      <c r="SRY57" s="334"/>
      <c r="SRZ57" s="334"/>
      <c r="SSA57" s="334"/>
      <c r="SSB57" s="334"/>
      <c r="SSC57" s="334"/>
      <c r="SSD57" s="334"/>
      <c r="SSE57" s="334"/>
      <c r="SSF57" s="334"/>
      <c r="SSG57" s="334"/>
      <c r="SSH57" s="334"/>
      <c r="SSI57" s="334"/>
      <c r="SSJ57" s="334"/>
      <c r="SSK57" s="334"/>
      <c r="SSL57" s="334"/>
      <c r="SSM57" s="334"/>
      <c r="SSN57" s="334"/>
      <c r="SSO57" s="334"/>
      <c r="SSP57" s="334"/>
      <c r="SSQ57" s="334"/>
      <c r="SSR57" s="334"/>
      <c r="SSS57" s="334"/>
      <c r="SST57" s="334"/>
      <c r="SSU57" s="334"/>
      <c r="SSV57" s="334"/>
      <c r="SSW57" s="334"/>
      <c r="SSX57" s="334"/>
      <c r="SSY57" s="334"/>
      <c r="SSZ57" s="334"/>
      <c r="STA57" s="334"/>
      <c r="STB57" s="334"/>
      <c r="STC57" s="334"/>
      <c r="STD57" s="334"/>
      <c r="STE57" s="334"/>
      <c r="STF57" s="334"/>
      <c r="STG57" s="334"/>
      <c r="STH57" s="334"/>
      <c r="STI57" s="334"/>
      <c r="STJ57" s="334"/>
      <c r="STK57" s="334"/>
      <c r="STL57" s="334"/>
      <c r="STM57" s="334"/>
      <c r="STN57" s="334"/>
      <c r="STO57" s="334"/>
      <c r="STP57" s="334"/>
      <c r="STQ57" s="334"/>
      <c r="STR57" s="334"/>
      <c r="STS57" s="334"/>
      <c r="STT57" s="334"/>
      <c r="STU57" s="334"/>
      <c r="STV57" s="334"/>
      <c r="STW57" s="334"/>
      <c r="STX57" s="334"/>
      <c r="STY57" s="334"/>
      <c r="STZ57" s="334"/>
      <c r="SUA57" s="334"/>
      <c r="SUB57" s="334"/>
      <c r="SUC57" s="334"/>
      <c r="SUD57" s="334"/>
      <c r="SUE57" s="334"/>
      <c r="SUF57" s="334"/>
      <c r="SUG57" s="334"/>
      <c r="SUH57" s="334"/>
      <c r="SUI57" s="334"/>
      <c r="SUJ57" s="334"/>
      <c r="SUK57" s="334"/>
      <c r="SUL57" s="334"/>
      <c r="SUM57" s="334"/>
      <c r="SUN57" s="334"/>
      <c r="SUO57" s="334"/>
      <c r="SUP57" s="334"/>
      <c r="SUQ57" s="334"/>
      <c r="SUR57" s="334"/>
      <c r="SUS57" s="334"/>
      <c r="SUT57" s="334"/>
      <c r="SUU57" s="334"/>
      <c r="SUV57" s="334"/>
      <c r="SUW57" s="334"/>
      <c r="SUX57" s="334"/>
      <c r="SUY57" s="334"/>
      <c r="SUZ57" s="334"/>
      <c r="SVA57" s="334"/>
      <c r="SVB57" s="334"/>
      <c r="SVC57" s="334"/>
      <c r="SVD57" s="334"/>
      <c r="SVE57" s="334"/>
      <c r="SVF57" s="334"/>
      <c r="SVG57" s="334"/>
      <c r="SVH57" s="334"/>
      <c r="SVI57" s="334"/>
      <c r="SVJ57" s="334"/>
      <c r="SVK57" s="334"/>
      <c r="SVL57" s="334"/>
      <c r="SVM57" s="334"/>
      <c r="SVN57" s="334"/>
      <c r="SVO57" s="334"/>
      <c r="SVP57" s="334"/>
      <c r="SVQ57" s="334"/>
      <c r="SVR57" s="334"/>
      <c r="SVS57" s="334"/>
      <c r="SVT57" s="334"/>
      <c r="SVU57" s="334"/>
      <c r="SVV57" s="334"/>
      <c r="SVW57" s="334"/>
      <c r="SVX57" s="334"/>
      <c r="SVY57" s="334"/>
      <c r="SVZ57" s="334"/>
      <c r="SWA57" s="334"/>
      <c r="SWB57" s="334"/>
      <c r="SWC57" s="334"/>
      <c r="SWD57" s="334"/>
      <c r="SWE57" s="334"/>
      <c r="SWF57" s="334"/>
      <c r="SWG57" s="334"/>
      <c r="SWH57" s="334"/>
      <c r="SWI57" s="334"/>
      <c r="SWJ57" s="334"/>
      <c r="SWK57" s="334"/>
      <c r="SWL57" s="334"/>
      <c r="SWM57" s="334"/>
      <c r="SWN57" s="334"/>
      <c r="SWO57" s="334"/>
      <c r="SWP57" s="334"/>
      <c r="SWQ57" s="334"/>
      <c r="SWR57" s="334"/>
      <c r="SWS57" s="334"/>
      <c r="SWT57" s="334"/>
      <c r="SWU57" s="334"/>
      <c r="SWV57" s="334"/>
      <c r="SWW57" s="334"/>
      <c r="SWX57" s="334"/>
      <c r="SWY57" s="334"/>
      <c r="SWZ57" s="334"/>
      <c r="SXA57" s="334"/>
      <c r="SXB57" s="334"/>
      <c r="SXC57" s="334"/>
      <c r="SXD57" s="334"/>
      <c r="SXE57" s="334"/>
      <c r="SXF57" s="334"/>
      <c r="SXG57" s="334"/>
      <c r="SXH57" s="334"/>
      <c r="SXI57" s="334"/>
      <c r="SXJ57" s="334"/>
      <c r="SXK57" s="334"/>
      <c r="SXL57" s="334"/>
      <c r="SXM57" s="334"/>
      <c r="SXN57" s="334"/>
      <c r="SXO57" s="334"/>
      <c r="SXP57" s="334"/>
      <c r="SXQ57" s="334"/>
      <c r="SXR57" s="334"/>
      <c r="SXS57" s="334"/>
      <c r="SXT57" s="334"/>
      <c r="SXU57" s="334"/>
      <c r="SXV57" s="334"/>
      <c r="SXW57" s="334"/>
      <c r="SXX57" s="334"/>
      <c r="SXY57" s="334"/>
      <c r="SXZ57" s="334"/>
      <c r="SYA57" s="334"/>
      <c r="SYB57" s="334"/>
      <c r="SYC57" s="334"/>
      <c r="SYD57" s="334"/>
      <c r="SYE57" s="334"/>
      <c r="SYF57" s="334"/>
      <c r="SYG57" s="334"/>
      <c r="SYH57" s="334"/>
      <c r="SYI57" s="334"/>
      <c r="SYJ57" s="334"/>
      <c r="SYK57" s="334"/>
      <c r="SYL57" s="334"/>
      <c r="SYM57" s="334"/>
      <c r="SYN57" s="334"/>
      <c r="SYO57" s="334"/>
      <c r="SYP57" s="334"/>
      <c r="SYQ57" s="334"/>
      <c r="SYR57" s="334"/>
      <c r="SYS57" s="334"/>
      <c r="SYT57" s="334"/>
      <c r="SYU57" s="334"/>
      <c r="SYV57" s="334"/>
      <c r="SYW57" s="334"/>
      <c r="SYX57" s="334"/>
      <c r="SYY57" s="334"/>
      <c r="SYZ57" s="334"/>
      <c r="SZA57" s="334"/>
      <c r="SZB57" s="334"/>
      <c r="SZC57" s="334"/>
      <c r="SZD57" s="334"/>
      <c r="SZE57" s="334"/>
      <c r="SZF57" s="334"/>
      <c r="SZG57" s="334"/>
      <c r="SZH57" s="334"/>
      <c r="SZI57" s="334"/>
      <c r="SZJ57" s="334"/>
      <c r="SZK57" s="334"/>
      <c r="SZL57" s="334"/>
      <c r="SZM57" s="334"/>
      <c r="SZN57" s="334"/>
      <c r="SZO57" s="334"/>
      <c r="SZP57" s="334"/>
      <c r="SZQ57" s="334"/>
      <c r="SZR57" s="334"/>
      <c r="SZS57" s="334"/>
      <c r="SZT57" s="334"/>
      <c r="SZU57" s="334"/>
      <c r="SZV57" s="334"/>
      <c r="SZW57" s="334"/>
      <c r="SZX57" s="334"/>
      <c r="SZY57" s="334"/>
      <c r="SZZ57" s="334"/>
      <c r="TAA57" s="334"/>
      <c r="TAB57" s="334"/>
      <c r="TAC57" s="334"/>
      <c r="TAD57" s="334"/>
      <c r="TAE57" s="334"/>
      <c r="TAF57" s="334"/>
      <c r="TAG57" s="334"/>
      <c r="TAH57" s="334"/>
      <c r="TAI57" s="334"/>
      <c r="TAJ57" s="334"/>
      <c r="TAK57" s="334"/>
      <c r="TAL57" s="334"/>
      <c r="TAM57" s="334"/>
      <c r="TAN57" s="334"/>
      <c r="TAO57" s="334"/>
      <c r="TAP57" s="334"/>
      <c r="TAQ57" s="334"/>
      <c r="TAR57" s="334"/>
      <c r="TAS57" s="334"/>
      <c r="TAT57" s="334"/>
      <c r="TAU57" s="334"/>
      <c r="TAV57" s="334"/>
      <c r="TAW57" s="334"/>
      <c r="TAX57" s="334"/>
      <c r="TAY57" s="334"/>
      <c r="TAZ57" s="334"/>
      <c r="TBA57" s="334"/>
      <c r="TBB57" s="334"/>
      <c r="TBC57" s="334"/>
      <c r="TBD57" s="334"/>
      <c r="TBE57" s="334"/>
      <c r="TBF57" s="334"/>
      <c r="TBG57" s="334"/>
      <c r="TBH57" s="334"/>
      <c r="TBI57" s="334"/>
      <c r="TBJ57" s="334"/>
      <c r="TBK57" s="334"/>
      <c r="TBL57" s="334"/>
      <c r="TBM57" s="334"/>
      <c r="TBN57" s="334"/>
      <c r="TBO57" s="334"/>
      <c r="TBP57" s="334"/>
      <c r="TBQ57" s="334"/>
      <c r="TBR57" s="334"/>
      <c r="TBS57" s="334"/>
      <c r="TBT57" s="334"/>
      <c r="TBU57" s="334"/>
      <c r="TBV57" s="334"/>
      <c r="TBW57" s="334"/>
      <c r="TBX57" s="334"/>
      <c r="TBY57" s="334"/>
      <c r="TBZ57" s="334"/>
      <c r="TCA57" s="334"/>
      <c r="TCB57" s="334"/>
      <c r="TCC57" s="334"/>
      <c r="TCD57" s="334"/>
      <c r="TCE57" s="334"/>
      <c r="TCF57" s="334"/>
      <c r="TCG57" s="334"/>
      <c r="TCH57" s="334"/>
      <c r="TCI57" s="334"/>
      <c r="TCJ57" s="334"/>
      <c r="TCK57" s="334"/>
      <c r="TCL57" s="334"/>
      <c r="TCM57" s="334"/>
      <c r="TCN57" s="334"/>
      <c r="TCO57" s="334"/>
      <c r="TCP57" s="334"/>
      <c r="TCQ57" s="334"/>
      <c r="TCR57" s="334"/>
      <c r="TCS57" s="334"/>
      <c r="TCT57" s="334"/>
      <c r="TCU57" s="334"/>
      <c r="TCV57" s="334"/>
      <c r="TCW57" s="334"/>
      <c r="TCX57" s="334"/>
      <c r="TCY57" s="334"/>
      <c r="TCZ57" s="334"/>
      <c r="TDA57" s="334"/>
      <c r="TDB57" s="334"/>
      <c r="TDC57" s="334"/>
      <c r="TDD57" s="334"/>
      <c r="TDE57" s="334"/>
      <c r="TDF57" s="334"/>
      <c r="TDG57" s="334"/>
      <c r="TDH57" s="334"/>
      <c r="TDI57" s="334"/>
      <c r="TDJ57" s="334"/>
      <c r="TDK57" s="334"/>
      <c r="TDL57" s="334"/>
      <c r="TDM57" s="334"/>
      <c r="TDN57" s="334"/>
      <c r="TDO57" s="334"/>
      <c r="TDP57" s="334"/>
      <c r="TDQ57" s="334"/>
      <c r="TDR57" s="334"/>
      <c r="TDS57" s="334"/>
      <c r="TDT57" s="334"/>
      <c r="TDU57" s="334"/>
      <c r="TDV57" s="334"/>
      <c r="TDW57" s="334"/>
      <c r="TDX57" s="334"/>
      <c r="TDY57" s="334"/>
      <c r="TDZ57" s="334"/>
      <c r="TEA57" s="334"/>
      <c r="TEB57" s="334"/>
      <c r="TEC57" s="334"/>
      <c r="TED57" s="334"/>
      <c r="TEE57" s="334"/>
      <c r="TEF57" s="334"/>
      <c r="TEG57" s="334"/>
      <c r="TEH57" s="334"/>
      <c r="TEI57" s="334"/>
      <c r="TEJ57" s="334"/>
      <c r="TEK57" s="334"/>
      <c r="TEL57" s="334"/>
      <c r="TEM57" s="334"/>
      <c r="TEN57" s="334"/>
      <c r="TEO57" s="334"/>
      <c r="TEP57" s="334"/>
      <c r="TEQ57" s="334"/>
      <c r="TER57" s="334"/>
      <c r="TES57" s="334"/>
      <c r="TET57" s="334"/>
      <c r="TEU57" s="334"/>
      <c r="TEV57" s="334"/>
      <c r="TEW57" s="334"/>
      <c r="TEX57" s="334"/>
      <c r="TEY57" s="334"/>
      <c r="TEZ57" s="334"/>
      <c r="TFA57" s="334"/>
      <c r="TFB57" s="334"/>
      <c r="TFC57" s="334"/>
      <c r="TFD57" s="334"/>
      <c r="TFE57" s="334"/>
      <c r="TFF57" s="334"/>
      <c r="TFG57" s="334"/>
      <c r="TFH57" s="334"/>
      <c r="TFI57" s="334"/>
      <c r="TFJ57" s="334"/>
      <c r="TFK57" s="334"/>
      <c r="TFL57" s="334"/>
      <c r="TFM57" s="334"/>
      <c r="TFN57" s="334"/>
      <c r="TFO57" s="334"/>
      <c r="TFP57" s="334"/>
      <c r="TFQ57" s="334"/>
      <c r="TFR57" s="334"/>
      <c r="TFS57" s="334"/>
      <c r="TFT57" s="334"/>
      <c r="TFU57" s="334"/>
      <c r="TFV57" s="334"/>
      <c r="TFW57" s="334"/>
      <c r="TFX57" s="334"/>
      <c r="TFY57" s="334"/>
      <c r="TFZ57" s="334"/>
      <c r="TGA57" s="334"/>
      <c r="TGB57" s="334"/>
      <c r="TGC57" s="334"/>
      <c r="TGD57" s="334"/>
      <c r="TGE57" s="334"/>
      <c r="TGF57" s="334"/>
      <c r="TGG57" s="334"/>
      <c r="TGH57" s="334"/>
      <c r="TGI57" s="334"/>
      <c r="TGJ57" s="334"/>
      <c r="TGK57" s="334"/>
      <c r="TGL57" s="334"/>
      <c r="TGM57" s="334"/>
      <c r="TGN57" s="334"/>
      <c r="TGO57" s="334"/>
      <c r="TGP57" s="334"/>
      <c r="TGQ57" s="334"/>
      <c r="TGR57" s="334"/>
      <c r="TGS57" s="334"/>
      <c r="TGT57" s="334"/>
      <c r="TGU57" s="334"/>
      <c r="TGV57" s="334"/>
      <c r="TGW57" s="334"/>
      <c r="TGX57" s="334"/>
      <c r="TGY57" s="334"/>
      <c r="TGZ57" s="334"/>
      <c r="THA57" s="334"/>
      <c r="THB57" s="334"/>
      <c r="THC57" s="334"/>
      <c r="THD57" s="334"/>
      <c r="THE57" s="334"/>
      <c r="THF57" s="334"/>
      <c r="THG57" s="334"/>
      <c r="THH57" s="334"/>
      <c r="THI57" s="334"/>
      <c r="THJ57" s="334"/>
      <c r="THK57" s="334"/>
      <c r="THL57" s="334"/>
      <c r="THM57" s="334"/>
      <c r="THN57" s="334"/>
      <c r="THO57" s="334"/>
      <c r="THP57" s="334"/>
      <c r="THQ57" s="334"/>
      <c r="THR57" s="334"/>
      <c r="THS57" s="334"/>
      <c r="THT57" s="334"/>
      <c r="THU57" s="334"/>
      <c r="THV57" s="334"/>
      <c r="THW57" s="334"/>
      <c r="THX57" s="334"/>
      <c r="THY57" s="334"/>
      <c r="THZ57" s="334"/>
      <c r="TIA57" s="334"/>
      <c r="TIB57" s="334"/>
      <c r="TIC57" s="334"/>
      <c r="TID57" s="334"/>
      <c r="TIE57" s="334"/>
      <c r="TIF57" s="334"/>
      <c r="TIG57" s="334"/>
      <c r="TIH57" s="334"/>
      <c r="TII57" s="334"/>
      <c r="TIJ57" s="334"/>
      <c r="TIK57" s="334"/>
      <c r="TIL57" s="334"/>
      <c r="TIM57" s="334"/>
      <c r="TIN57" s="334"/>
      <c r="TIO57" s="334"/>
      <c r="TIP57" s="334"/>
      <c r="TIQ57" s="334"/>
      <c r="TIR57" s="334"/>
      <c r="TIS57" s="334"/>
      <c r="TIT57" s="334"/>
      <c r="TIU57" s="334"/>
      <c r="TIV57" s="334"/>
      <c r="TIW57" s="334"/>
      <c r="TIX57" s="334"/>
      <c r="TIY57" s="334"/>
      <c r="TIZ57" s="334"/>
      <c r="TJA57" s="334"/>
      <c r="TJB57" s="334"/>
      <c r="TJC57" s="334"/>
      <c r="TJD57" s="334"/>
      <c r="TJE57" s="334"/>
      <c r="TJF57" s="334"/>
      <c r="TJG57" s="334"/>
      <c r="TJH57" s="334"/>
      <c r="TJI57" s="334"/>
      <c r="TJJ57" s="334"/>
      <c r="TJK57" s="334"/>
      <c r="TJL57" s="334"/>
      <c r="TJM57" s="334"/>
      <c r="TJN57" s="334"/>
      <c r="TJO57" s="334"/>
      <c r="TJP57" s="334"/>
      <c r="TJQ57" s="334"/>
      <c r="TJR57" s="334"/>
      <c r="TJS57" s="334"/>
      <c r="TJT57" s="334"/>
      <c r="TJU57" s="334"/>
      <c r="TJV57" s="334"/>
      <c r="TJW57" s="334"/>
      <c r="TJX57" s="334"/>
      <c r="TJY57" s="334"/>
      <c r="TJZ57" s="334"/>
      <c r="TKA57" s="334"/>
      <c r="TKB57" s="334"/>
      <c r="TKC57" s="334"/>
      <c r="TKD57" s="334"/>
      <c r="TKE57" s="334"/>
      <c r="TKF57" s="334"/>
      <c r="TKG57" s="334"/>
      <c r="TKH57" s="334"/>
      <c r="TKI57" s="334"/>
      <c r="TKJ57" s="334"/>
      <c r="TKK57" s="334"/>
      <c r="TKL57" s="334"/>
      <c r="TKM57" s="334"/>
      <c r="TKN57" s="334"/>
      <c r="TKO57" s="334"/>
      <c r="TKP57" s="334"/>
      <c r="TKQ57" s="334"/>
      <c r="TKR57" s="334"/>
      <c r="TKS57" s="334"/>
      <c r="TKT57" s="334"/>
      <c r="TKU57" s="334"/>
      <c r="TKV57" s="334"/>
      <c r="TKW57" s="334"/>
      <c r="TKX57" s="334"/>
      <c r="TKY57" s="334"/>
      <c r="TKZ57" s="334"/>
      <c r="TLA57" s="334"/>
      <c r="TLB57" s="334"/>
      <c r="TLC57" s="334"/>
      <c r="TLD57" s="334"/>
      <c r="TLE57" s="334"/>
      <c r="TLF57" s="334"/>
      <c r="TLG57" s="334"/>
      <c r="TLH57" s="334"/>
      <c r="TLI57" s="334"/>
      <c r="TLJ57" s="334"/>
      <c r="TLK57" s="334"/>
      <c r="TLL57" s="334"/>
      <c r="TLM57" s="334"/>
      <c r="TLN57" s="334"/>
      <c r="TLO57" s="334"/>
      <c r="TLP57" s="334"/>
      <c r="TLQ57" s="334"/>
      <c r="TLR57" s="334"/>
      <c r="TLS57" s="334"/>
      <c r="TLT57" s="334"/>
      <c r="TLU57" s="334"/>
      <c r="TLV57" s="334"/>
      <c r="TLW57" s="334"/>
      <c r="TLX57" s="334"/>
      <c r="TLY57" s="334"/>
      <c r="TLZ57" s="334"/>
      <c r="TMA57" s="334"/>
      <c r="TMB57" s="334"/>
      <c r="TMC57" s="334"/>
      <c r="TMD57" s="334"/>
      <c r="TME57" s="334"/>
      <c r="TMF57" s="334"/>
      <c r="TMG57" s="334"/>
      <c r="TMH57" s="334"/>
      <c r="TMI57" s="334"/>
      <c r="TMJ57" s="334"/>
      <c r="TMK57" s="334"/>
      <c r="TML57" s="334"/>
      <c r="TMM57" s="334"/>
      <c r="TMN57" s="334"/>
      <c r="TMO57" s="334"/>
      <c r="TMP57" s="334"/>
      <c r="TMQ57" s="334"/>
      <c r="TMR57" s="334"/>
      <c r="TMS57" s="334"/>
      <c r="TMT57" s="334"/>
      <c r="TMU57" s="334"/>
      <c r="TMV57" s="334"/>
      <c r="TMW57" s="334"/>
      <c r="TMX57" s="334"/>
      <c r="TMY57" s="334"/>
      <c r="TMZ57" s="334"/>
      <c r="TNA57" s="334"/>
      <c r="TNB57" s="334"/>
      <c r="TNC57" s="334"/>
      <c r="TND57" s="334"/>
      <c r="TNE57" s="334"/>
      <c r="TNF57" s="334"/>
      <c r="TNG57" s="334"/>
      <c r="TNH57" s="334"/>
      <c r="TNI57" s="334"/>
      <c r="TNJ57" s="334"/>
      <c r="TNK57" s="334"/>
      <c r="TNL57" s="334"/>
      <c r="TNM57" s="334"/>
      <c r="TNN57" s="334"/>
      <c r="TNO57" s="334"/>
      <c r="TNP57" s="334"/>
      <c r="TNQ57" s="334"/>
      <c r="TNR57" s="334"/>
      <c r="TNS57" s="334"/>
      <c r="TNT57" s="334"/>
      <c r="TNU57" s="334"/>
      <c r="TNV57" s="334"/>
      <c r="TNW57" s="334"/>
      <c r="TNX57" s="334"/>
      <c r="TNY57" s="334"/>
      <c r="TNZ57" s="334"/>
      <c r="TOA57" s="334"/>
      <c r="TOB57" s="334"/>
      <c r="TOC57" s="334"/>
      <c r="TOD57" s="334"/>
      <c r="TOE57" s="334"/>
      <c r="TOF57" s="334"/>
      <c r="TOG57" s="334"/>
      <c r="TOH57" s="334"/>
      <c r="TOI57" s="334"/>
      <c r="TOJ57" s="334"/>
      <c r="TOK57" s="334"/>
      <c r="TOL57" s="334"/>
      <c r="TOM57" s="334"/>
      <c r="TON57" s="334"/>
      <c r="TOO57" s="334"/>
      <c r="TOP57" s="334"/>
      <c r="TOQ57" s="334"/>
      <c r="TOR57" s="334"/>
      <c r="TOS57" s="334"/>
      <c r="TOT57" s="334"/>
      <c r="TOU57" s="334"/>
      <c r="TOV57" s="334"/>
      <c r="TOW57" s="334"/>
      <c r="TOX57" s="334"/>
      <c r="TOY57" s="334"/>
      <c r="TOZ57" s="334"/>
      <c r="TPA57" s="334"/>
      <c r="TPB57" s="334"/>
      <c r="TPC57" s="334"/>
      <c r="TPD57" s="334"/>
      <c r="TPE57" s="334"/>
      <c r="TPF57" s="334"/>
      <c r="TPG57" s="334"/>
      <c r="TPH57" s="334"/>
      <c r="TPI57" s="334"/>
      <c r="TPJ57" s="334"/>
      <c r="TPK57" s="334"/>
      <c r="TPL57" s="334"/>
      <c r="TPM57" s="334"/>
      <c r="TPN57" s="334"/>
      <c r="TPO57" s="334"/>
      <c r="TPP57" s="334"/>
      <c r="TPQ57" s="334"/>
      <c r="TPR57" s="334"/>
      <c r="TPS57" s="334"/>
      <c r="TPT57" s="334"/>
      <c r="TPU57" s="334"/>
      <c r="TPV57" s="334"/>
      <c r="TPW57" s="334"/>
      <c r="TPX57" s="334"/>
      <c r="TPY57" s="334"/>
      <c r="TPZ57" s="334"/>
      <c r="TQA57" s="334"/>
      <c r="TQB57" s="334"/>
      <c r="TQC57" s="334"/>
      <c r="TQD57" s="334"/>
      <c r="TQE57" s="334"/>
      <c r="TQF57" s="334"/>
      <c r="TQG57" s="334"/>
      <c r="TQH57" s="334"/>
      <c r="TQI57" s="334"/>
      <c r="TQJ57" s="334"/>
      <c r="TQK57" s="334"/>
      <c r="TQL57" s="334"/>
      <c r="TQM57" s="334"/>
      <c r="TQN57" s="334"/>
      <c r="TQO57" s="334"/>
      <c r="TQP57" s="334"/>
      <c r="TQQ57" s="334"/>
      <c r="TQR57" s="334"/>
      <c r="TQS57" s="334"/>
      <c r="TQT57" s="334"/>
      <c r="TQU57" s="334"/>
      <c r="TQV57" s="334"/>
      <c r="TQW57" s="334"/>
      <c r="TQX57" s="334"/>
      <c r="TQY57" s="334"/>
      <c r="TQZ57" s="334"/>
      <c r="TRA57" s="334"/>
      <c r="TRB57" s="334"/>
      <c r="TRC57" s="334"/>
      <c r="TRD57" s="334"/>
      <c r="TRE57" s="334"/>
      <c r="TRF57" s="334"/>
      <c r="TRG57" s="334"/>
      <c r="TRH57" s="334"/>
      <c r="TRI57" s="334"/>
      <c r="TRJ57" s="334"/>
      <c r="TRK57" s="334"/>
      <c r="TRL57" s="334"/>
      <c r="TRM57" s="334"/>
      <c r="TRN57" s="334"/>
      <c r="TRO57" s="334"/>
      <c r="TRP57" s="334"/>
      <c r="TRQ57" s="334"/>
      <c r="TRR57" s="334"/>
      <c r="TRS57" s="334"/>
      <c r="TRT57" s="334"/>
      <c r="TRU57" s="334"/>
      <c r="TRV57" s="334"/>
      <c r="TRW57" s="334"/>
      <c r="TRX57" s="334"/>
      <c r="TRY57" s="334"/>
      <c r="TRZ57" s="334"/>
      <c r="TSA57" s="334"/>
      <c r="TSB57" s="334"/>
      <c r="TSC57" s="334"/>
      <c r="TSD57" s="334"/>
      <c r="TSE57" s="334"/>
      <c r="TSF57" s="334"/>
      <c r="TSG57" s="334"/>
      <c r="TSH57" s="334"/>
      <c r="TSI57" s="334"/>
      <c r="TSJ57" s="334"/>
      <c r="TSK57" s="334"/>
      <c r="TSL57" s="334"/>
      <c r="TSM57" s="334"/>
      <c r="TSN57" s="334"/>
      <c r="TSO57" s="334"/>
      <c r="TSP57" s="334"/>
      <c r="TSQ57" s="334"/>
      <c r="TSR57" s="334"/>
      <c r="TSS57" s="334"/>
      <c r="TST57" s="334"/>
      <c r="TSU57" s="334"/>
      <c r="TSV57" s="334"/>
      <c r="TSW57" s="334"/>
      <c r="TSX57" s="334"/>
      <c r="TSY57" s="334"/>
      <c r="TSZ57" s="334"/>
      <c r="TTA57" s="334"/>
      <c r="TTB57" s="334"/>
      <c r="TTC57" s="334"/>
      <c r="TTD57" s="334"/>
      <c r="TTE57" s="334"/>
      <c r="TTF57" s="334"/>
      <c r="TTG57" s="334"/>
      <c r="TTH57" s="334"/>
      <c r="TTI57" s="334"/>
      <c r="TTJ57" s="334"/>
      <c r="TTK57" s="334"/>
      <c r="TTL57" s="334"/>
      <c r="TTM57" s="334"/>
      <c r="TTN57" s="334"/>
      <c r="TTO57" s="334"/>
      <c r="TTP57" s="334"/>
      <c r="TTQ57" s="334"/>
      <c r="TTR57" s="334"/>
      <c r="TTS57" s="334"/>
      <c r="TTT57" s="334"/>
      <c r="TTU57" s="334"/>
      <c r="TTV57" s="334"/>
      <c r="TTW57" s="334"/>
      <c r="TTX57" s="334"/>
      <c r="TTY57" s="334"/>
      <c r="TTZ57" s="334"/>
      <c r="TUA57" s="334"/>
      <c r="TUB57" s="334"/>
      <c r="TUC57" s="334"/>
      <c r="TUD57" s="334"/>
      <c r="TUE57" s="334"/>
      <c r="TUF57" s="334"/>
      <c r="TUG57" s="334"/>
      <c r="TUH57" s="334"/>
      <c r="TUI57" s="334"/>
      <c r="TUJ57" s="334"/>
      <c r="TUK57" s="334"/>
      <c r="TUL57" s="334"/>
      <c r="TUM57" s="334"/>
      <c r="TUN57" s="334"/>
      <c r="TUO57" s="334"/>
      <c r="TUP57" s="334"/>
      <c r="TUQ57" s="334"/>
      <c r="TUR57" s="334"/>
      <c r="TUS57" s="334"/>
      <c r="TUT57" s="334"/>
      <c r="TUU57" s="334"/>
      <c r="TUV57" s="334"/>
      <c r="TUW57" s="334"/>
      <c r="TUX57" s="334"/>
      <c r="TUY57" s="334"/>
      <c r="TUZ57" s="334"/>
      <c r="TVA57" s="334"/>
      <c r="TVB57" s="334"/>
      <c r="TVC57" s="334"/>
      <c r="TVD57" s="334"/>
      <c r="TVE57" s="334"/>
      <c r="TVF57" s="334"/>
      <c r="TVG57" s="334"/>
      <c r="TVH57" s="334"/>
      <c r="TVI57" s="334"/>
      <c r="TVJ57" s="334"/>
      <c r="TVK57" s="334"/>
      <c r="TVL57" s="334"/>
      <c r="TVM57" s="334"/>
      <c r="TVN57" s="334"/>
      <c r="TVO57" s="334"/>
      <c r="TVP57" s="334"/>
      <c r="TVQ57" s="334"/>
      <c r="TVR57" s="334"/>
      <c r="TVS57" s="334"/>
      <c r="TVT57" s="334"/>
      <c r="TVU57" s="334"/>
      <c r="TVV57" s="334"/>
      <c r="TVW57" s="334"/>
      <c r="TVX57" s="334"/>
      <c r="TVY57" s="334"/>
      <c r="TVZ57" s="334"/>
      <c r="TWA57" s="334"/>
      <c r="TWB57" s="334"/>
      <c r="TWC57" s="334"/>
      <c r="TWD57" s="334"/>
      <c r="TWE57" s="334"/>
      <c r="TWF57" s="334"/>
      <c r="TWG57" s="334"/>
      <c r="TWH57" s="334"/>
      <c r="TWI57" s="334"/>
      <c r="TWJ57" s="334"/>
      <c r="TWK57" s="334"/>
      <c r="TWL57" s="334"/>
      <c r="TWM57" s="334"/>
      <c r="TWN57" s="334"/>
      <c r="TWO57" s="334"/>
      <c r="TWP57" s="334"/>
      <c r="TWQ57" s="334"/>
      <c r="TWR57" s="334"/>
      <c r="TWS57" s="334"/>
      <c r="TWT57" s="334"/>
      <c r="TWU57" s="334"/>
      <c r="TWV57" s="334"/>
      <c r="TWW57" s="334"/>
      <c r="TWX57" s="334"/>
      <c r="TWY57" s="334"/>
      <c r="TWZ57" s="334"/>
      <c r="TXA57" s="334"/>
      <c r="TXB57" s="334"/>
      <c r="TXC57" s="334"/>
      <c r="TXD57" s="334"/>
      <c r="TXE57" s="334"/>
      <c r="TXF57" s="334"/>
      <c r="TXG57" s="334"/>
      <c r="TXH57" s="334"/>
      <c r="TXI57" s="334"/>
      <c r="TXJ57" s="334"/>
      <c r="TXK57" s="334"/>
      <c r="TXL57" s="334"/>
      <c r="TXM57" s="334"/>
      <c r="TXN57" s="334"/>
      <c r="TXO57" s="334"/>
      <c r="TXP57" s="334"/>
      <c r="TXQ57" s="334"/>
      <c r="TXR57" s="334"/>
      <c r="TXS57" s="334"/>
      <c r="TXT57" s="334"/>
      <c r="TXU57" s="334"/>
      <c r="TXV57" s="334"/>
      <c r="TXW57" s="334"/>
      <c r="TXX57" s="334"/>
      <c r="TXY57" s="334"/>
      <c r="TXZ57" s="334"/>
      <c r="TYA57" s="334"/>
      <c r="TYB57" s="334"/>
      <c r="TYC57" s="334"/>
      <c r="TYD57" s="334"/>
      <c r="TYE57" s="334"/>
      <c r="TYF57" s="334"/>
      <c r="TYG57" s="334"/>
      <c r="TYH57" s="334"/>
      <c r="TYI57" s="334"/>
      <c r="TYJ57" s="334"/>
      <c r="TYK57" s="334"/>
      <c r="TYL57" s="334"/>
      <c r="TYM57" s="334"/>
      <c r="TYN57" s="334"/>
      <c r="TYO57" s="334"/>
      <c r="TYP57" s="334"/>
      <c r="TYQ57" s="334"/>
      <c r="TYR57" s="334"/>
      <c r="TYS57" s="334"/>
      <c r="TYT57" s="334"/>
      <c r="TYU57" s="334"/>
      <c r="TYV57" s="334"/>
      <c r="TYW57" s="334"/>
      <c r="TYX57" s="334"/>
      <c r="TYY57" s="334"/>
      <c r="TYZ57" s="334"/>
      <c r="TZA57" s="334"/>
      <c r="TZB57" s="334"/>
      <c r="TZC57" s="334"/>
      <c r="TZD57" s="334"/>
      <c r="TZE57" s="334"/>
      <c r="TZF57" s="334"/>
      <c r="TZG57" s="334"/>
      <c r="TZH57" s="334"/>
      <c r="TZI57" s="334"/>
      <c r="TZJ57" s="334"/>
      <c r="TZK57" s="334"/>
      <c r="TZL57" s="334"/>
      <c r="TZM57" s="334"/>
      <c r="TZN57" s="334"/>
      <c r="TZO57" s="334"/>
      <c r="TZP57" s="334"/>
      <c r="TZQ57" s="334"/>
      <c r="TZR57" s="334"/>
      <c r="TZS57" s="334"/>
      <c r="TZT57" s="334"/>
      <c r="TZU57" s="334"/>
      <c r="TZV57" s="334"/>
      <c r="TZW57" s="334"/>
      <c r="TZX57" s="334"/>
      <c r="TZY57" s="334"/>
      <c r="TZZ57" s="334"/>
      <c r="UAA57" s="334"/>
      <c r="UAB57" s="334"/>
      <c r="UAC57" s="334"/>
      <c r="UAD57" s="334"/>
      <c r="UAE57" s="334"/>
      <c r="UAF57" s="334"/>
      <c r="UAG57" s="334"/>
      <c r="UAH57" s="334"/>
      <c r="UAI57" s="334"/>
      <c r="UAJ57" s="334"/>
      <c r="UAK57" s="334"/>
      <c r="UAL57" s="334"/>
      <c r="UAM57" s="334"/>
      <c r="UAN57" s="334"/>
      <c r="UAO57" s="334"/>
      <c r="UAP57" s="334"/>
      <c r="UAQ57" s="334"/>
      <c r="UAR57" s="334"/>
      <c r="UAS57" s="334"/>
      <c r="UAT57" s="334"/>
      <c r="UAU57" s="334"/>
      <c r="UAV57" s="334"/>
      <c r="UAW57" s="334"/>
      <c r="UAX57" s="334"/>
      <c r="UAY57" s="334"/>
      <c r="UAZ57" s="334"/>
      <c r="UBA57" s="334"/>
      <c r="UBB57" s="334"/>
      <c r="UBC57" s="334"/>
      <c r="UBD57" s="334"/>
      <c r="UBE57" s="334"/>
      <c r="UBF57" s="334"/>
      <c r="UBG57" s="334"/>
      <c r="UBH57" s="334"/>
      <c r="UBI57" s="334"/>
      <c r="UBJ57" s="334"/>
      <c r="UBK57" s="334"/>
      <c r="UBL57" s="334"/>
      <c r="UBM57" s="334"/>
      <c r="UBN57" s="334"/>
      <c r="UBO57" s="334"/>
      <c r="UBP57" s="334"/>
      <c r="UBQ57" s="334"/>
      <c r="UBR57" s="334"/>
      <c r="UBS57" s="334"/>
      <c r="UBT57" s="334"/>
      <c r="UBU57" s="334"/>
      <c r="UBV57" s="334"/>
      <c r="UBW57" s="334"/>
      <c r="UBX57" s="334"/>
      <c r="UBY57" s="334"/>
      <c r="UBZ57" s="334"/>
      <c r="UCA57" s="334"/>
      <c r="UCB57" s="334"/>
      <c r="UCC57" s="334"/>
      <c r="UCD57" s="334"/>
      <c r="UCE57" s="334"/>
      <c r="UCF57" s="334"/>
      <c r="UCG57" s="334"/>
      <c r="UCH57" s="334"/>
      <c r="UCI57" s="334"/>
      <c r="UCJ57" s="334"/>
      <c r="UCK57" s="334"/>
      <c r="UCL57" s="334"/>
      <c r="UCM57" s="334"/>
      <c r="UCN57" s="334"/>
      <c r="UCO57" s="334"/>
      <c r="UCP57" s="334"/>
      <c r="UCQ57" s="334"/>
      <c r="UCR57" s="334"/>
      <c r="UCS57" s="334"/>
      <c r="UCT57" s="334"/>
      <c r="UCU57" s="334"/>
      <c r="UCV57" s="334"/>
      <c r="UCW57" s="334"/>
      <c r="UCX57" s="334"/>
      <c r="UCY57" s="334"/>
      <c r="UCZ57" s="334"/>
      <c r="UDA57" s="334"/>
      <c r="UDB57" s="334"/>
      <c r="UDC57" s="334"/>
      <c r="UDD57" s="334"/>
      <c r="UDE57" s="334"/>
      <c r="UDF57" s="334"/>
      <c r="UDG57" s="334"/>
      <c r="UDH57" s="334"/>
      <c r="UDI57" s="334"/>
      <c r="UDJ57" s="334"/>
      <c r="UDK57" s="334"/>
      <c r="UDL57" s="334"/>
      <c r="UDM57" s="334"/>
      <c r="UDN57" s="334"/>
      <c r="UDO57" s="334"/>
      <c r="UDP57" s="334"/>
      <c r="UDQ57" s="334"/>
      <c r="UDR57" s="334"/>
      <c r="UDS57" s="334"/>
      <c r="UDT57" s="334"/>
      <c r="UDU57" s="334"/>
      <c r="UDV57" s="334"/>
      <c r="UDW57" s="334"/>
      <c r="UDX57" s="334"/>
      <c r="UDY57" s="334"/>
      <c r="UDZ57" s="334"/>
      <c r="UEA57" s="334"/>
      <c r="UEB57" s="334"/>
      <c r="UEC57" s="334"/>
      <c r="UED57" s="334"/>
      <c r="UEE57" s="334"/>
      <c r="UEF57" s="334"/>
      <c r="UEG57" s="334"/>
      <c r="UEH57" s="334"/>
      <c r="UEI57" s="334"/>
      <c r="UEJ57" s="334"/>
      <c r="UEK57" s="334"/>
      <c r="UEL57" s="334"/>
      <c r="UEM57" s="334"/>
      <c r="UEN57" s="334"/>
      <c r="UEO57" s="334"/>
      <c r="UEP57" s="334"/>
      <c r="UEQ57" s="334"/>
      <c r="UER57" s="334"/>
      <c r="UES57" s="334"/>
      <c r="UET57" s="334"/>
      <c r="UEU57" s="334"/>
      <c r="UEV57" s="334"/>
      <c r="UEW57" s="334"/>
      <c r="UEX57" s="334"/>
      <c r="UEY57" s="334"/>
      <c r="UEZ57" s="334"/>
      <c r="UFA57" s="334"/>
      <c r="UFB57" s="334"/>
      <c r="UFC57" s="334"/>
      <c r="UFD57" s="334"/>
      <c r="UFE57" s="334"/>
      <c r="UFF57" s="334"/>
      <c r="UFG57" s="334"/>
      <c r="UFH57" s="334"/>
      <c r="UFI57" s="334"/>
      <c r="UFJ57" s="334"/>
      <c r="UFK57" s="334"/>
      <c r="UFL57" s="334"/>
      <c r="UFM57" s="334"/>
      <c r="UFN57" s="334"/>
      <c r="UFO57" s="334"/>
      <c r="UFP57" s="334"/>
      <c r="UFQ57" s="334"/>
      <c r="UFR57" s="334"/>
      <c r="UFS57" s="334"/>
      <c r="UFT57" s="334"/>
      <c r="UFU57" s="334"/>
      <c r="UFV57" s="334"/>
      <c r="UFW57" s="334"/>
      <c r="UFX57" s="334"/>
      <c r="UFY57" s="334"/>
      <c r="UFZ57" s="334"/>
      <c r="UGA57" s="334"/>
      <c r="UGB57" s="334"/>
      <c r="UGC57" s="334"/>
      <c r="UGD57" s="334"/>
      <c r="UGE57" s="334"/>
      <c r="UGF57" s="334"/>
      <c r="UGG57" s="334"/>
      <c r="UGH57" s="334"/>
      <c r="UGI57" s="334"/>
      <c r="UGJ57" s="334"/>
      <c r="UGK57" s="334"/>
      <c r="UGL57" s="334"/>
      <c r="UGM57" s="334"/>
      <c r="UGN57" s="334"/>
      <c r="UGO57" s="334"/>
      <c r="UGP57" s="334"/>
      <c r="UGQ57" s="334"/>
      <c r="UGR57" s="334"/>
      <c r="UGS57" s="334"/>
      <c r="UGT57" s="334"/>
      <c r="UGU57" s="334"/>
      <c r="UGV57" s="334"/>
      <c r="UGW57" s="334"/>
      <c r="UGX57" s="334"/>
      <c r="UGY57" s="334"/>
      <c r="UGZ57" s="334"/>
      <c r="UHA57" s="334"/>
      <c r="UHB57" s="334"/>
      <c r="UHC57" s="334"/>
      <c r="UHD57" s="334"/>
      <c r="UHE57" s="334"/>
      <c r="UHF57" s="334"/>
      <c r="UHG57" s="334"/>
      <c r="UHH57" s="334"/>
      <c r="UHI57" s="334"/>
      <c r="UHJ57" s="334"/>
      <c r="UHK57" s="334"/>
      <c r="UHL57" s="334"/>
      <c r="UHM57" s="334"/>
      <c r="UHN57" s="334"/>
      <c r="UHO57" s="334"/>
      <c r="UHP57" s="334"/>
      <c r="UHQ57" s="334"/>
      <c r="UHR57" s="334"/>
      <c r="UHS57" s="334"/>
      <c r="UHT57" s="334"/>
      <c r="UHU57" s="334"/>
      <c r="UHV57" s="334"/>
      <c r="UHW57" s="334"/>
      <c r="UHX57" s="334"/>
      <c r="UHY57" s="334"/>
      <c r="UHZ57" s="334"/>
      <c r="UIA57" s="334"/>
      <c r="UIB57" s="334"/>
      <c r="UIC57" s="334"/>
      <c r="UID57" s="334"/>
      <c r="UIE57" s="334"/>
      <c r="UIF57" s="334"/>
      <c r="UIG57" s="334"/>
      <c r="UIH57" s="334"/>
      <c r="UII57" s="334"/>
      <c r="UIJ57" s="334"/>
      <c r="UIK57" s="334"/>
      <c r="UIL57" s="334"/>
      <c r="UIM57" s="334"/>
      <c r="UIN57" s="334"/>
      <c r="UIO57" s="334"/>
      <c r="UIP57" s="334"/>
      <c r="UIQ57" s="334"/>
      <c r="UIR57" s="334"/>
      <c r="UIS57" s="334"/>
      <c r="UIT57" s="334"/>
      <c r="UIU57" s="334"/>
      <c r="UIV57" s="334"/>
      <c r="UIW57" s="334"/>
      <c r="UIX57" s="334"/>
      <c r="UIY57" s="334"/>
      <c r="UIZ57" s="334"/>
      <c r="UJA57" s="334"/>
      <c r="UJB57" s="334"/>
      <c r="UJC57" s="334"/>
      <c r="UJD57" s="334"/>
      <c r="UJE57" s="334"/>
      <c r="UJF57" s="334"/>
      <c r="UJG57" s="334"/>
      <c r="UJH57" s="334"/>
      <c r="UJI57" s="334"/>
      <c r="UJJ57" s="334"/>
      <c r="UJK57" s="334"/>
      <c r="UJL57" s="334"/>
      <c r="UJM57" s="334"/>
      <c r="UJN57" s="334"/>
      <c r="UJO57" s="334"/>
      <c r="UJP57" s="334"/>
      <c r="UJQ57" s="334"/>
      <c r="UJR57" s="334"/>
      <c r="UJS57" s="334"/>
      <c r="UJT57" s="334"/>
      <c r="UJU57" s="334"/>
      <c r="UJV57" s="334"/>
      <c r="UJW57" s="334"/>
      <c r="UJX57" s="334"/>
      <c r="UJY57" s="334"/>
      <c r="UJZ57" s="334"/>
      <c r="UKA57" s="334"/>
      <c r="UKB57" s="334"/>
      <c r="UKC57" s="334"/>
      <c r="UKD57" s="334"/>
      <c r="UKE57" s="334"/>
      <c r="UKF57" s="334"/>
      <c r="UKG57" s="334"/>
      <c r="UKH57" s="334"/>
      <c r="UKI57" s="334"/>
      <c r="UKJ57" s="334"/>
      <c r="UKK57" s="334"/>
      <c r="UKL57" s="334"/>
      <c r="UKM57" s="334"/>
      <c r="UKN57" s="334"/>
      <c r="UKO57" s="334"/>
      <c r="UKP57" s="334"/>
      <c r="UKQ57" s="334"/>
      <c r="UKR57" s="334"/>
      <c r="UKS57" s="334"/>
      <c r="UKT57" s="334"/>
      <c r="UKU57" s="334"/>
      <c r="UKV57" s="334"/>
      <c r="UKW57" s="334"/>
      <c r="UKX57" s="334"/>
      <c r="UKY57" s="334"/>
      <c r="UKZ57" s="334"/>
      <c r="ULA57" s="334"/>
      <c r="ULB57" s="334"/>
      <c r="ULC57" s="334"/>
      <c r="ULD57" s="334"/>
      <c r="ULE57" s="334"/>
      <c r="ULF57" s="334"/>
      <c r="ULG57" s="334"/>
      <c r="ULH57" s="334"/>
      <c r="ULI57" s="334"/>
      <c r="ULJ57" s="334"/>
      <c r="ULK57" s="334"/>
      <c r="ULL57" s="334"/>
      <c r="ULM57" s="334"/>
      <c r="ULN57" s="334"/>
      <c r="ULO57" s="334"/>
      <c r="ULP57" s="334"/>
      <c r="ULQ57" s="334"/>
      <c r="ULR57" s="334"/>
      <c r="ULS57" s="334"/>
      <c r="ULT57" s="334"/>
      <c r="ULU57" s="334"/>
      <c r="ULV57" s="334"/>
      <c r="ULW57" s="334"/>
      <c r="ULX57" s="334"/>
      <c r="ULY57" s="334"/>
      <c r="ULZ57" s="334"/>
      <c r="UMA57" s="334"/>
      <c r="UMB57" s="334"/>
      <c r="UMC57" s="334"/>
      <c r="UMD57" s="334"/>
      <c r="UME57" s="334"/>
      <c r="UMF57" s="334"/>
      <c r="UMG57" s="334"/>
      <c r="UMH57" s="334"/>
      <c r="UMI57" s="334"/>
      <c r="UMJ57" s="334"/>
      <c r="UMK57" s="334"/>
      <c r="UML57" s="334"/>
      <c r="UMM57" s="334"/>
      <c r="UMN57" s="334"/>
      <c r="UMO57" s="334"/>
      <c r="UMP57" s="334"/>
      <c r="UMQ57" s="334"/>
      <c r="UMR57" s="334"/>
      <c r="UMS57" s="334"/>
      <c r="UMT57" s="334"/>
      <c r="UMU57" s="334"/>
      <c r="UMV57" s="334"/>
      <c r="UMW57" s="334"/>
      <c r="UMX57" s="334"/>
      <c r="UMY57" s="334"/>
      <c r="UMZ57" s="334"/>
      <c r="UNA57" s="334"/>
      <c r="UNB57" s="334"/>
      <c r="UNC57" s="334"/>
      <c r="UND57" s="334"/>
      <c r="UNE57" s="334"/>
      <c r="UNF57" s="334"/>
      <c r="UNG57" s="334"/>
      <c r="UNH57" s="334"/>
      <c r="UNI57" s="334"/>
      <c r="UNJ57" s="334"/>
      <c r="UNK57" s="334"/>
      <c r="UNL57" s="334"/>
      <c r="UNM57" s="334"/>
      <c r="UNN57" s="334"/>
      <c r="UNO57" s="334"/>
      <c r="UNP57" s="334"/>
      <c r="UNQ57" s="334"/>
      <c r="UNR57" s="334"/>
      <c r="UNS57" s="334"/>
      <c r="UNT57" s="334"/>
      <c r="UNU57" s="334"/>
      <c r="UNV57" s="334"/>
      <c r="UNW57" s="334"/>
      <c r="UNX57" s="334"/>
      <c r="UNY57" s="334"/>
      <c r="UNZ57" s="334"/>
      <c r="UOA57" s="334"/>
      <c r="UOB57" s="334"/>
      <c r="UOC57" s="334"/>
      <c r="UOD57" s="334"/>
      <c r="UOE57" s="334"/>
      <c r="UOF57" s="334"/>
      <c r="UOG57" s="334"/>
      <c r="UOH57" s="334"/>
      <c r="UOI57" s="334"/>
      <c r="UOJ57" s="334"/>
      <c r="UOK57" s="334"/>
      <c r="UOL57" s="334"/>
      <c r="UOM57" s="334"/>
      <c r="UON57" s="334"/>
      <c r="UOO57" s="334"/>
      <c r="UOP57" s="334"/>
      <c r="UOQ57" s="334"/>
      <c r="UOR57" s="334"/>
      <c r="UOS57" s="334"/>
      <c r="UOT57" s="334"/>
      <c r="UOU57" s="334"/>
      <c r="UOV57" s="334"/>
      <c r="UOW57" s="334"/>
      <c r="UOX57" s="334"/>
      <c r="UOY57" s="334"/>
      <c r="UOZ57" s="334"/>
      <c r="UPA57" s="334"/>
      <c r="UPB57" s="334"/>
      <c r="UPC57" s="334"/>
      <c r="UPD57" s="334"/>
      <c r="UPE57" s="334"/>
      <c r="UPF57" s="334"/>
      <c r="UPG57" s="334"/>
      <c r="UPH57" s="334"/>
      <c r="UPI57" s="334"/>
      <c r="UPJ57" s="334"/>
      <c r="UPK57" s="334"/>
      <c r="UPL57" s="334"/>
      <c r="UPM57" s="334"/>
      <c r="UPN57" s="334"/>
      <c r="UPO57" s="334"/>
      <c r="UPP57" s="334"/>
      <c r="UPQ57" s="334"/>
      <c r="UPR57" s="334"/>
      <c r="UPS57" s="334"/>
      <c r="UPT57" s="334"/>
      <c r="UPU57" s="334"/>
      <c r="UPV57" s="334"/>
      <c r="UPW57" s="334"/>
      <c r="UPX57" s="334"/>
      <c r="UPY57" s="334"/>
      <c r="UPZ57" s="334"/>
      <c r="UQA57" s="334"/>
      <c r="UQB57" s="334"/>
      <c r="UQC57" s="334"/>
      <c r="UQD57" s="334"/>
      <c r="UQE57" s="334"/>
      <c r="UQF57" s="334"/>
      <c r="UQG57" s="334"/>
      <c r="UQH57" s="334"/>
      <c r="UQI57" s="334"/>
      <c r="UQJ57" s="334"/>
      <c r="UQK57" s="334"/>
      <c r="UQL57" s="334"/>
      <c r="UQM57" s="334"/>
      <c r="UQN57" s="334"/>
      <c r="UQO57" s="334"/>
      <c r="UQP57" s="334"/>
      <c r="UQQ57" s="334"/>
      <c r="UQR57" s="334"/>
      <c r="UQS57" s="334"/>
      <c r="UQT57" s="334"/>
      <c r="UQU57" s="334"/>
      <c r="UQV57" s="334"/>
      <c r="UQW57" s="334"/>
      <c r="UQX57" s="334"/>
      <c r="UQY57" s="334"/>
      <c r="UQZ57" s="334"/>
      <c r="URA57" s="334"/>
      <c r="URB57" s="334"/>
      <c r="URC57" s="334"/>
      <c r="URD57" s="334"/>
      <c r="URE57" s="334"/>
      <c r="URF57" s="334"/>
      <c r="URG57" s="334"/>
      <c r="URH57" s="334"/>
      <c r="URI57" s="334"/>
      <c r="URJ57" s="334"/>
      <c r="URK57" s="334"/>
      <c r="URL57" s="334"/>
      <c r="URM57" s="334"/>
      <c r="URN57" s="334"/>
      <c r="URO57" s="334"/>
      <c r="URP57" s="334"/>
      <c r="URQ57" s="334"/>
      <c r="URR57" s="334"/>
      <c r="URS57" s="334"/>
      <c r="URT57" s="334"/>
      <c r="URU57" s="334"/>
      <c r="URV57" s="334"/>
      <c r="URW57" s="334"/>
      <c r="URX57" s="334"/>
      <c r="URY57" s="334"/>
      <c r="URZ57" s="334"/>
      <c r="USA57" s="334"/>
      <c r="USB57" s="334"/>
      <c r="USC57" s="334"/>
      <c r="USD57" s="334"/>
      <c r="USE57" s="334"/>
      <c r="USF57" s="334"/>
      <c r="USG57" s="334"/>
      <c r="USH57" s="334"/>
      <c r="USI57" s="334"/>
      <c r="USJ57" s="334"/>
      <c r="USK57" s="334"/>
      <c r="USL57" s="334"/>
      <c r="USM57" s="334"/>
      <c r="USN57" s="334"/>
      <c r="USO57" s="334"/>
      <c r="USP57" s="334"/>
      <c r="USQ57" s="334"/>
      <c r="USR57" s="334"/>
      <c r="USS57" s="334"/>
      <c r="UST57" s="334"/>
      <c r="USU57" s="334"/>
      <c r="USV57" s="334"/>
      <c r="USW57" s="334"/>
      <c r="USX57" s="334"/>
      <c r="USY57" s="334"/>
      <c r="USZ57" s="334"/>
      <c r="UTA57" s="334"/>
      <c r="UTB57" s="334"/>
      <c r="UTC57" s="334"/>
      <c r="UTD57" s="334"/>
      <c r="UTE57" s="334"/>
      <c r="UTF57" s="334"/>
      <c r="UTG57" s="334"/>
      <c r="UTH57" s="334"/>
      <c r="UTI57" s="334"/>
      <c r="UTJ57" s="334"/>
      <c r="UTK57" s="334"/>
      <c r="UTL57" s="334"/>
      <c r="UTM57" s="334"/>
      <c r="UTN57" s="334"/>
      <c r="UTO57" s="334"/>
      <c r="UTP57" s="334"/>
      <c r="UTQ57" s="334"/>
      <c r="UTR57" s="334"/>
      <c r="UTS57" s="334"/>
      <c r="UTT57" s="334"/>
      <c r="UTU57" s="334"/>
      <c r="UTV57" s="334"/>
      <c r="UTW57" s="334"/>
      <c r="UTX57" s="334"/>
      <c r="UTY57" s="334"/>
      <c r="UTZ57" s="334"/>
      <c r="UUA57" s="334"/>
      <c r="UUB57" s="334"/>
      <c r="UUC57" s="334"/>
      <c r="UUD57" s="334"/>
      <c r="UUE57" s="334"/>
      <c r="UUF57" s="334"/>
      <c r="UUG57" s="334"/>
      <c r="UUH57" s="334"/>
      <c r="UUI57" s="334"/>
      <c r="UUJ57" s="334"/>
      <c r="UUK57" s="334"/>
      <c r="UUL57" s="334"/>
      <c r="UUM57" s="334"/>
      <c r="UUN57" s="334"/>
      <c r="UUO57" s="334"/>
      <c r="UUP57" s="334"/>
      <c r="UUQ57" s="334"/>
      <c r="UUR57" s="334"/>
      <c r="UUS57" s="334"/>
      <c r="UUT57" s="334"/>
      <c r="UUU57" s="334"/>
      <c r="UUV57" s="334"/>
      <c r="UUW57" s="334"/>
      <c r="UUX57" s="334"/>
      <c r="UUY57" s="334"/>
      <c r="UUZ57" s="334"/>
      <c r="UVA57" s="334"/>
      <c r="UVB57" s="334"/>
      <c r="UVC57" s="334"/>
      <c r="UVD57" s="334"/>
      <c r="UVE57" s="334"/>
      <c r="UVF57" s="334"/>
      <c r="UVG57" s="334"/>
      <c r="UVH57" s="334"/>
      <c r="UVI57" s="334"/>
      <c r="UVJ57" s="334"/>
      <c r="UVK57" s="334"/>
      <c r="UVL57" s="334"/>
      <c r="UVM57" s="334"/>
      <c r="UVN57" s="334"/>
      <c r="UVO57" s="334"/>
      <c r="UVP57" s="334"/>
      <c r="UVQ57" s="334"/>
      <c r="UVR57" s="334"/>
      <c r="UVS57" s="334"/>
      <c r="UVT57" s="334"/>
      <c r="UVU57" s="334"/>
      <c r="UVV57" s="334"/>
      <c r="UVW57" s="334"/>
      <c r="UVX57" s="334"/>
      <c r="UVY57" s="334"/>
      <c r="UVZ57" s="334"/>
      <c r="UWA57" s="334"/>
      <c r="UWB57" s="334"/>
      <c r="UWC57" s="334"/>
      <c r="UWD57" s="334"/>
      <c r="UWE57" s="334"/>
      <c r="UWF57" s="334"/>
      <c r="UWG57" s="334"/>
      <c r="UWH57" s="334"/>
      <c r="UWI57" s="334"/>
      <c r="UWJ57" s="334"/>
      <c r="UWK57" s="334"/>
      <c r="UWL57" s="334"/>
      <c r="UWM57" s="334"/>
      <c r="UWN57" s="334"/>
      <c r="UWO57" s="334"/>
      <c r="UWP57" s="334"/>
      <c r="UWQ57" s="334"/>
      <c r="UWR57" s="334"/>
      <c r="UWS57" s="334"/>
      <c r="UWT57" s="334"/>
      <c r="UWU57" s="334"/>
      <c r="UWV57" s="334"/>
      <c r="UWW57" s="334"/>
      <c r="UWX57" s="334"/>
      <c r="UWY57" s="334"/>
      <c r="UWZ57" s="334"/>
      <c r="UXA57" s="334"/>
      <c r="UXB57" s="334"/>
      <c r="UXC57" s="334"/>
      <c r="UXD57" s="334"/>
      <c r="UXE57" s="334"/>
      <c r="UXF57" s="334"/>
      <c r="UXG57" s="334"/>
      <c r="UXH57" s="334"/>
      <c r="UXI57" s="334"/>
      <c r="UXJ57" s="334"/>
      <c r="UXK57" s="334"/>
      <c r="UXL57" s="334"/>
      <c r="UXM57" s="334"/>
      <c r="UXN57" s="334"/>
      <c r="UXO57" s="334"/>
      <c r="UXP57" s="334"/>
      <c r="UXQ57" s="334"/>
      <c r="UXR57" s="334"/>
      <c r="UXS57" s="334"/>
      <c r="UXT57" s="334"/>
      <c r="UXU57" s="334"/>
      <c r="UXV57" s="334"/>
      <c r="UXW57" s="334"/>
      <c r="UXX57" s="334"/>
      <c r="UXY57" s="334"/>
      <c r="UXZ57" s="334"/>
      <c r="UYA57" s="334"/>
      <c r="UYB57" s="334"/>
      <c r="UYC57" s="334"/>
      <c r="UYD57" s="334"/>
      <c r="UYE57" s="334"/>
      <c r="UYF57" s="334"/>
      <c r="UYG57" s="334"/>
      <c r="UYH57" s="334"/>
      <c r="UYI57" s="334"/>
      <c r="UYJ57" s="334"/>
      <c r="UYK57" s="334"/>
      <c r="UYL57" s="334"/>
      <c r="UYM57" s="334"/>
      <c r="UYN57" s="334"/>
      <c r="UYO57" s="334"/>
      <c r="UYP57" s="334"/>
      <c r="UYQ57" s="334"/>
      <c r="UYR57" s="334"/>
      <c r="UYS57" s="334"/>
      <c r="UYT57" s="334"/>
      <c r="UYU57" s="334"/>
      <c r="UYV57" s="334"/>
      <c r="UYW57" s="334"/>
      <c r="UYX57" s="334"/>
      <c r="UYY57" s="334"/>
      <c r="UYZ57" s="334"/>
      <c r="UZA57" s="334"/>
      <c r="UZB57" s="334"/>
      <c r="UZC57" s="334"/>
      <c r="UZD57" s="334"/>
      <c r="UZE57" s="334"/>
      <c r="UZF57" s="334"/>
      <c r="UZG57" s="334"/>
      <c r="UZH57" s="334"/>
      <c r="UZI57" s="334"/>
      <c r="UZJ57" s="334"/>
      <c r="UZK57" s="334"/>
      <c r="UZL57" s="334"/>
      <c r="UZM57" s="334"/>
      <c r="UZN57" s="334"/>
      <c r="UZO57" s="334"/>
      <c r="UZP57" s="334"/>
      <c r="UZQ57" s="334"/>
      <c r="UZR57" s="334"/>
      <c r="UZS57" s="334"/>
      <c r="UZT57" s="334"/>
      <c r="UZU57" s="334"/>
      <c r="UZV57" s="334"/>
      <c r="UZW57" s="334"/>
      <c r="UZX57" s="334"/>
      <c r="UZY57" s="334"/>
      <c r="UZZ57" s="334"/>
      <c r="VAA57" s="334"/>
      <c r="VAB57" s="334"/>
      <c r="VAC57" s="334"/>
      <c r="VAD57" s="334"/>
      <c r="VAE57" s="334"/>
      <c r="VAF57" s="334"/>
      <c r="VAG57" s="334"/>
      <c r="VAH57" s="334"/>
      <c r="VAI57" s="334"/>
      <c r="VAJ57" s="334"/>
      <c r="VAK57" s="334"/>
      <c r="VAL57" s="334"/>
      <c r="VAM57" s="334"/>
      <c r="VAN57" s="334"/>
      <c r="VAO57" s="334"/>
      <c r="VAP57" s="334"/>
      <c r="VAQ57" s="334"/>
      <c r="VAR57" s="334"/>
      <c r="VAS57" s="334"/>
      <c r="VAT57" s="334"/>
      <c r="VAU57" s="334"/>
      <c r="VAV57" s="334"/>
      <c r="VAW57" s="334"/>
      <c r="VAX57" s="334"/>
      <c r="VAY57" s="334"/>
      <c r="VAZ57" s="334"/>
      <c r="VBA57" s="334"/>
      <c r="VBB57" s="334"/>
      <c r="VBC57" s="334"/>
      <c r="VBD57" s="334"/>
      <c r="VBE57" s="334"/>
      <c r="VBF57" s="334"/>
      <c r="VBG57" s="334"/>
      <c r="VBH57" s="334"/>
      <c r="VBI57" s="334"/>
      <c r="VBJ57" s="334"/>
      <c r="VBK57" s="334"/>
      <c r="VBL57" s="334"/>
      <c r="VBM57" s="334"/>
      <c r="VBN57" s="334"/>
      <c r="VBO57" s="334"/>
      <c r="VBP57" s="334"/>
      <c r="VBQ57" s="334"/>
      <c r="VBR57" s="334"/>
      <c r="VBS57" s="334"/>
      <c r="VBT57" s="334"/>
      <c r="VBU57" s="334"/>
      <c r="VBV57" s="334"/>
      <c r="VBW57" s="334"/>
      <c r="VBX57" s="334"/>
      <c r="VBY57" s="334"/>
      <c r="VBZ57" s="334"/>
      <c r="VCA57" s="334"/>
      <c r="VCB57" s="334"/>
      <c r="VCC57" s="334"/>
      <c r="VCD57" s="334"/>
      <c r="VCE57" s="334"/>
      <c r="VCF57" s="334"/>
      <c r="VCG57" s="334"/>
      <c r="VCH57" s="334"/>
      <c r="VCI57" s="334"/>
      <c r="VCJ57" s="334"/>
      <c r="VCK57" s="334"/>
      <c r="VCL57" s="334"/>
      <c r="VCM57" s="334"/>
      <c r="VCN57" s="334"/>
      <c r="VCO57" s="334"/>
      <c r="VCP57" s="334"/>
      <c r="VCQ57" s="334"/>
      <c r="VCR57" s="334"/>
      <c r="VCS57" s="334"/>
      <c r="VCT57" s="334"/>
      <c r="VCU57" s="334"/>
      <c r="VCV57" s="334"/>
      <c r="VCW57" s="334"/>
      <c r="VCX57" s="334"/>
      <c r="VCY57" s="334"/>
      <c r="VCZ57" s="334"/>
      <c r="VDA57" s="334"/>
      <c r="VDB57" s="334"/>
      <c r="VDC57" s="334"/>
      <c r="VDD57" s="334"/>
      <c r="VDE57" s="334"/>
      <c r="VDF57" s="334"/>
      <c r="VDG57" s="334"/>
      <c r="VDH57" s="334"/>
      <c r="VDI57" s="334"/>
      <c r="VDJ57" s="334"/>
      <c r="VDK57" s="334"/>
      <c r="VDL57" s="334"/>
      <c r="VDM57" s="334"/>
      <c r="VDN57" s="334"/>
      <c r="VDO57" s="334"/>
      <c r="VDP57" s="334"/>
      <c r="VDQ57" s="334"/>
      <c r="VDR57" s="334"/>
      <c r="VDS57" s="334"/>
      <c r="VDT57" s="334"/>
      <c r="VDU57" s="334"/>
      <c r="VDV57" s="334"/>
      <c r="VDW57" s="334"/>
      <c r="VDX57" s="334"/>
      <c r="VDY57" s="334"/>
      <c r="VDZ57" s="334"/>
      <c r="VEA57" s="334"/>
      <c r="VEB57" s="334"/>
      <c r="VEC57" s="334"/>
      <c r="VED57" s="334"/>
      <c r="VEE57" s="334"/>
      <c r="VEF57" s="334"/>
      <c r="VEG57" s="334"/>
      <c r="VEH57" s="334"/>
      <c r="VEI57" s="334"/>
      <c r="VEJ57" s="334"/>
      <c r="VEK57" s="334"/>
      <c r="VEL57" s="334"/>
      <c r="VEM57" s="334"/>
      <c r="VEN57" s="334"/>
      <c r="VEO57" s="334"/>
      <c r="VEP57" s="334"/>
      <c r="VEQ57" s="334"/>
      <c r="VER57" s="334"/>
      <c r="VES57" s="334"/>
      <c r="VET57" s="334"/>
      <c r="VEU57" s="334"/>
      <c r="VEV57" s="334"/>
      <c r="VEW57" s="334"/>
      <c r="VEX57" s="334"/>
      <c r="VEY57" s="334"/>
      <c r="VEZ57" s="334"/>
      <c r="VFA57" s="334"/>
      <c r="VFB57" s="334"/>
      <c r="VFC57" s="334"/>
      <c r="VFD57" s="334"/>
      <c r="VFE57" s="334"/>
      <c r="VFF57" s="334"/>
      <c r="VFG57" s="334"/>
      <c r="VFH57" s="334"/>
      <c r="VFI57" s="334"/>
      <c r="VFJ57" s="334"/>
      <c r="VFK57" s="334"/>
      <c r="VFL57" s="334"/>
      <c r="VFM57" s="334"/>
      <c r="VFN57" s="334"/>
      <c r="VFO57" s="334"/>
      <c r="VFP57" s="334"/>
      <c r="VFQ57" s="334"/>
      <c r="VFR57" s="334"/>
      <c r="VFS57" s="334"/>
      <c r="VFT57" s="334"/>
      <c r="VFU57" s="334"/>
      <c r="VFV57" s="334"/>
      <c r="VFW57" s="334"/>
      <c r="VFX57" s="334"/>
      <c r="VFY57" s="334"/>
      <c r="VFZ57" s="334"/>
      <c r="VGA57" s="334"/>
      <c r="VGB57" s="334"/>
      <c r="VGC57" s="334"/>
      <c r="VGD57" s="334"/>
      <c r="VGE57" s="334"/>
      <c r="VGF57" s="334"/>
      <c r="VGG57" s="334"/>
      <c r="VGH57" s="334"/>
      <c r="VGI57" s="334"/>
      <c r="VGJ57" s="334"/>
      <c r="VGK57" s="334"/>
      <c r="VGL57" s="334"/>
      <c r="VGM57" s="334"/>
      <c r="VGN57" s="334"/>
      <c r="VGO57" s="334"/>
      <c r="VGP57" s="334"/>
      <c r="VGQ57" s="334"/>
      <c r="VGR57" s="334"/>
      <c r="VGS57" s="334"/>
      <c r="VGT57" s="334"/>
      <c r="VGU57" s="334"/>
      <c r="VGV57" s="334"/>
      <c r="VGW57" s="334"/>
      <c r="VGX57" s="334"/>
      <c r="VGY57" s="334"/>
      <c r="VGZ57" s="334"/>
      <c r="VHA57" s="334"/>
      <c r="VHB57" s="334"/>
      <c r="VHC57" s="334"/>
      <c r="VHD57" s="334"/>
      <c r="VHE57" s="334"/>
      <c r="VHF57" s="334"/>
      <c r="VHG57" s="334"/>
      <c r="VHH57" s="334"/>
      <c r="VHI57" s="334"/>
      <c r="VHJ57" s="334"/>
      <c r="VHK57" s="334"/>
      <c r="VHL57" s="334"/>
      <c r="VHM57" s="334"/>
      <c r="VHN57" s="334"/>
      <c r="VHO57" s="334"/>
      <c r="VHP57" s="334"/>
      <c r="VHQ57" s="334"/>
      <c r="VHR57" s="334"/>
      <c r="VHS57" s="334"/>
      <c r="VHT57" s="334"/>
      <c r="VHU57" s="334"/>
      <c r="VHV57" s="334"/>
      <c r="VHW57" s="334"/>
      <c r="VHX57" s="334"/>
      <c r="VHY57" s="334"/>
      <c r="VHZ57" s="334"/>
      <c r="VIA57" s="334"/>
      <c r="VIB57" s="334"/>
      <c r="VIC57" s="334"/>
      <c r="VID57" s="334"/>
      <c r="VIE57" s="334"/>
      <c r="VIF57" s="334"/>
      <c r="VIG57" s="334"/>
      <c r="VIH57" s="334"/>
      <c r="VII57" s="334"/>
      <c r="VIJ57" s="334"/>
      <c r="VIK57" s="334"/>
      <c r="VIL57" s="334"/>
      <c r="VIM57" s="334"/>
      <c r="VIN57" s="334"/>
      <c r="VIO57" s="334"/>
      <c r="VIP57" s="334"/>
      <c r="VIQ57" s="334"/>
      <c r="VIR57" s="334"/>
      <c r="VIS57" s="334"/>
      <c r="VIT57" s="334"/>
      <c r="VIU57" s="334"/>
      <c r="VIV57" s="334"/>
      <c r="VIW57" s="334"/>
      <c r="VIX57" s="334"/>
      <c r="VIY57" s="334"/>
      <c r="VIZ57" s="334"/>
      <c r="VJA57" s="334"/>
      <c r="VJB57" s="334"/>
      <c r="VJC57" s="334"/>
      <c r="VJD57" s="334"/>
      <c r="VJE57" s="334"/>
      <c r="VJF57" s="334"/>
      <c r="VJG57" s="334"/>
      <c r="VJH57" s="334"/>
      <c r="VJI57" s="334"/>
      <c r="VJJ57" s="334"/>
      <c r="VJK57" s="334"/>
      <c r="VJL57" s="334"/>
      <c r="VJM57" s="334"/>
      <c r="VJN57" s="334"/>
      <c r="VJO57" s="334"/>
      <c r="VJP57" s="334"/>
      <c r="VJQ57" s="334"/>
      <c r="VJR57" s="334"/>
      <c r="VJS57" s="334"/>
      <c r="VJT57" s="334"/>
      <c r="VJU57" s="334"/>
      <c r="VJV57" s="334"/>
      <c r="VJW57" s="334"/>
      <c r="VJX57" s="334"/>
      <c r="VJY57" s="334"/>
      <c r="VJZ57" s="334"/>
      <c r="VKA57" s="334"/>
      <c r="VKB57" s="334"/>
      <c r="VKC57" s="334"/>
      <c r="VKD57" s="334"/>
      <c r="VKE57" s="334"/>
      <c r="VKF57" s="334"/>
      <c r="VKG57" s="334"/>
      <c r="VKH57" s="334"/>
      <c r="VKI57" s="334"/>
      <c r="VKJ57" s="334"/>
      <c r="VKK57" s="334"/>
      <c r="VKL57" s="334"/>
      <c r="VKM57" s="334"/>
      <c r="VKN57" s="334"/>
      <c r="VKO57" s="334"/>
      <c r="VKP57" s="334"/>
      <c r="VKQ57" s="334"/>
      <c r="VKR57" s="334"/>
      <c r="VKS57" s="334"/>
      <c r="VKT57" s="334"/>
      <c r="VKU57" s="334"/>
      <c r="VKV57" s="334"/>
      <c r="VKW57" s="334"/>
      <c r="VKX57" s="334"/>
      <c r="VKY57" s="334"/>
      <c r="VKZ57" s="334"/>
      <c r="VLA57" s="334"/>
      <c r="VLB57" s="334"/>
      <c r="VLC57" s="334"/>
      <c r="VLD57" s="334"/>
      <c r="VLE57" s="334"/>
      <c r="VLF57" s="334"/>
      <c r="VLG57" s="334"/>
      <c r="VLH57" s="334"/>
      <c r="VLI57" s="334"/>
      <c r="VLJ57" s="334"/>
      <c r="VLK57" s="334"/>
      <c r="VLL57" s="334"/>
      <c r="VLM57" s="334"/>
      <c r="VLN57" s="334"/>
      <c r="VLO57" s="334"/>
      <c r="VLP57" s="334"/>
      <c r="VLQ57" s="334"/>
      <c r="VLR57" s="334"/>
      <c r="VLS57" s="334"/>
      <c r="VLT57" s="334"/>
      <c r="VLU57" s="334"/>
      <c r="VLV57" s="334"/>
      <c r="VLW57" s="334"/>
      <c r="VLX57" s="334"/>
      <c r="VLY57" s="334"/>
      <c r="VLZ57" s="334"/>
      <c r="VMA57" s="334"/>
      <c r="VMB57" s="334"/>
      <c r="VMC57" s="334"/>
      <c r="VMD57" s="334"/>
      <c r="VME57" s="334"/>
      <c r="VMF57" s="334"/>
      <c r="VMG57" s="334"/>
      <c r="VMH57" s="334"/>
      <c r="VMI57" s="334"/>
      <c r="VMJ57" s="334"/>
      <c r="VMK57" s="334"/>
      <c r="VML57" s="334"/>
      <c r="VMM57" s="334"/>
      <c r="VMN57" s="334"/>
      <c r="VMO57" s="334"/>
      <c r="VMP57" s="334"/>
      <c r="VMQ57" s="334"/>
      <c r="VMR57" s="334"/>
      <c r="VMS57" s="334"/>
      <c r="VMT57" s="334"/>
      <c r="VMU57" s="334"/>
      <c r="VMV57" s="334"/>
      <c r="VMW57" s="334"/>
      <c r="VMX57" s="334"/>
      <c r="VMY57" s="334"/>
      <c r="VMZ57" s="334"/>
      <c r="VNA57" s="334"/>
      <c r="VNB57" s="334"/>
      <c r="VNC57" s="334"/>
      <c r="VND57" s="334"/>
      <c r="VNE57" s="334"/>
      <c r="VNF57" s="334"/>
      <c r="VNG57" s="334"/>
      <c r="VNH57" s="334"/>
      <c r="VNI57" s="334"/>
      <c r="VNJ57" s="334"/>
      <c r="VNK57" s="334"/>
      <c r="VNL57" s="334"/>
      <c r="VNM57" s="334"/>
      <c r="VNN57" s="334"/>
      <c r="VNO57" s="334"/>
      <c r="VNP57" s="334"/>
      <c r="VNQ57" s="334"/>
      <c r="VNR57" s="334"/>
      <c r="VNS57" s="334"/>
      <c r="VNT57" s="334"/>
      <c r="VNU57" s="334"/>
      <c r="VNV57" s="334"/>
      <c r="VNW57" s="334"/>
      <c r="VNX57" s="334"/>
      <c r="VNY57" s="334"/>
      <c r="VNZ57" s="334"/>
      <c r="VOA57" s="334"/>
      <c r="VOB57" s="334"/>
      <c r="VOC57" s="334"/>
      <c r="VOD57" s="334"/>
      <c r="VOE57" s="334"/>
      <c r="VOF57" s="334"/>
      <c r="VOG57" s="334"/>
      <c r="VOH57" s="334"/>
      <c r="VOI57" s="334"/>
      <c r="VOJ57" s="334"/>
      <c r="VOK57" s="334"/>
      <c r="VOL57" s="334"/>
      <c r="VOM57" s="334"/>
      <c r="VON57" s="334"/>
      <c r="VOO57" s="334"/>
      <c r="VOP57" s="334"/>
      <c r="VOQ57" s="334"/>
      <c r="VOR57" s="334"/>
      <c r="VOS57" s="334"/>
      <c r="VOT57" s="334"/>
      <c r="VOU57" s="334"/>
      <c r="VOV57" s="334"/>
      <c r="VOW57" s="334"/>
      <c r="VOX57" s="334"/>
      <c r="VOY57" s="334"/>
      <c r="VOZ57" s="334"/>
      <c r="VPA57" s="334"/>
      <c r="VPB57" s="334"/>
      <c r="VPC57" s="334"/>
      <c r="VPD57" s="334"/>
      <c r="VPE57" s="334"/>
      <c r="VPF57" s="334"/>
      <c r="VPG57" s="334"/>
      <c r="VPH57" s="334"/>
      <c r="VPI57" s="334"/>
      <c r="VPJ57" s="334"/>
      <c r="VPK57" s="334"/>
      <c r="VPL57" s="334"/>
      <c r="VPM57" s="334"/>
      <c r="VPN57" s="334"/>
      <c r="VPO57" s="334"/>
      <c r="VPP57" s="334"/>
      <c r="VPQ57" s="334"/>
      <c r="VPR57" s="334"/>
      <c r="VPS57" s="334"/>
      <c r="VPT57" s="334"/>
      <c r="VPU57" s="334"/>
      <c r="VPV57" s="334"/>
      <c r="VPW57" s="334"/>
      <c r="VPX57" s="334"/>
      <c r="VPY57" s="334"/>
      <c r="VPZ57" s="334"/>
      <c r="VQA57" s="334"/>
      <c r="VQB57" s="334"/>
      <c r="VQC57" s="334"/>
      <c r="VQD57" s="334"/>
      <c r="VQE57" s="334"/>
      <c r="VQF57" s="334"/>
      <c r="VQG57" s="334"/>
      <c r="VQH57" s="334"/>
      <c r="VQI57" s="334"/>
      <c r="VQJ57" s="334"/>
      <c r="VQK57" s="334"/>
      <c r="VQL57" s="334"/>
      <c r="VQM57" s="334"/>
      <c r="VQN57" s="334"/>
      <c r="VQO57" s="334"/>
      <c r="VQP57" s="334"/>
      <c r="VQQ57" s="334"/>
      <c r="VQR57" s="334"/>
      <c r="VQS57" s="334"/>
      <c r="VQT57" s="334"/>
      <c r="VQU57" s="334"/>
      <c r="VQV57" s="334"/>
      <c r="VQW57" s="334"/>
      <c r="VQX57" s="334"/>
      <c r="VQY57" s="334"/>
      <c r="VQZ57" s="334"/>
      <c r="VRA57" s="334"/>
      <c r="VRB57" s="334"/>
      <c r="VRC57" s="334"/>
      <c r="VRD57" s="334"/>
      <c r="VRE57" s="334"/>
      <c r="VRF57" s="334"/>
      <c r="VRG57" s="334"/>
      <c r="VRH57" s="334"/>
      <c r="VRI57" s="334"/>
      <c r="VRJ57" s="334"/>
      <c r="VRK57" s="334"/>
      <c r="VRL57" s="334"/>
      <c r="VRM57" s="334"/>
      <c r="VRN57" s="334"/>
      <c r="VRO57" s="334"/>
      <c r="VRP57" s="334"/>
      <c r="VRQ57" s="334"/>
      <c r="VRR57" s="334"/>
      <c r="VRS57" s="334"/>
      <c r="VRT57" s="334"/>
      <c r="VRU57" s="334"/>
      <c r="VRV57" s="334"/>
      <c r="VRW57" s="334"/>
      <c r="VRX57" s="334"/>
      <c r="VRY57" s="334"/>
      <c r="VRZ57" s="334"/>
      <c r="VSA57" s="334"/>
      <c r="VSB57" s="334"/>
      <c r="VSC57" s="334"/>
      <c r="VSD57" s="334"/>
      <c r="VSE57" s="334"/>
      <c r="VSF57" s="334"/>
      <c r="VSG57" s="334"/>
      <c r="VSH57" s="334"/>
      <c r="VSI57" s="334"/>
      <c r="VSJ57" s="334"/>
      <c r="VSK57" s="334"/>
      <c r="VSL57" s="334"/>
      <c r="VSM57" s="334"/>
      <c r="VSN57" s="334"/>
      <c r="VSO57" s="334"/>
      <c r="VSP57" s="334"/>
      <c r="VSQ57" s="334"/>
      <c r="VSR57" s="334"/>
      <c r="VSS57" s="334"/>
      <c r="VST57" s="334"/>
      <c r="VSU57" s="334"/>
      <c r="VSV57" s="334"/>
      <c r="VSW57" s="334"/>
      <c r="VSX57" s="334"/>
      <c r="VSY57" s="334"/>
      <c r="VSZ57" s="334"/>
      <c r="VTA57" s="334"/>
      <c r="VTB57" s="334"/>
      <c r="VTC57" s="334"/>
      <c r="VTD57" s="334"/>
      <c r="VTE57" s="334"/>
      <c r="VTF57" s="334"/>
      <c r="VTG57" s="334"/>
      <c r="VTH57" s="334"/>
      <c r="VTI57" s="334"/>
      <c r="VTJ57" s="334"/>
      <c r="VTK57" s="334"/>
      <c r="VTL57" s="334"/>
      <c r="VTM57" s="334"/>
      <c r="VTN57" s="334"/>
      <c r="VTO57" s="334"/>
      <c r="VTP57" s="334"/>
      <c r="VTQ57" s="334"/>
      <c r="VTR57" s="334"/>
      <c r="VTS57" s="334"/>
      <c r="VTT57" s="334"/>
      <c r="VTU57" s="334"/>
      <c r="VTV57" s="334"/>
      <c r="VTW57" s="334"/>
      <c r="VTX57" s="334"/>
      <c r="VTY57" s="334"/>
      <c r="VTZ57" s="334"/>
      <c r="VUA57" s="334"/>
      <c r="VUB57" s="334"/>
      <c r="VUC57" s="334"/>
      <c r="VUD57" s="334"/>
      <c r="VUE57" s="334"/>
      <c r="VUF57" s="334"/>
      <c r="VUG57" s="334"/>
      <c r="VUH57" s="334"/>
      <c r="VUI57" s="334"/>
      <c r="VUJ57" s="334"/>
      <c r="VUK57" s="334"/>
      <c r="VUL57" s="334"/>
      <c r="VUM57" s="334"/>
      <c r="VUN57" s="334"/>
      <c r="VUO57" s="334"/>
      <c r="VUP57" s="334"/>
      <c r="VUQ57" s="334"/>
      <c r="VUR57" s="334"/>
      <c r="VUS57" s="334"/>
      <c r="VUT57" s="334"/>
      <c r="VUU57" s="334"/>
      <c r="VUV57" s="334"/>
      <c r="VUW57" s="334"/>
      <c r="VUX57" s="334"/>
      <c r="VUY57" s="334"/>
      <c r="VUZ57" s="334"/>
      <c r="VVA57" s="334"/>
      <c r="VVB57" s="334"/>
      <c r="VVC57" s="334"/>
      <c r="VVD57" s="334"/>
      <c r="VVE57" s="334"/>
      <c r="VVF57" s="334"/>
      <c r="VVG57" s="334"/>
      <c r="VVH57" s="334"/>
      <c r="VVI57" s="334"/>
      <c r="VVJ57" s="334"/>
      <c r="VVK57" s="334"/>
      <c r="VVL57" s="334"/>
      <c r="VVM57" s="334"/>
      <c r="VVN57" s="334"/>
      <c r="VVO57" s="334"/>
      <c r="VVP57" s="334"/>
      <c r="VVQ57" s="334"/>
      <c r="VVR57" s="334"/>
      <c r="VVS57" s="334"/>
      <c r="VVT57" s="334"/>
      <c r="VVU57" s="334"/>
      <c r="VVV57" s="334"/>
      <c r="VVW57" s="334"/>
      <c r="VVX57" s="334"/>
      <c r="VVY57" s="334"/>
      <c r="VVZ57" s="334"/>
      <c r="VWA57" s="334"/>
      <c r="VWB57" s="334"/>
      <c r="VWC57" s="334"/>
      <c r="VWD57" s="334"/>
      <c r="VWE57" s="334"/>
      <c r="VWF57" s="334"/>
      <c r="VWG57" s="334"/>
      <c r="VWH57" s="334"/>
      <c r="VWI57" s="334"/>
      <c r="VWJ57" s="334"/>
      <c r="VWK57" s="334"/>
      <c r="VWL57" s="334"/>
      <c r="VWM57" s="334"/>
      <c r="VWN57" s="334"/>
      <c r="VWO57" s="334"/>
      <c r="VWP57" s="334"/>
      <c r="VWQ57" s="334"/>
      <c r="VWR57" s="334"/>
      <c r="VWS57" s="334"/>
      <c r="VWT57" s="334"/>
      <c r="VWU57" s="334"/>
      <c r="VWV57" s="334"/>
      <c r="VWW57" s="334"/>
      <c r="VWX57" s="334"/>
      <c r="VWY57" s="334"/>
      <c r="VWZ57" s="334"/>
      <c r="VXA57" s="334"/>
      <c r="VXB57" s="334"/>
      <c r="VXC57" s="334"/>
      <c r="VXD57" s="334"/>
      <c r="VXE57" s="334"/>
      <c r="VXF57" s="334"/>
      <c r="VXG57" s="334"/>
      <c r="VXH57" s="334"/>
      <c r="VXI57" s="334"/>
      <c r="VXJ57" s="334"/>
      <c r="VXK57" s="334"/>
      <c r="VXL57" s="334"/>
      <c r="VXM57" s="334"/>
      <c r="VXN57" s="334"/>
      <c r="VXO57" s="334"/>
      <c r="VXP57" s="334"/>
      <c r="VXQ57" s="334"/>
      <c r="VXR57" s="334"/>
      <c r="VXS57" s="334"/>
      <c r="VXT57" s="334"/>
      <c r="VXU57" s="334"/>
      <c r="VXV57" s="334"/>
      <c r="VXW57" s="334"/>
      <c r="VXX57" s="334"/>
      <c r="VXY57" s="334"/>
      <c r="VXZ57" s="334"/>
      <c r="VYA57" s="334"/>
      <c r="VYB57" s="334"/>
      <c r="VYC57" s="334"/>
      <c r="VYD57" s="334"/>
      <c r="VYE57" s="334"/>
      <c r="VYF57" s="334"/>
      <c r="VYG57" s="334"/>
      <c r="VYH57" s="334"/>
      <c r="VYI57" s="334"/>
      <c r="VYJ57" s="334"/>
      <c r="VYK57" s="334"/>
      <c r="VYL57" s="334"/>
      <c r="VYM57" s="334"/>
      <c r="VYN57" s="334"/>
      <c r="VYO57" s="334"/>
      <c r="VYP57" s="334"/>
      <c r="VYQ57" s="334"/>
      <c r="VYR57" s="334"/>
      <c r="VYS57" s="334"/>
      <c r="VYT57" s="334"/>
      <c r="VYU57" s="334"/>
      <c r="VYV57" s="334"/>
      <c r="VYW57" s="334"/>
      <c r="VYX57" s="334"/>
      <c r="VYY57" s="334"/>
      <c r="VYZ57" s="334"/>
      <c r="VZA57" s="334"/>
      <c r="VZB57" s="334"/>
      <c r="VZC57" s="334"/>
      <c r="VZD57" s="334"/>
      <c r="VZE57" s="334"/>
      <c r="VZF57" s="334"/>
      <c r="VZG57" s="334"/>
      <c r="VZH57" s="334"/>
      <c r="VZI57" s="334"/>
      <c r="VZJ57" s="334"/>
      <c r="VZK57" s="334"/>
      <c r="VZL57" s="334"/>
      <c r="VZM57" s="334"/>
      <c r="VZN57" s="334"/>
      <c r="VZO57" s="334"/>
      <c r="VZP57" s="334"/>
      <c r="VZQ57" s="334"/>
      <c r="VZR57" s="334"/>
      <c r="VZS57" s="334"/>
      <c r="VZT57" s="334"/>
      <c r="VZU57" s="334"/>
      <c r="VZV57" s="334"/>
      <c r="VZW57" s="334"/>
      <c r="VZX57" s="334"/>
      <c r="VZY57" s="334"/>
      <c r="VZZ57" s="334"/>
      <c r="WAA57" s="334"/>
      <c r="WAB57" s="334"/>
      <c r="WAC57" s="334"/>
      <c r="WAD57" s="334"/>
      <c r="WAE57" s="334"/>
      <c r="WAF57" s="334"/>
      <c r="WAG57" s="334"/>
      <c r="WAH57" s="334"/>
      <c r="WAI57" s="334"/>
      <c r="WAJ57" s="334"/>
      <c r="WAK57" s="334"/>
      <c r="WAL57" s="334"/>
      <c r="WAM57" s="334"/>
      <c r="WAN57" s="334"/>
      <c r="WAO57" s="334"/>
      <c r="WAP57" s="334"/>
      <c r="WAQ57" s="334"/>
      <c r="WAR57" s="334"/>
      <c r="WAS57" s="334"/>
      <c r="WAT57" s="334"/>
      <c r="WAU57" s="334"/>
      <c r="WAV57" s="334"/>
      <c r="WAW57" s="334"/>
      <c r="WAX57" s="334"/>
      <c r="WAY57" s="334"/>
      <c r="WAZ57" s="334"/>
      <c r="WBA57" s="334"/>
      <c r="WBB57" s="334"/>
      <c r="WBC57" s="334"/>
      <c r="WBD57" s="334"/>
      <c r="WBE57" s="334"/>
      <c r="WBF57" s="334"/>
      <c r="WBG57" s="334"/>
      <c r="WBH57" s="334"/>
      <c r="WBI57" s="334"/>
      <c r="WBJ57" s="334"/>
      <c r="WBK57" s="334"/>
      <c r="WBL57" s="334"/>
      <c r="WBM57" s="334"/>
      <c r="WBN57" s="334"/>
      <c r="WBO57" s="334"/>
      <c r="WBP57" s="334"/>
      <c r="WBQ57" s="334"/>
      <c r="WBR57" s="334"/>
      <c r="WBS57" s="334"/>
      <c r="WBT57" s="334"/>
      <c r="WBU57" s="334"/>
      <c r="WBV57" s="334"/>
      <c r="WBW57" s="334"/>
      <c r="WBX57" s="334"/>
      <c r="WBY57" s="334"/>
      <c r="WBZ57" s="334"/>
      <c r="WCA57" s="334"/>
      <c r="WCB57" s="334"/>
      <c r="WCC57" s="334"/>
      <c r="WCD57" s="334"/>
      <c r="WCE57" s="334"/>
      <c r="WCF57" s="334"/>
      <c r="WCG57" s="334"/>
      <c r="WCH57" s="334"/>
      <c r="WCI57" s="334"/>
      <c r="WCJ57" s="334"/>
      <c r="WCK57" s="334"/>
      <c r="WCL57" s="334"/>
      <c r="WCM57" s="334"/>
      <c r="WCN57" s="334"/>
      <c r="WCO57" s="334"/>
      <c r="WCP57" s="334"/>
      <c r="WCQ57" s="334"/>
      <c r="WCR57" s="334"/>
      <c r="WCS57" s="334"/>
      <c r="WCT57" s="334"/>
      <c r="WCU57" s="334"/>
      <c r="WCV57" s="334"/>
      <c r="WCW57" s="334"/>
      <c r="WCX57" s="334"/>
      <c r="WCY57" s="334"/>
      <c r="WCZ57" s="334"/>
      <c r="WDA57" s="334"/>
      <c r="WDB57" s="334"/>
      <c r="WDC57" s="334"/>
      <c r="WDD57" s="334"/>
      <c r="WDE57" s="334"/>
      <c r="WDF57" s="334"/>
      <c r="WDG57" s="334"/>
      <c r="WDH57" s="334"/>
      <c r="WDI57" s="334"/>
      <c r="WDJ57" s="334"/>
      <c r="WDK57" s="334"/>
      <c r="WDL57" s="334"/>
      <c r="WDM57" s="334"/>
      <c r="WDN57" s="334"/>
      <c r="WDO57" s="334"/>
      <c r="WDP57" s="334"/>
      <c r="WDQ57" s="334"/>
      <c r="WDR57" s="334"/>
      <c r="WDS57" s="334"/>
      <c r="WDT57" s="334"/>
      <c r="WDU57" s="334"/>
      <c r="WDV57" s="334"/>
      <c r="WDW57" s="334"/>
      <c r="WDX57" s="334"/>
      <c r="WDY57" s="334"/>
      <c r="WDZ57" s="334"/>
      <c r="WEA57" s="334"/>
      <c r="WEB57" s="334"/>
      <c r="WEC57" s="334"/>
      <c r="WED57" s="334"/>
      <c r="WEE57" s="334"/>
      <c r="WEF57" s="334"/>
      <c r="WEG57" s="334"/>
      <c r="WEH57" s="334"/>
      <c r="WEI57" s="334"/>
      <c r="WEJ57" s="334"/>
      <c r="WEK57" s="334"/>
      <c r="WEL57" s="334"/>
      <c r="WEM57" s="334"/>
      <c r="WEN57" s="334"/>
      <c r="WEO57" s="334"/>
      <c r="WEP57" s="334"/>
      <c r="WEQ57" s="334"/>
      <c r="WER57" s="334"/>
      <c r="WES57" s="334"/>
      <c r="WET57" s="334"/>
      <c r="WEU57" s="334"/>
      <c r="WEV57" s="334"/>
      <c r="WEW57" s="334"/>
      <c r="WEX57" s="334"/>
      <c r="WEY57" s="334"/>
      <c r="WEZ57" s="334"/>
      <c r="WFA57" s="334"/>
      <c r="WFB57" s="334"/>
      <c r="WFC57" s="334"/>
      <c r="WFD57" s="334"/>
      <c r="WFE57" s="334"/>
      <c r="WFF57" s="334"/>
      <c r="WFG57" s="334"/>
      <c r="WFH57" s="334"/>
      <c r="WFI57" s="334"/>
      <c r="WFJ57" s="334"/>
      <c r="WFK57" s="334"/>
      <c r="WFL57" s="334"/>
      <c r="WFM57" s="334"/>
      <c r="WFN57" s="334"/>
      <c r="WFO57" s="334"/>
      <c r="WFP57" s="334"/>
      <c r="WFQ57" s="334"/>
      <c r="WFR57" s="334"/>
      <c r="WFS57" s="334"/>
      <c r="WFT57" s="334"/>
      <c r="WFU57" s="334"/>
      <c r="WFV57" s="334"/>
      <c r="WFW57" s="334"/>
      <c r="WFX57" s="334"/>
      <c r="WFY57" s="334"/>
      <c r="WFZ57" s="334"/>
      <c r="WGA57" s="334"/>
      <c r="WGB57" s="334"/>
      <c r="WGC57" s="334"/>
      <c r="WGD57" s="334"/>
      <c r="WGE57" s="334"/>
      <c r="WGF57" s="334"/>
      <c r="WGG57" s="334"/>
      <c r="WGH57" s="334"/>
      <c r="WGI57" s="334"/>
      <c r="WGJ57" s="334"/>
      <c r="WGK57" s="334"/>
      <c r="WGL57" s="334"/>
      <c r="WGM57" s="334"/>
      <c r="WGN57" s="334"/>
      <c r="WGO57" s="334"/>
      <c r="WGP57" s="334"/>
      <c r="WGQ57" s="334"/>
      <c r="WGR57" s="334"/>
      <c r="WGS57" s="334"/>
      <c r="WGT57" s="334"/>
      <c r="WGU57" s="334"/>
      <c r="WGV57" s="334"/>
      <c r="WGW57" s="334"/>
      <c r="WGX57" s="334"/>
      <c r="WGY57" s="334"/>
      <c r="WGZ57" s="334"/>
      <c r="WHA57" s="334"/>
      <c r="WHB57" s="334"/>
      <c r="WHC57" s="334"/>
      <c r="WHD57" s="334"/>
      <c r="WHE57" s="334"/>
      <c r="WHF57" s="334"/>
      <c r="WHG57" s="334"/>
      <c r="WHH57" s="334"/>
      <c r="WHI57" s="334"/>
      <c r="WHJ57" s="334"/>
      <c r="WHK57" s="334"/>
      <c r="WHL57" s="334"/>
      <c r="WHM57" s="334"/>
      <c r="WHN57" s="334"/>
      <c r="WHO57" s="334"/>
      <c r="WHP57" s="334"/>
      <c r="WHQ57" s="334"/>
      <c r="WHR57" s="334"/>
      <c r="WHS57" s="334"/>
      <c r="WHT57" s="334"/>
      <c r="WHU57" s="334"/>
      <c r="WHV57" s="334"/>
      <c r="WHW57" s="334"/>
      <c r="WHX57" s="334"/>
      <c r="WHY57" s="334"/>
      <c r="WHZ57" s="334"/>
      <c r="WIA57" s="334"/>
      <c r="WIB57" s="334"/>
      <c r="WIC57" s="334"/>
      <c r="WID57" s="334"/>
      <c r="WIE57" s="334"/>
      <c r="WIF57" s="334"/>
      <c r="WIG57" s="334"/>
      <c r="WIH57" s="334"/>
      <c r="WII57" s="334"/>
      <c r="WIJ57" s="334"/>
      <c r="WIK57" s="334"/>
      <c r="WIL57" s="334"/>
      <c r="WIM57" s="334"/>
      <c r="WIN57" s="334"/>
      <c r="WIO57" s="334"/>
      <c r="WIP57" s="334"/>
      <c r="WIQ57" s="334"/>
      <c r="WIR57" s="334"/>
      <c r="WIS57" s="334"/>
      <c r="WIT57" s="334"/>
      <c r="WIU57" s="334"/>
      <c r="WIV57" s="334"/>
      <c r="WIW57" s="334"/>
      <c r="WIX57" s="334"/>
      <c r="WIY57" s="334"/>
      <c r="WIZ57" s="334"/>
      <c r="WJA57" s="334"/>
      <c r="WJB57" s="334"/>
      <c r="WJC57" s="334"/>
      <c r="WJD57" s="334"/>
      <c r="WJE57" s="334"/>
      <c r="WJF57" s="334"/>
      <c r="WJG57" s="334"/>
      <c r="WJH57" s="334"/>
      <c r="WJI57" s="334"/>
      <c r="WJJ57" s="334"/>
      <c r="WJK57" s="334"/>
      <c r="WJL57" s="334"/>
      <c r="WJM57" s="334"/>
      <c r="WJN57" s="334"/>
      <c r="WJO57" s="334"/>
      <c r="WJP57" s="334"/>
      <c r="WJQ57" s="334"/>
      <c r="WJR57" s="334"/>
      <c r="WJS57" s="334"/>
      <c r="WJT57" s="334"/>
      <c r="WJU57" s="334"/>
      <c r="WJV57" s="334"/>
      <c r="WJW57" s="334"/>
      <c r="WJX57" s="334"/>
      <c r="WJY57" s="334"/>
      <c r="WJZ57" s="334"/>
      <c r="WKA57" s="334"/>
      <c r="WKB57" s="334"/>
      <c r="WKC57" s="334"/>
      <c r="WKD57" s="334"/>
      <c r="WKE57" s="334"/>
      <c r="WKF57" s="334"/>
      <c r="WKG57" s="334"/>
      <c r="WKH57" s="334"/>
      <c r="WKI57" s="334"/>
      <c r="WKJ57" s="334"/>
      <c r="WKK57" s="334"/>
      <c r="WKL57" s="334"/>
      <c r="WKM57" s="334"/>
      <c r="WKN57" s="334"/>
      <c r="WKO57" s="334"/>
      <c r="WKP57" s="334"/>
      <c r="WKQ57" s="334"/>
      <c r="WKR57" s="334"/>
      <c r="WKS57" s="334"/>
      <c r="WKT57" s="334"/>
      <c r="WKU57" s="334"/>
      <c r="WKV57" s="334"/>
      <c r="WKW57" s="334"/>
      <c r="WKX57" s="334"/>
      <c r="WKY57" s="334"/>
      <c r="WKZ57" s="334"/>
      <c r="WLA57" s="334"/>
      <c r="WLB57" s="334"/>
      <c r="WLC57" s="334"/>
      <c r="WLD57" s="334"/>
      <c r="WLE57" s="334"/>
      <c r="WLF57" s="334"/>
      <c r="WLG57" s="334"/>
      <c r="WLH57" s="334"/>
      <c r="WLI57" s="334"/>
      <c r="WLJ57" s="334"/>
      <c r="WLK57" s="334"/>
      <c r="WLL57" s="334"/>
      <c r="WLM57" s="334"/>
      <c r="WLN57" s="334"/>
      <c r="WLO57" s="334"/>
      <c r="WLP57" s="334"/>
      <c r="WLQ57" s="334"/>
      <c r="WLR57" s="334"/>
      <c r="WLS57" s="334"/>
      <c r="WLT57" s="334"/>
      <c r="WLU57" s="334"/>
      <c r="WLV57" s="334"/>
      <c r="WLW57" s="334"/>
      <c r="WLX57" s="334"/>
      <c r="WLY57" s="334"/>
      <c r="WLZ57" s="334"/>
      <c r="WMA57" s="334"/>
      <c r="WMB57" s="334"/>
      <c r="WMC57" s="334"/>
      <c r="WMD57" s="334"/>
      <c r="WME57" s="334"/>
      <c r="WMF57" s="334"/>
      <c r="WMG57" s="334"/>
      <c r="WMH57" s="334"/>
      <c r="WMI57" s="334"/>
      <c r="WMJ57" s="334"/>
      <c r="WMK57" s="334"/>
      <c r="WML57" s="334"/>
      <c r="WMM57" s="334"/>
      <c r="WMN57" s="334"/>
      <c r="WMO57" s="334"/>
      <c r="WMP57" s="334"/>
      <c r="WMQ57" s="334"/>
      <c r="WMR57" s="334"/>
      <c r="WMS57" s="334"/>
      <c r="WMT57" s="334"/>
      <c r="WMU57" s="334"/>
      <c r="WMV57" s="334"/>
      <c r="WMW57" s="334"/>
      <c r="WMX57" s="334"/>
      <c r="WMY57" s="334"/>
      <c r="WMZ57" s="334"/>
      <c r="WNA57" s="334"/>
      <c r="WNB57" s="334"/>
      <c r="WNC57" s="334"/>
      <c r="WND57" s="334"/>
      <c r="WNE57" s="334"/>
      <c r="WNF57" s="334"/>
      <c r="WNG57" s="334"/>
      <c r="WNH57" s="334"/>
      <c r="WNI57" s="334"/>
      <c r="WNJ57" s="334"/>
      <c r="WNK57" s="334"/>
      <c r="WNL57" s="334"/>
      <c r="WNM57" s="334"/>
      <c r="WNN57" s="334"/>
      <c r="WNO57" s="334"/>
      <c r="WNP57" s="334"/>
      <c r="WNQ57" s="334"/>
      <c r="WNR57" s="334"/>
      <c r="WNS57" s="334"/>
      <c r="WNT57" s="334"/>
      <c r="WNU57" s="334"/>
      <c r="WNV57" s="334"/>
      <c r="WNW57" s="334"/>
      <c r="WNX57" s="334"/>
      <c r="WNY57" s="334"/>
      <c r="WNZ57" s="334"/>
      <c r="WOA57" s="334"/>
      <c r="WOB57" s="334"/>
      <c r="WOC57" s="334"/>
      <c r="WOD57" s="334"/>
      <c r="WOE57" s="334"/>
      <c r="WOF57" s="334"/>
      <c r="WOG57" s="334"/>
      <c r="WOH57" s="334"/>
      <c r="WOI57" s="334"/>
      <c r="WOJ57" s="334"/>
      <c r="WOK57" s="334"/>
      <c r="WOL57" s="334"/>
      <c r="WOM57" s="334"/>
      <c r="WON57" s="334"/>
      <c r="WOO57" s="334"/>
      <c r="WOP57" s="334"/>
      <c r="WOQ57" s="334"/>
      <c r="WOR57" s="334"/>
      <c r="WOS57" s="334"/>
      <c r="WOT57" s="334"/>
      <c r="WOU57" s="334"/>
      <c r="WOV57" s="334"/>
      <c r="WOW57" s="334"/>
      <c r="WOX57" s="334"/>
      <c r="WOY57" s="334"/>
      <c r="WOZ57" s="334"/>
      <c r="WPA57" s="334"/>
      <c r="WPB57" s="334"/>
      <c r="WPC57" s="334"/>
      <c r="WPD57" s="334"/>
      <c r="WPE57" s="334"/>
      <c r="WPF57" s="334"/>
      <c r="WPG57" s="334"/>
      <c r="WPH57" s="334"/>
      <c r="WPI57" s="334"/>
      <c r="WPJ57" s="334"/>
      <c r="WPK57" s="334"/>
      <c r="WPL57" s="334"/>
      <c r="WPM57" s="334"/>
      <c r="WPN57" s="334"/>
      <c r="WPO57" s="334"/>
      <c r="WPP57" s="334"/>
      <c r="WPQ57" s="334"/>
      <c r="WPR57" s="334"/>
      <c r="WPS57" s="334"/>
      <c r="WPT57" s="334"/>
      <c r="WPU57" s="334"/>
      <c r="WPV57" s="334"/>
      <c r="WPW57" s="334"/>
      <c r="WPX57" s="334"/>
      <c r="WPY57" s="334"/>
      <c r="WPZ57" s="334"/>
      <c r="WQA57" s="334"/>
      <c r="WQB57" s="334"/>
      <c r="WQC57" s="334"/>
      <c r="WQD57" s="334"/>
      <c r="WQE57" s="334"/>
      <c r="WQF57" s="334"/>
      <c r="WQG57" s="334"/>
      <c r="WQH57" s="334"/>
      <c r="WQI57" s="334"/>
      <c r="WQJ57" s="334"/>
      <c r="WQK57" s="334"/>
      <c r="WQL57" s="334"/>
      <c r="WQM57" s="334"/>
      <c r="WQN57" s="334"/>
      <c r="WQO57" s="334"/>
      <c r="WQP57" s="334"/>
      <c r="WQQ57" s="334"/>
      <c r="WQR57" s="334"/>
      <c r="WQS57" s="334"/>
      <c r="WQT57" s="334"/>
      <c r="WQU57" s="334"/>
      <c r="WQV57" s="334"/>
      <c r="WQW57" s="334"/>
      <c r="WQX57" s="334"/>
      <c r="WQY57" s="334"/>
      <c r="WQZ57" s="334"/>
      <c r="WRA57" s="334"/>
      <c r="WRB57" s="334"/>
      <c r="WRC57" s="334"/>
      <c r="WRD57" s="334"/>
      <c r="WRE57" s="334"/>
      <c r="WRF57" s="334"/>
      <c r="WRG57" s="334"/>
      <c r="WRH57" s="334"/>
      <c r="WRI57" s="334"/>
      <c r="WRJ57" s="334"/>
      <c r="WRK57" s="334"/>
      <c r="WRL57" s="334"/>
      <c r="WRM57" s="334"/>
      <c r="WRN57" s="334"/>
      <c r="WRO57" s="334"/>
      <c r="WRP57" s="334"/>
      <c r="WRQ57" s="334"/>
      <c r="WRR57" s="334"/>
      <c r="WRS57" s="334"/>
      <c r="WRT57" s="334"/>
      <c r="WRU57" s="334"/>
      <c r="WRV57" s="334"/>
      <c r="WRW57" s="334"/>
      <c r="WRX57" s="334"/>
      <c r="WRY57" s="334"/>
      <c r="WRZ57" s="334"/>
      <c r="WSA57" s="334"/>
      <c r="WSB57" s="334"/>
      <c r="WSC57" s="334"/>
      <c r="WSD57" s="334"/>
      <c r="WSE57" s="334"/>
      <c r="WSF57" s="334"/>
      <c r="WSG57" s="334"/>
      <c r="WSH57" s="334"/>
      <c r="WSI57" s="334"/>
      <c r="WSJ57" s="334"/>
      <c r="WSK57" s="334"/>
      <c r="WSL57" s="334"/>
      <c r="WSM57" s="334"/>
      <c r="WSN57" s="334"/>
      <c r="WSO57" s="334"/>
      <c r="WSP57" s="334"/>
      <c r="WSQ57" s="334"/>
      <c r="WSR57" s="334"/>
      <c r="WSS57" s="334"/>
      <c r="WST57" s="334"/>
      <c r="WSU57" s="334"/>
      <c r="WSV57" s="334"/>
      <c r="WSW57" s="334"/>
      <c r="WSX57" s="334"/>
      <c r="WSY57" s="334"/>
      <c r="WSZ57" s="334"/>
      <c r="WTA57" s="334"/>
      <c r="WTB57" s="334"/>
      <c r="WTC57" s="334"/>
      <c r="WTD57" s="334"/>
      <c r="WTE57" s="334"/>
      <c r="WTF57" s="334"/>
      <c r="WTG57" s="334"/>
      <c r="WTH57" s="334"/>
      <c r="WTI57" s="334"/>
      <c r="WTJ57" s="334"/>
      <c r="WTK57" s="334"/>
      <c r="WTL57" s="334"/>
      <c r="WTM57" s="334"/>
      <c r="WTN57" s="334"/>
      <c r="WTO57" s="334"/>
      <c r="WTP57" s="334"/>
      <c r="WTQ57" s="334"/>
      <c r="WTR57" s="334"/>
      <c r="WTS57" s="334"/>
      <c r="WTT57" s="334"/>
      <c r="WTU57" s="334"/>
      <c r="WTV57" s="334"/>
      <c r="WTW57" s="334"/>
      <c r="WTX57" s="334"/>
      <c r="WTY57" s="334"/>
      <c r="WTZ57" s="334"/>
      <c r="WUA57" s="334"/>
      <c r="WUB57" s="334"/>
      <c r="WUC57" s="334"/>
      <c r="WUD57" s="334"/>
      <c r="WUE57" s="334"/>
      <c r="WUF57" s="334"/>
      <c r="WUG57" s="334"/>
      <c r="WUH57" s="334"/>
      <c r="WUI57" s="334"/>
      <c r="WUJ57" s="334"/>
      <c r="WUK57" s="334"/>
      <c r="WUL57" s="334"/>
      <c r="WUM57" s="334"/>
      <c r="WUN57" s="334"/>
      <c r="WUO57" s="334"/>
      <c r="WUP57" s="334"/>
      <c r="WUQ57" s="334"/>
      <c r="WUR57" s="334"/>
      <c r="WUS57" s="334"/>
      <c r="WUT57" s="334"/>
      <c r="WUU57" s="334"/>
      <c r="WUV57" s="334"/>
      <c r="WUW57" s="334"/>
      <c r="WUX57" s="334"/>
      <c r="WUY57" s="334"/>
      <c r="WUZ57" s="334"/>
      <c r="WVA57" s="334"/>
      <c r="WVB57" s="334"/>
      <c r="WVC57" s="334"/>
      <c r="WVD57" s="334"/>
      <c r="WVE57" s="334"/>
      <c r="WVF57" s="334"/>
      <c r="WVG57" s="334"/>
      <c r="WVH57" s="334"/>
      <c r="WVI57" s="334"/>
      <c r="WVJ57" s="334"/>
      <c r="WVK57" s="334"/>
      <c r="WVL57" s="334"/>
      <c r="WVM57" s="334"/>
      <c r="WVN57" s="334"/>
      <c r="WVO57" s="334"/>
      <c r="WVP57" s="334"/>
      <c r="WVQ57" s="334"/>
      <c r="WVR57" s="334"/>
      <c r="WVS57" s="334"/>
      <c r="WVT57" s="334"/>
      <c r="WVU57" s="334"/>
      <c r="WVV57" s="334"/>
      <c r="WVW57" s="334"/>
      <c r="WVX57" s="334"/>
      <c r="WVY57" s="334"/>
      <c r="WVZ57" s="334"/>
      <c r="WWA57" s="334"/>
      <c r="WWB57" s="334"/>
      <c r="WWC57" s="334"/>
      <c r="WWD57" s="334"/>
      <c r="WWE57" s="334"/>
      <c r="WWF57" s="334"/>
      <c r="WWG57" s="334"/>
      <c r="WWH57" s="334"/>
      <c r="WWI57" s="334"/>
      <c r="WWJ57" s="334"/>
      <c r="WWK57" s="334"/>
      <c r="WWL57" s="334"/>
      <c r="WWM57" s="334"/>
      <c r="WWN57" s="334"/>
      <c r="WWO57" s="334"/>
      <c r="WWP57" s="334"/>
      <c r="WWQ57" s="334"/>
      <c r="WWR57" s="334"/>
      <c r="WWS57" s="334"/>
      <c r="WWT57" s="334"/>
      <c r="WWU57" s="334"/>
      <c r="WWV57" s="334"/>
      <c r="WWW57" s="334"/>
      <c r="WWX57" s="334"/>
      <c r="WWY57" s="334"/>
      <c r="WWZ57" s="334"/>
      <c r="WXA57" s="334"/>
      <c r="WXB57" s="334"/>
      <c r="WXC57" s="334"/>
      <c r="WXD57" s="334"/>
      <c r="WXE57" s="334"/>
      <c r="WXF57" s="334"/>
      <c r="WXG57" s="334"/>
      <c r="WXH57" s="334"/>
      <c r="WXI57" s="334"/>
      <c r="WXJ57" s="334"/>
      <c r="WXK57" s="334"/>
      <c r="WXL57" s="334"/>
      <c r="WXM57" s="334"/>
      <c r="WXN57" s="334"/>
      <c r="WXO57" s="334"/>
      <c r="WXP57" s="334"/>
      <c r="WXQ57" s="334"/>
      <c r="WXR57" s="334"/>
      <c r="WXS57" s="334"/>
      <c r="WXT57" s="334"/>
      <c r="WXU57" s="334"/>
      <c r="WXV57" s="334"/>
      <c r="WXW57" s="334"/>
      <c r="WXX57" s="334"/>
      <c r="WXY57" s="334"/>
      <c r="WXZ57" s="334"/>
      <c r="WYA57" s="334"/>
      <c r="WYB57" s="334"/>
      <c r="WYC57" s="334"/>
      <c r="WYD57" s="334"/>
      <c r="WYE57" s="334"/>
      <c r="WYF57" s="334"/>
      <c r="WYG57" s="334"/>
      <c r="WYH57" s="334"/>
      <c r="WYI57" s="334"/>
      <c r="WYJ57" s="334"/>
      <c r="WYK57" s="334"/>
      <c r="WYL57" s="334"/>
      <c r="WYM57" s="334"/>
      <c r="WYN57" s="334"/>
      <c r="WYO57" s="334"/>
      <c r="WYP57" s="334"/>
      <c r="WYQ57" s="334"/>
      <c r="WYR57" s="334"/>
      <c r="WYS57" s="334"/>
      <c r="WYT57" s="334"/>
      <c r="WYU57" s="334"/>
      <c r="WYV57" s="334"/>
      <c r="WYW57" s="334"/>
      <c r="WYX57" s="334"/>
      <c r="WYY57" s="334"/>
      <c r="WYZ57" s="334"/>
      <c r="WZA57" s="334"/>
      <c r="WZB57" s="334"/>
      <c r="WZC57" s="334"/>
      <c r="WZD57" s="334"/>
      <c r="WZE57" s="334"/>
      <c r="WZF57" s="334"/>
      <c r="WZG57" s="334"/>
      <c r="WZH57" s="334"/>
      <c r="WZI57" s="334"/>
      <c r="WZJ57" s="334"/>
      <c r="WZK57" s="334"/>
      <c r="WZL57" s="334"/>
      <c r="WZM57" s="334"/>
      <c r="WZN57" s="334"/>
      <c r="WZO57" s="334"/>
      <c r="WZP57" s="334"/>
      <c r="WZQ57" s="334"/>
      <c r="WZR57" s="334"/>
      <c r="WZS57" s="334"/>
      <c r="WZT57" s="334"/>
      <c r="WZU57" s="334"/>
      <c r="WZV57" s="334"/>
      <c r="WZW57" s="334"/>
      <c r="WZX57" s="334"/>
      <c r="WZY57" s="334"/>
      <c r="WZZ57" s="334"/>
      <c r="XAA57" s="334"/>
      <c r="XAB57" s="334"/>
      <c r="XAC57" s="334"/>
      <c r="XAD57" s="334"/>
      <c r="XAE57" s="334"/>
      <c r="XAF57" s="334"/>
      <c r="XAG57" s="334"/>
      <c r="XAH57" s="334"/>
      <c r="XAI57" s="334"/>
      <c r="XAJ57" s="334"/>
      <c r="XAK57" s="334"/>
      <c r="XAL57" s="334"/>
      <c r="XAM57" s="334"/>
      <c r="XAN57" s="334"/>
      <c r="XAO57" s="334"/>
      <c r="XAP57" s="334"/>
      <c r="XAQ57" s="334"/>
      <c r="XAR57" s="334"/>
      <c r="XAS57" s="334"/>
      <c r="XAT57" s="334"/>
      <c r="XAU57" s="334"/>
      <c r="XAV57" s="334"/>
      <c r="XAW57" s="334"/>
      <c r="XAX57" s="334"/>
      <c r="XAY57" s="334"/>
      <c r="XAZ57" s="334"/>
      <c r="XBA57" s="334"/>
      <c r="XBB57" s="334"/>
      <c r="XBC57" s="334"/>
      <c r="XBD57" s="334"/>
      <c r="XBE57" s="334"/>
      <c r="XBF57" s="334"/>
      <c r="XBG57" s="334"/>
      <c r="XBH57" s="334"/>
      <c r="XBI57" s="334"/>
      <c r="XBJ57" s="334"/>
      <c r="XBK57" s="334"/>
      <c r="XBL57" s="334"/>
      <c r="XBM57" s="334"/>
      <c r="XBN57" s="334"/>
      <c r="XBO57" s="334"/>
      <c r="XBP57" s="334"/>
      <c r="XBQ57" s="334"/>
      <c r="XBR57" s="334"/>
      <c r="XBS57" s="334"/>
      <c r="XBT57" s="334"/>
      <c r="XBU57" s="334"/>
      <c r="XBV57" s="334"/>
      <c r="XBW57" s="334"/>
      <c r="XBX57" s="334"/>
      <c r="XBY57" s="334"/>
      <c r="XBZ57" s="334"/>
      <c r="XCA57" s="334"/>
      <c r="XCB57" s="334"/>
      <c r="XCC57" s="334"/>
      <c r="XCD57" s="334"/>
      <c r="XCE57" s="334"/>
      <c r="XCF57" s="334"/>
      <c r="XCG57" s="334"/>
      <c r="XCH57" s="334"/>
      <c r="XCI57" s="334"/>
      <c r="XCJ57" s="334"/>
      <c r="XCK57" s="334"/>
      <c r="XCL57" s="334"/>
      <c r="XCM57" s="334"/>
      <c r="XCN57" s="334"/>
      <c r="XCO57" s="334"/>
      <c r="XCP57" s="334"/>
      <c r="XCQ57" s="334"/>
      <c r="XCR57" s="334"/>
      <c r="XCS57" s="334"/>
      <c r="XCT57" s="334"/>
      <c r="XCU57" s="334"/>
      <c r="XCV57" s="334"/>
      <c r="XCW57" s="334"/>
      <c r="XCX57" s="334"/>
      <c r="XCY57" s="334"/>
      <c r="XCZ57" s="334"/>
      <c r="XDA57" s="334"/>
      <c r="XDB57" s="334"/>
      <c r="XDC57" s="334"/>
      <c r="XDD57" s="334"/>
      <c r="XDE57" s="334"/>
      <c r="XDF57" s="334"/>
      <c r="XDG57" s="334"/>
      <c r="XDH57" s="334"/>
      <c r="XDI57" s="334"/>
      <c r="XDJ57" s="334"/>
      <c r="XDK57" s="334"/>
      <c r="XDL57" s="334"/>
      <c r="XDM57" s="334"/>
      <c r="XDN57" s="334"/>
      <c r="XDO57" s="334"/>
      <c r="XDP57" s="334"/>
      <c r="XDQ57" s="334"/>
      <c r="XDR57" s="334"/>
      <c r="XDS57" s="334"/>
      <c r="XDT57" s="334"/>
      <c r="XDU57" s="334"/>
      <c r="XDV57" s="334"/>
      <c r="XDW57" s="334"/>
      <c r="XDX57" s="334"/>
      <c r="XDY57" s="334"/>
      <c r="XDZ57" s="334"/>
      <c r="XEA57" s="334"/>
      <c r="XEB57" s="334"/>
      <c r="XEC57" s="334"/>
      <c r="XED57" s="334"/>
      <c r="XEE57" s="334"/>
      <c r="XEF57" s="334"/>
      <c r="XEG57" s="334"/>
      <c r="XEH57" s="334"/>
      <c r="XEI57" s="334"/>
      <c r="XEJ57" s="334"/>
      <c r="XEK57" s="334"/>
      <c r="XEL57" s="334"/>
      <c r="XEM57" s="334"/>
      <c r="XEN57" s="334"/>
      <c r="XEO57" s="334"/>
      <c r="XEP57" s="334"/>
      <c r="XEQ57" s="334"/>
      <c r="XER57" s="334"/>
      <c r="XES57" s="334"/>
      <c r="XET57" s="334"/>
      <c r="XEU57" s="334"/>
      <c r="XEV57" s="334"/>
      <c r="XEW57" s="334"/>
      <c r="XEX57" s="334"/>
      <c r="XEY57" s="334"/>
      <c r="XEZ57" s="334"/>
      <c r="XFA57" s="334"/>
      <c r="XFB57" s="334"/>
      <c r="XFC57" s="334"/>
      <c r="XFD57" s="334"/>
    </row>
    <row r="58" spans="1:16384" s="191" customFormat="1" ht="13.5">
      <c r="A58" s="227">
        <v>3.1</v>
      </c>
      <c r="B58" s="241" t="s">
        <v>154</v>
      </c>
      <c r="C58" s="228" t="s">
        <v>111</v>
      </c>
      <c r="D58" s="353" t="str">
        <f>IF(OR(j_WEEKDAY(J_ADDDAY(VLOOKUP(I58,A:F,6,FALSE),H58,1),0)=6,SUMIFS(Holieday[ok],Holieday[date],J_ADDDAY(VLOOKUP(I58,A:F,6,FALSE),H58,1)))=FALSE(),J_ADDDAY(VLOOKUP(I58,A:F,6,FALSE),H58,1),IF(OR(j_WEEKDAY(J_ADDDAY(VLOOKUP(I58,A:F,6,FALSE),H58+1,1),0)=6,SUMIFS(Holieday[ok],Holieday[date],J_ADDDAY(VLOOKUP(I58,A:F,6,FALSE),H58+1,1)))=FALSE(),J_ADDDAY(VLOOKUP(I58,A:F,6,FALSE),H58+1,1),IF(OR(j_WEEKDAY(J_ADDDAY(VLOOKUP(I58,A:F,6,FALSE),H58+2,1),0)=6,SUMIFS(Holieday[ok],Holieday[date],J_ADDDAY(VLOOKUP(I58,A:F,6,FALSE),H58+2,1)))=FALSE(),J_ADDDAY(VLOOKUP(I58,A:F,6,FALSE),H58+2,1),IF(OR(j_WEEKDAY(J_ADDDAY(VLOOKUP(I58,A:F,6,FALSE),H58+3,1),0)=6,SUMIFS(Holieday[ok],Holieday[date],J_ADDDAY(VLOOKUP(I58,A:F,6,FALSE),H58+3,1)))=FALSE(),J_ADDDAY(VLOOKUP(I58,A:F,6,FALSE),H58+3,1),IF(OR(j_WEEKDAY(J_ADDDAY(VLOOKUP(I58,A:F,6,FALSE),H58+4,1),0)=6,SUMIFS(Holieday[ok],Holieday[date],J_ADDDAY(VLOOKUP(I58,A:F,6,FALSE),H58+4,1)))=FALSE(),J_ADDDAY(VLOOKUP(I58,A:F,6,FALSE),H58+4,1),J_ADDDAY(VLOOKUP(I58,A:F,6,FALSE),H58+5,1))))))</f>
        <v>1398/06/31</v>
      </c>
      <c r="E58" s="160">
        <f t="shared" si="15"/>
        <v>13980631</v>
      </c>
      <c r="F58" s="354" t="str">
        <f>IF(N58=0,J_SUBDAY(D58,1,1),IF((N58-(NETWORKDAYS.INTL(J_GregorianDate(D58,1),J_GregorianDate(J_SUBDAY(J_ADDDAY(D58,N58,1),1,1),1),16,1)))+SUMIFS(Holieday[ok],Holieday[date],CONCATENATE("&gt;","=",D58),Holieday[date],CONCATENATE("&lt;","=",J_SUBDAY(J_ADDDAY(D58,N58,1),1,1)))-SUMIFS(Holieday[Friday],Holieday[date],CONCATENATE("&gt;","=",D58),Holieday[date],CONCATENATE("&lt;","=",J_SUBDAY(J_ADDDAY(D58,N58,1),1,1)))=0,J_SUBDAY(J_ADDDAY(D58,N58,1),1,1),IF((N58+1-(NETWORKDAYS.INTL(J_GregorianDate(D58,1),J_GregorianDate(J_SUBDAY(J_ADDDAY(D58,N58+1,1),1,1),1),16,1)))+SUMIFS(Holieday[ok],Holieday[date],CONCATENATE("&gt;","=",D58),Holieday[date],CONCATENATE("&lt;","=",J_SUBDAY(J_ADDDAY(D58,N58+1,1),1,1)))-SUMIFS(Holieday[Friday],Holieday[date],CONCATENATE("&gt;","=",D58),Holieday[date],CONCATENATE("&lt;","=",J_SUBDAY(J_ADDDAY(D58,N58+1,1),1,1)))=1,J_SUBDAY(J_ADDDAY(D58,N58+1,1),1,1),IF((N58+2-(NETWORKDAYS.INTL(J_GregorianDate(D58,1),J_GregorianDate(J_SUBDAY(J_ADDDAY(D58,N58+2,1),1,1),1),16,1)))+SUMIFS(Holieday[ok],Holieday[date],CONCATENATE("&gt;","=",D58),Holieday[date],CONCATENATE("&lt;","=",J_SUBDAY(J_ADDDAY(D58,N58+2,1),1,1)))-SUMIFS(Holieday[Friday],Holieday[date],CONCATENATE("&gt;","=",D58),Holieday[date],CONCATENATE("&lt;","=",J_SUBDAY(J_ADDDAY(D58,N58+2,1),1,1)))=2,J_SUBDAY(J_ADDDAY(D58,N58+2,1),1,1),IF((N58+3-(NETWORKDAYS.INTL(J_GregorianDate(D58,1),J_GregorianDate(J_SUBDAY(J_ADDDAY(D58,N58+3,1),1,1),1),16,1)))+SUMIFS(Holieday[ok],Holieday[date],CONCATENATE("&gt;","=",D58),Holieday[date],CONCATENATE("&lt;","=",J_SUBDAY(J_ADDDAY(D58,N58+3,1),1,1)))-SUMIFS(Holieday[Friday],Holieday[date],CONCATENATE("&gt;","=",D58),Holieday[date],CONCATENATE("&lt;","=",J_SUBDAY(J_ADDDAY(D58,N58+3,1),1,1)))=3,J_SUBDAY(J_ADDDAY(D58,N58+3,1),1,1),IF((N58+4-(NETWORKDAYS.INTL(J_GregorianDate(D58,1),J_GregorianDate(J_SUBDAY(J_ADDDAY(D58,N58+4,1),1,1),1),16,1)))+SUMIFS(Holieday[ok],Holieday[date],CONCATENATE("&gt;","=",D58),Holieday[date],CONCATENATE("&lt;","=",J_SUBDAY(J_ADDDAY(D58,N58+4,1),1,1)))-SUMIFS(Holieday[Friday],Holieday[date],CONCATENATE("&gt;","=",D58),Holieday[date],CONCATENATE("&lt;","=",J_SUBDAY(J_ADDDAY(D58,N58+4,1),1,1)))=4,J_SUBDAY(J_ADDDAY(D58,N58+4,1),1,1),IF((N58+5-(NETWORKDAYS.INTL(J_GregorianDate(D58,1),J_GregorianDate(J_SUBDAY(J_ADDDAY(D58,N58+5,1),1,1),1),16,1)))+SUMIFS(Holieday[ok],Holieday[date],CONCATENATE("&gt;","=",D58),Holieday[date],CONCATENATE("&lt;","=",J_SUBDAY(J_ADDDAY(D58,N58+5,1),1,1)))-SUMIFS(Holieday[Friday],Holieday[date],CONCATENATE("&gt;","=",D58),Holieday[date],CONCATENATE("&lt;","=",J_SUBDAY(J_ADDDAY(D58,N58+5,1),1,1)))=5,J_SUBDAY(J_ADDDAY(D58,N58+5,1),1,1),J_SUBDAY(J_ADDDAY(D58,N58+6,1),1,1))))))))</f>
        <v>1398/06/31</v>
      </c>
      <c r="G58" s="163">
        <f t="shared" si="16"/>
        <v>13980631</v>
      </c>
      <c r="H58" s="230"/>
      <c r="I58" s="231">
        <v>1.1000000000000001</v>
      </c>
      <c r="J58" s="229">
        <f>j_WEEKDAY(D58,2)</f>
        <v>1</v>
      </c>
      <c r="K58" s="173">
        <f t="shared" ref="K58:K83" si="18">SUM(JA58:JC58)</f>
        <v>0</v>
      </c>
      <c r="L58" s="232">
        <f t="shared" ref="L58:L83" si="19">J_DIFF(D58,F58)+1</f>
        <v>1</v>
      </c>
      <c r="M58" s="233">
        <v>1</v>
      </c>
      <c r="N58" s="234">
        <v>1</v>
      </c>
      <c r="O58" s="175">
        <f t="shared" si="17"/>
        <v>1</v>
      </c>
      <c r="P58" s="175">
        <f>VALUE(J_normdate(J_ADDDAY($D58,$O58,1)))</f>
        <v>13980701</v>
      </c>
      <c r="Q58" s="171">
        <f t="shared" si="14"/>
        <v>0</v>
      </c>
      <c r="R58" s="169"/>
      <c r="S58" s="169"/>
      <c r="T58" s="169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69"/>
      <c r="AF58" s="169"/>
      <c r="AG58" s="169"/>
      <c r="AH58" s="169"/>
      <c r="AI58" s="169"/>
      <c r="AJ58" s="169"/>
      <c r="AK58" s="169"/>
      <c r="AL58" s="169"/>
      <c r="AM58" s="169"/>
      <c r="AN58" s="169"/>
      <c r="AO58" s="169"/>
      <c r="AP58" s="169"/>
      <c r="AQ58" s="169"/>
      <c r="AR58" s="169"/>
      <c r="AS58" s="169"/>
      <c r="AT58" s="169"/>
      <c r="AU58" s="169"/>
      <c r="AV58" s="169"/>
      <c r="AW58" s="169"/>
      <c r="AX58" s="169"/>
      <c r="AY58" s="169"/>
      <c r="AZ58" s="169"/>
      <c r="BA58" s="169"/>
      <c r="BB58" s="169"/>
      <c r="BC58" s="169"/>
      <c r="BD58" s="169"/>
      <c r="BE58" s="169"/>
      <c r="BF58" s="169"/>
      <c r="BG58" s="169"/>
      <c r="BH58" s="169"/>
      <c r="BI58" s="169"/>
      <c r="BJ58" s="169"/>
      <c r="BK58" s="169"/>
      <c r="BL58" s="169"/>
      <c r="BM58" s="169"/>
      <c r="BN58" s="169"/>
      <c r="BO58" s="169"/>
      <c r="BP58" s="169"/>
      <c r="BQ58" s="169"/>
      <c r="BR58" s="169"/>
      <c r="BS58" s="169"/>
      <c r="BT58" s="169"/>
      <c r="BU58" s="169"/>
      <c r="BV58" s="169"/>
      <c r="BW58" s="169"/>
      <c r="BX58" s="169"/>
      <c r="BY58" s="169"/>
      <c r="BZ58" s="169"/>
      <c r="CA58" s="169"/>
      <c r="CB58" s="169"/>
      <c r="CC58" s="169"/>
      <c r="CD58" s="169"/>
      <c r="CE58" s="169"/>
      <c r="CF58" s="169"/>
      <c r="CG58" s="169"/>
      <c r="CH58" s="169"/>
      <c r="CI58" s="169"/>
      <c r="CJ58" s="169"/>
      <c r="CK58" s="169"/>
      <c r="CL58" s="169"/>
      <c r="CM58" s="169"/>
      <c r="CN58" s="169"/>
      <c r="CO58" s="169"/>
      <c r="CP58" s="169"/>
      <c r="CQ58" s="169"/>
      <c r="CR58" s="169"/>
      <c r="CS58" s="169"/>
      <c r="CT58" s="169"/>
      <c r="CU58" s="169"/>
      <c r="CV58" s="169"/>
      <c r="CW58" s="169"/>
      <c r="CX58" s="169"/>
      <c r="CY58" s="169"/>
      <c r="CZ58" s="169"/>
      <c r="DA58" s="169"/>
      <c r="DB58" s="169"/>
      <c r="DC58" s="169"/>
      <c r="DD58" s="169"/>
      <c r="DE58" s="169"/>
      <c r="DF58" s="169"/>
      <c r="DG58" s="169"/>
      <c r="DH58" s="169"/>
      <c r="DI58" s="169"/>
      <c r="DJ58" s="169"/>
      <c r="DK58" s="169"/>
      <c r="DL58" s="169"/>
      <c r="DM58" s="169"/>
      <c r="DN58" s="169"/>
      <c r="DO58" s="169"/>
      <c r="DP58" s="169"/>
      <c r="DQ58" s="169"/>
      <c r="DR58" s="169"/>
      <c r="DS58" s="169"/>
      <c r="DT58" s="169"/>
      <c r="DU58" s="169"/>
      <c r="DV58" s="169"/>
      <c r="DW58" s="169"/>
      <c r="DX58" s="169"/>
      <c r="DY58" s="169"/>
      <c r="DZ58" s="169"/>
      <c r="EA58" s="169"/>
      <c r="EB58" s="169"/>
      <c r="EC58" s="169"/>
      <c r="ED58" s="169"/>
      <c r="EE58" s="169"/>
      <c r="EF58" s="169"/>
      <c r="EG58" s="169"/>
      <c r="EH58" s="169"/>
      <c r="EI58" s="169"/>
      <c r="EJ58" s="169"/>
      <c r="EK58" s="169"/>
      <c r="EL58" s="169"/>
      <c r="EM58" s="169"/>
      <c r="EN58" s="169"/>
      <c r="EO58" s="169"/>
      <c r="EP58" s="169"/>
      <c r="EQ58" s="169"/>
      <c r="ER58" s="169"/>
      <c r="ES58" s="169"/>
      <c r="ET58" s="169"/>
      <c r="EU58" s="169"/>
      <c r="EV58" s="169"/>
      <c r="EW58" s="169"/>
      <c r="EX58" s="169"/>
      <c r="EY58" s="169"/>
      <c r="EZ58" s="169"/>
      <c r="FA58" s="169"/>
      <c r="FB58" s="169"/>
      <c r="FC58" s="169"/>
      <c r="FD58" s="169"/>
      <c r="FE58" s="169"/>
      <c r="FF58" s="169"/>
      <c r="FG58" s="169"/>
      <c r="FH58" s="169"/>
      <c r="FI58" s="169"/>
      <c r="FJ58" s="169"/>
      <c r="FK58" s="169"/>
      <c r="FL58" s="169"/>
      <c r="FM58" s="169"/>
      <c r="FN58" s="169"/>
      <c r="FO58" s="169"/>
      <c r="FP58" s="169"/>
      <c r="FQ58" s="169"/>
      <c r="FR58" s="169"/>
      <c r="FS58" s="169"/>
      <c r="FT58" s="169"/>
      <c r="FU58" s="169"/>
      <c r="FV58" s="169"/>
      <c r="FW58" s="169"/>
      <c r="FX58" s="169"/>
      <c r="FY58" s="169"/>
      <c r="FZ58" s="169"/>
      <c r="GA58" s="169"/>
      <c r="GB58" s="169"/>
      <c r="GC58" s="169"/>
      <c r="GD58" s="169"/>
      <c r="GE58" s="169"/>
      <c r="GF58" s="169"/>
      <c r="GG58" s="169"/>
      <c r="GH58" s="169"/>
      <c r="GI58" s="169"/>
      <c r="GJ58" s="169"/>
      <c r="GK58" s="169"/>
      <c r="GL58" s="169"/>
      <c r="GM58" s="169"/>
      <c r="GN58" s="169"/>
      <c r="GO58" s="169"/>
      <c r="GP58" s="169"/>
      <c r="GQ58" s="169"/>
      <c r="GR58" s="169"/>
      <c r="GS58" s="169"/>
      <c r="GT58" s="169"/>
      <c r="GU58" s="169"/>
      <c r="GV58" s="169"/>
      <c r="GW58" s="169"/>
      <c r="GX58" s="169"/>
      <c r="GY58" s="169"/>
      <c r="GZ58" s="169"/>
      <c r="HA58" s="169"/>
      <c r="HB58" s="169"/>
      <c r="HC58" s="169"/>
      <c r="HD58" s="169"/>
      <c r="HE58" s="169"/>
      <c r="HF58" s="169"/>
      <c r="HG58" s="169"/>
      <c r="HH58" s="169"/>
      <c r="HI58" s="169"/>
      <c r="HJ58" s="169"/>
      <c r="HK58" s="169"/>
      <c r="HL58" s="169"/>
      <c r="HM58" s="169"/>
      <c r="HN58" s="169"/>
      <c r="HO58" s="169"/>
      <c r="HP58" s="169"/>
      <c r="HQ58" s="169"/>
      <c r="HR58" s="169"/>
      <c r="HS58" s="169"/>
      <c r="HT58" s="169"/>
      <c r="HU58" s="169"/>
      <c r="HV58" s="169"/>
      <c r="HW58" s="169"/>
      <c r="HX58" s="169"/>
      <c r="HY58" s="169"/>
      <c r="HZ58" s="169"/>
      <c r="IA58" s="169"/>
      <c r="IB58" s="169"/>
      <c r="IC58" s="169"/>
      <c r="ID58" s="169"/>
      <c r="IE58" s="169"/>
      <c r="IF58" s="169"/>
      <c r="IG58" s="169"/>
      <c r="IH58" s="169"/>
      <c r="II58" s="169"/>
      <c r="IJ58" s="169"/>
      <c r="IK58" s="169"/>
      <c r="IL58" s="169"/>
      <c r="IM58" s="169"/>
      <c r="IN58" s="169"/>
      <c r="IO58" s="169"/>
      <c r="IP58" s="169"/>
      <c r="IQ58" s="169"/>
      <c r="IR58" s="169"/>
      <c r="IS58" s="169"/>
      <c r="IT58" s="169"/>
      <c r="IU58" s="169"/>
      <c r="IV58" s="169"/>
      <c r="IW58" s="169"/>
      <c r="IX58" s="169"/>
      <c r="IY58" s="29">
        <v>3</v>
      </c>
      <c r="IZ58" s="40">
        <f>(TEXT(K58,"[m]")/60)*VLOOKUP(IY58,'Income Person-hours'!A$2:C$5,3,FALSE)</f>
        <v>0</v>
      </c>
      <c r="JA58" s="112"/>
      <c r="JB58" s="112"/>
      <c r="JC58" s="112"/>
      <c r="JD58" s="192">
        <f>SUM((TEXT(JA58,"[M]")/60)*'Income Person-hours'!$D$3,(TEXT(JB58,"[M]")/60)*'Income Person-hours'!$D$4,(TEXT(JC58,"[M]")/60)*'Income Person-hours'!$D$5)</f>
        <v>0</v>
      </c>
    </row>
    <row r="59" spans="1:16384" s="191" customFormat="1" ht="13.5">
      <c r="A59" s="227">
        <v>3.2</v>
      </c>
      <c r="B59" s="241" t="s">
        <v>112</v>
      </c>
      <c r="C59" s="228" t="s">
        <v>111</v>
      </c>
      <c r="D59" s="353" t="str">
        <f>IF(OR(j_WEEKDAY(J_ADDDAY(VLOOKUP(I59,A:F,6,FALSE),H59,1),0)=6,SUMIFS(Holieday[ok],Holieday[date],J_ADDDAY(VLOOKUP(I59,A:F,6,FALSE),H59,1)))=FALSE(),J_ADDDAY(VLOOKUP(I59,A:F,6,FALSE),H59,1),IF(OR(j_WEEKDAY(J_ADDDAY(VLOOKUP(I59,A:F,6,FALSE),H59+1,1),0)=6,SUMIFS(Holieday[ok],Holieday[date],J_ADDDAY(VLOOKUP(I59,A:F,6,FALSE),H59+1,1)))=FALSE(),J_ADDDAY(VLOOKUP(I59,A:F,6,FALSE),H59+1,1),IF(OR(j_WEEKDAY(J_ADDDAY(VLOOKUP(I59,A:F,6,FALSE),H59+2,1),0)=6,SUMIFS(Holieday[ok],Holieday[date],J_ADDDAY(VLOOKUP(I59,A:F,6,FALSE),H59+2,1)))=FALSE(),J_ADDDAY(VLOOKUP(I59,A:F,6,FALSE),H59+2,1),IF(OR(j_WEEKDAY(J_ADDDAY(VLOOKUP(I59,A:F,6,FALSE),H59+3,1),0)=6,SUMIFS(Holieday[ok],Holieday[date],J_ADDDAY(VLOOKUP(I59,A:F,6,FALSE),H59+3,1)))=FALSE(),J_ADDDAY(VLOOKUP(I59,A:F,6,FALSE),H59+3,1),IF(OR(j_WEEKDAY(J_ADDDAY(VLOOKUP(I59,A:F,6,FALSE),H59+4,1),0)=6,SUMIFS(Holieday[ok],Holieday[date],J_ADDDAY(VLOOKUP(I59,A:F,6,FALSE),H59+4,1)))=FALSE(),J_ADDDAY(VLOOKUP(I59,A:F,6,FALSE),H59+4,1),J_ADDDAY(VLOOKUP(I59,A:F,6,FALSE),H59+5,1))))))</f>
        <v>1398/06/31</v>
      </c>
      <c r="E59" s="160">
        <f t="shared" si="15"/>
        <v>13980631</v>
      </c>
      <c r="F59" s="354" t="str">
        <f>IF(N59=0,J_SUBDAY(D59,1,1),IF((N59-(NETWORKDAYS.INTL(J_GregorianDate(D59,1),J_GregorianDate(J_SUBDAY(J_ADDDAY(D59,N59,1),1,1),1),16,1)))+SUMIFS(Holieday[ok],Holieday[date],CONCATENATE("&gt;","=",D59),Holieday[date],CONCATENATE("&lt;","=",J_SUBDAY(J_ADDDAY(D59,N59,1),1,1)))-SUMIFS(Holieday[Friday],Holieday[date],CONCATENATE("&gt;","=",D59),Holieday[date],CONCATENATE("&lt;","=",J_SUBDAY(J_ADDDAY(D59,N59,1),1,1)))=0,J_SUBDAY(J_ADDDAY(D59,N59,1),1,1),IF((N59+1-(NETWORKDAYS.INTL(J_GregorianDate(D59,1),J_GregorianDate(J_SUBDAY(J_ADDDAY(D59,N59+1,1),1,1),1),16,1)))+SUMIFS(Holieday[ok],Holieday[date],CONCATENATE("&gt;","=",D59),Holieday[date],CONCATENATE("&lt;","=",J_SUBDAY(J_ADDDAY(D59,N59+1,1),1,1)))-SUMIFS(Holieday[Friday],Holieday[date],CONCATENATE("&gt;","=",D59),Holieday[date],CONCATENATE("&lt;","=",J_SUBDAY(J_ADDDAY(D59,N59+1,1),1,1)))=1,J_SUBDAY(J_ADDDAY(D59,N59+1,1),1,1),IF((N59+2-(NETWORKDAYS.INTL(J_GregorianDate(D59,1),J_GregorianDate(J_SUBDAY(J_ADDDAY(D59,N59+2,1),1,1),1),16,1)))+SUMIFS(Holieday[ok],Holieday[date],CONCATENATE("&gt;","=",D59),Holieday[date],CONCATENATE("&lt;","=",J_SUBDAY(J_ADDDAY(D59,N59+2,1),1,1)))-SUMIFS(Holieday[Friday],Holieday[date],CONCATENATE("&gt;","=",D59),Holieday[date],CONCATENATE("&lt;","=",J_SUBDAY(J_ADDDAY(D59,N59+2,1),1,1)))=2,J_SUBDAY(J_ADDDAY(D59,N59+2,1),1,1),IF((N59+3-(NETWORKDAYS.INTL(J_GregorianDate(D59,1),J_GregorianDate(J_SUBDAY(J_ADDDAY(D59,N59+3,1),1,1),1),16,1)))+SUMIFS(Holieday[ok],Holieday[date],CONCATENATE("&gt;","=",D59),Holieday[date],CONCATENATE("&lt;","=",J_SUBDAY(J_ADDDAY(D59,N59+3,1),1,1)))-SUMIFS(Holieday[Friday],Holieday[date],CONCATENATE("&gt;","=",D59),Holieday[date],CONCATENATE("&lt;","=",J_SUBDAY(J_ADDDAY(D59,N59+3,1),1,1)))=3,J_SUBDAY(J_ADDDAY(D59,N59+3,1),1,1),IF((N59+4-(NETWORKDAYS.INTL(J_GregorianDate(D59,1),J_GregorianDate(J_SUBDAY(J_ADDDAY(D59,N59+4,1),1,1),1),16,1)))+SUMIFS(Holieday[ok],Holieday[date],CONCATENATE("&gt;","=",D59),Holieday[date],CONCATENATE("&lt;","=",J_SUBDAY(J_ADDDAY(D59,N59+4,1),1,1)))-SUMIFS(Holieday[Friday],Holieday[date],CONCATENATE("&gt;","=",D59),Holieday[date],CONCATENATE("&lt;","=",J_SUBDAY(J_ADDDAY(D59,N59+4,1),1,1)))=4,J_SUBDAY(J_ADDDAY(D59,N59+4,1),1,1),IF((N59+5-(NETWORKDAYS.INTL(J_GregorianDate(D59,1),J_GregorianDate(J_SUBDAY(J_ADDDAY(D59,N59+5,1),1,1),1),16,1)))+SUMIFS(Holieday[ok],Holieday[date],CONCATENATE("&gt;","=",D59),Holieday[date],CONCATENATE("&lt;","=",J_SUBDAY(J_ADDDAY(D59,N59+5,1),1,1)))-SUMIFS(Holieday[Friday],Holieday[date],CONCATENATE("&gt;","=",D59),Holieday[date],CONCATENATE("&lt;","=",J_SUBDAY(J_ADDDAY(D59,N59+5,1),1,1)))=5,J_SUBDAY(J_ADDDAY(D59,N59+5,1),1,1),J_SUBDAY(J_ADDDAY(D59,N59+6,1),1,1))))))))</f>
        <v>1398/07/02</v>
      </c>
      <c r="G59" s="163">
        <f t="shared" si="16"/>
        <v>13980702</v>
      </c>
      <c r="H59" s="230"/>
      <c r="I59" s="231">
        <v>3.1</v>
      </c>
      <c r="J59" s="229">
        <f>j_WEEKDAY(D59,2)</f>
        <v>1</v>
      </c>
      <c r="K59" s="173">
        <f t="shared" si="18"/>
        <v>0</v>
      </c>
      <c r="L59" s="232">
        <f t="shared" si="19"/>
        <v>3</v>
      </c>
      <c r="M59" s="233">
        <v>1</v>
      </c>
      <c r="N59" s="234">
        <v>3</v>
      </c>
      <c r="O59" s="175">
        <f t="shared" si="17"/>
        <v>3</v>
      </c>
      <c r="P59" s="175">
        <f>VALUE(J_normdate(J_ADDDAY($D59,$O59,1)))</f>
        <v>13980703</v>
      </c>
      <c r="Q59" s="171">
        <f t="shared" si="14"/>
        <v>0</v>
      </c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  <c r="AM59" s="169"/>
      <c r="AN59" s="169"/>
      <c r="AO59" s="169"/>
      <c r="AP59" s="169"/>
      <c r="AQ59" s="169"/>
      <c r="AR59" s="169"/>
      <c r="AS59" s="169"/>
      <c r="AT59" s="169"/>
      <c r="AU59" s="169"/>
      <c r="AV59" s="169"/>
      <c r="AW59" s="169"/>
      <c r="AX59" s="169"/>
      <c r="AY59" s="169"/>
      <c r="AZ59" s="169"/>
      <c r="BA59" s="169"/>
      <c r="BB59" s="169"/>
      <c r="BC59" s="169"/>
      <c r="BD59" s="169"/>
      <c r="BE59" s="169"/>
      <c r="BF59" s="169"/>
      <c r="BG59" s="169"/>
      <c r="BH59" s="169"/>
      <c r="BI59" s="169"/>
      <c r="BJ59" s="169"/>
      <c r="BK59" s="169"/>
      <c r="BL59" s="169"/>
      <c r="BM59" s="169"/>
      <c r="BN59" s="169"/>
      <c r="BO59" s="169"/>
      <c r="BP59" s="169"/>
      <c r="BQ59" s="169"/>
      <c r="BR59" s="169"/>
      <c r="BS59" s="169"/>
      <c r="BT59" s="169"/>
      <c r="BU59" s="169"/>
      <c r="BV59" s="169"/>
      <c r="BW59" s="169"/>
      <c r="BX59" s="169"/>
      <c r="BY59" s="169"/>
      <c r="BZ59" s="169"/>
      <c r="CA59" s="169"/>
      <c r="CB59" s="169"/>
      <c r="CC59" s="169"/>
      <c r="CD59" s="169"/>
      <c r="CE59" s="169"/>
      <c r="CF59" s="169"/>
      <c r="CG59" s="169"/>
      <c r="CH59" s="169"/>
      <c r="CI59" s="169"/>
      <c r="CJ59" s="169"/>
      <c r="CK59" s="169"/>
      <c r="CL59" s="169"/>
      <c r="CM59" s="169"/>
      <c r="CN59" s="169"/>
      <c r="CO59" s="169"/>
      <c r="CP59" s="169"/>
      <c r="CQ59" s="169"/>
      <c r="CR59" s="169"/>
      <c r="CS59" s="169"/>
      <c r="CT59" s="169"/>
      <c r="CU59" s="169"/>
      <c r="CV59" s="169"/>
      <c r="CW59" s="169"/>
      <c r="CX59" s="169"/>
      <c r="CY59" s="169"/>
      <c r="CZ59" s="169"/>
      <c r="DA59" s="169"/>
      <c r="DB59" s="169"/>
      <c r="DC59" s="169"/>
      <c r="DD59" s="169"/>
      <c r="DE59" s="169"/>
      <c r="DF59" s="169"/>
      <c r="DG59" s="169"/>
      <c r="DH59" s="169"/>
      <c r="DI59" s="169"/>
      <c r="DJ59" s="169"/>
      <c r="DK59" s="169"/>
      <c r="DL59" s="169"/>
      <c r="DM59" s="169"/>
      <c r="DN59" s="169"/>
      <c r="DO59" s="169"/>
      <c r="DP59" s="169"/>
      <c r="DQ59" s="169"/>
      <c r="DR59" s="169"/>
      <c r="DS59" s="169"/>
      <c r="DT59" s="169"/>
      <c r="DU59" s="169"/>
      <c r="DV59" s="169"/>
      <c r="DW59" s="169"/>
      <c r="DX59" s="169"/>
      <c r="DY59" s="169"/>
      <c r="DZ59" s="169"/>
      <c r="EA59" s="169"/>
      <c r="EB59" s="169"/>
      <c r="EC59" s="169"/>
      <c r="ED59" s="169"/>
      <c r="EE59" s="169"/>
      <c r="EF59" s="169"/>
      <c r="EG59" s="169"/>
      <c r="EH59" s="169"/>
      <c r="EI59" s="169"/>
      <c r="EJ59" s="169"/>
      <c r="EK59" s="169"/>
      <c r="EL59" s="169"/>
      <c r="EM59" s="169"/>
      <c r="EN59" s="169"/>
      <c r="EO59" s="169"/>
      <c r="EP59" s="169"/>
      <c r="EQ59" s="169"/>
      <c r="ER59" s="169"/>
      <c r="ES59" s="169"/>
      <c r="ET59" s="169"/>
      <c r="EU59" s="169"/>
      <c r="EV59" s="169"/>
      <c r="EW59" s="169"/>
      <c r="EX59" s="169"/>
      <c r="EY59" s="169"/>
      <c r="EZ59" s="169"/>
      <c r="FA59" s="169"/>
      <c r="FB59" s="169"/>
      <c r="FC59" s="169"/>
      <c r="FD59" s="169"/>
      <c r="FE59" s="169"/>
      <c r="FF59" s="169"/>
      <c r="FG59" s="169"/>
      <c r="FH59" s="169"/>
      <c r="FI59" s="169"/>
      <c r="FJ59" s="169"/>
      <c r="FK59" s="169"/>
      <c r="FL59" s="169"/>
      <c r="FM59" s="169"/>
      <c r="FN59" s="169"/>
      <c r="FO59" s="169"/>
      <c r="FP59" s="169"/>
      <c r="FQ59" s="169"/>
      <c r="FR59" s="169"/>
      <c r="FS59" s="169"/>
      <c r="FT59" s="169"/>
      <c r="FU59" s="169"/>
      <c r="FV59" s="169"/>
      <c r="FW59" s="169"/>
      <c r="FX59" s="169"/>
      <c r="FY59" s="169"/>
      <c r="FZ59" s="169"/>
      <c r="GA59" s="169"/>
      <c r="GB59" s="169"/>
      <c r="GC59" s="169"/>
      <c r="GD59" s="169"/>
      <c r="GE59" s="169"/>
      <c r="GF59" s="169"/>
      <c r="GG59" s="169"/>
      <c r="GH59" s="169"/>
      <c r="GI59" s="169"/>
      <c r="GJ59" s="169"/>
      <c r="GK59" s="169"/>
      <c r="GL59" s="169"/>
      <c r="GM59" s="169"/>
      <c r="GN59" s="169"/>
      <c r="GO59" s="169"/>
      <c r="GP59" s="169"/>
      <c r="GQ59" s="169"/>
      <c r="GR59" s="169"/>
      <c r="GS59" s="169"/>
      <c r="GT59" s="169"/>
      <c r="GU59" s="169"/>
      <c r="GV59" s="169"/>
      <c r="GW59" s="169"/>
      <c r="GX59" s="169"/>
      <c r="GY59" s="169"/>
      <c r="GZ59" s="169"/>
      <c r="HA59" s="169"/>
      <c r="HB59" s="169"/>
      <c r="HC59" s="169"/>
      <c r="HD59" s="169"/>
      <c r="HE59" s="169"/>
      <c r="HF59" s="169"/>
      <c r="HG59" s="169"/>
      <c r="HH59" s="169"/>
      <c r="HI59" s="169"/>
      <c r="HJ59" s="169"/>
      <c r="HK59" s="169"/>
      <c r="HL59" s="169"/>
      <c r="HM59" s="169"/>
      <c r="HN59" s="169"/>
      <c r="HO59" s="169"/>
      <c r="HP59" s="169"/>
      <c r="HQ59" s="169"/>
      <c r="HR59" s="169"/>
      <c r="HS59" s="169"/>
      <c r="HT59" s="169"/>
      <c r="HU59" s="169"/>
      <c r="HV59" s="169"/>
      <c r="HW59" s="169"/>
      <c r="HX59" s="169"/>
      <c r="HY59" s="169"/>
      <c r="HZ59" s="169"/>
      <c r="IA59" s="169"/>
      <c r="IB59" s="169"/>
      <c r="IC59" s="169"/>
      <c r="ID59" s="169"/>
      <c r="IE59" s="169"/>
      <c r="IF59" s="169"/>
      <c r="IG59" s="169"/>
      <c r="IH59" s="169"/>
      <c r="II59" s="169"/>
      <c r="IJ59" s="169"/>
      <c r="IK59" s="169"/>
      <c r="IL59" s="169"/>
      <c r="IM59" s="169"/>
      <c r="IN59" s="169"/>
      <c r="IO59" s="169"/>
      <c r="IP59" s="169"/>
      <c r="IQ59" s="169"/>
      <c r="IR59" s="169"/>
      <c r="IS59" s="169"/>
      <c r="IT59" s="169"/>
      <c r="IU59" s="169"/>
      <c r="IV59" s="169"/>
      <c r="IW59" s="169"/>
      <c r="IX59" s="169"/>
      <c r="IY59" s="29">
        <v>3</v>
      </c>
      <c r="IZ59" s="40">
        <f>(TEXT(K59,"[m]")/60)*VLOOKUP(IY59,'Income Person-hours'!A$2:C$5,3,FALSE)</f>
        <v>0</v>
      </c>
      <c r="JA59" s="112"/>
      <c r="JB59" s="112"/>
      <c r="JC59" s="112"/>
      <c r="JD59" s="192">
        <f>SUM((TEXT(JA59,"[M]")/60)*'Income Person-hours'!$D$3,(TEXT(JB59,"[M]")/60)*'Income Person-hours'!$D$4,(TEXT(JC59,"[M]")/60)*'Income Person-hours'!$D$5)</f>
        <v>0</v>
      </c>
    </row>
    <row r="60" spans="1:16384" s="240" customFormat="1" ht="13.5">
      <c r="A60" s="227">
        <v>3.3</v>
      </c>
      <c r="B60" s="241" t="s">
        <v>153</v>
      </c>
      <c r="C60" s="228" t="s">
        <v>79</v>
      </c>
      <c r="D60" s="353" t="str">
        <f>IF(OR(j_WEEKDAY(J_ADDDAY(VLOOKUP(I60,A:F,6,FALSE),H60,1),0)=6,SUMIFS(Holieday[ok],Holieday[date],J_ADDDAY(VLOOKUP(I60,A:F,6,FALSE),H60,1)))=FALSE(),J_ADDDAY(VLOOKUP(I60,A:F,6,FALSE),H60,1),IF(OR(j_WEEKDAY(J_ADDDAY(VLOOKUP(I60,A:F,6,FALSE),H60+1,1),0)=6,SUMIFS(Holieday[ok],Holieday[date],J_ADDDAY(VLOOKUP(I60,A:F,6,FALSE),H60+1,1)))=FALSE(),J_ADDDAY(VLOOKUP(I60,A:F,6,FALSE),H60+1,1),IF(OR(j_WEEKDAY(J_ADDDAY(VLOOKUP(I60,A:F,6,FALSE),H60+2,1),0)=6,SUMIFS(Holieday[ok],Holieday[date],J_ADDDAY(VLOOKUP(I60,A:F,6,FALSE),H60+2,1)))=FALSE(),J_ADDDAY(VLOOKUP(I60,A:F,6,FALSE),H60+2,1),IF(OR(j_WEEKDAY(J_ADDDAY(VLOOKUP(I60,A:F,6,FALSE),H60+3,1),0)=6,SUMIFS(Holieday[ok],Holieday[date],J_ADDDAY(VLOOKUP(I60,A:F,6,FALSE),H60+3,1)))=FALSE(),J_ADDDAY(VLOOKUP(I60,A:F,6,FALSE),H60+3,1),IF(OR(j_WEEKDAY(J_ADDDAY(VLOOKUP(I60,A:F,6,FALSE),H60+4,1),0)=6,SUMIFS(Holieday[ok],Holieday[date],J_ADDDAY(VLOOKUP(I60,A:F,6,FALSE),H60+4,1)))=FALSE(),J_ADDDAY(VLOOKUP(I60,A:F,6,FALSE),H60+4,1),J_ADDDAY(VLOOKUP(I60,A:F,6,FALSE),H60+5,1))))))</f>
        <v>1398/07/06</v>
      </c>
      <c r="E60" s="160">
        <f t="shared" si="15"/>
        <v>13980706</v>
      </c>
      <c r="F60" s="354" t="str">
        <f>IF(N60=0,J_SUBDAY(D60,1,1),IF((N60-(NETWORKDAYS.INTL(J_GregorianDate(D60,1),J_GregorianDate(J_SUBDAY(J_ADDDAY(D60,N60,1),1,1),1),16,1)))+SUMIFS(Holieday[ok],Holieday[date],CONCATENATE("&gt;","=",D60),Holieday[date],CONCATENATE("&lt;","=",J_SUBDAY(J_ADDDAY(D60,N60,1),1,1)))-SUMIFS(Holieday[Friday],Holieday[date],CONCATENATE("&gt;","=",D60),Holieday[date],CONCATENATE("&lt;","=",J_SUBDAY(J_ADDDAY(D60,N60,1),1,1)))=0,J_SUBDAY(J_ADDDAY(D60,N60,1),1,1),IF((N60+1-(NETWORKDAYS.INTL(J_GregorianDate(D60,1),J_GregorianDate(J_SUBDAY(J_ADDDAY(D60,N60+1,1),1,1),1),16,1)))+SUMIFS(Holieday[ok],Holieday[date],CONCATENATE("&gt;","=",D60),Holieday[date],CONCATENATE("&lt;","=",J_SUBDAY(J_ADDDAY(D60,N60+1,1),1,1)))-SUMIFS(Holieday[Friday],Holieday[date],CONCATENATE("&gt;","=",D60),Holieday[date],CONCATENATE("&lt;","=",J_SUBDAY(J_ADDDAY(D60,N60+1,1),1,1)))=1,J_SUBDAY(J_ADDDAY(D60,N60+1,1),1,1),IF((N60+2-(NETWORKDAYS.INTL(J_GregorianDate(D60,1),J_GregorianDate(J_SUBDAY(J_ADDDAY(D60,N60+2,1),1,1),1),16,1)))+SUMIFS(Holieday[ok],Holieday[date],CONCATENATE("&gt;","=",D60),Holieday[date],CONCATENATE("&lt;","=",J_SUBDAY(J_ADDDAY(D60,N60+2,1),1,1)))-SUMIFS(Holieday[Friday],Holieday[date],CONCATENATE("&gt;","=",D60),Holieday[date],CONCATENATE("&lt;","=",J_SUBDAY(J_ADDDAY(D60,N60+2,1),1,1)))=2,J_SUBDAY(J_ADDDAY(D60,N60+2,1),1,1),IF((N60+3-(NETWORKDAYS.INTL(J_GregorianDate(D60,1),J_GregorianDate(J_SUBDAY(J_ADDDAY(D60,N60+3,1),1,1),1),16,1)))+SUMIFS(Holieday[ok],Holieday[date],CONCATENATE("&gt;","=",D60),Holieday[date],CONCATENATE("&lt;","=",J_SUBDAY(J_ADDDAY(D60,N60+3,1),1,1)))-SUMIFS(Holieday[Friday],Holieday[date],CONCATENATE("&gt;","=",D60),Holieday[date],CONCATENATE("&lt;","=",J_SUBDAY(J_ADDDAY(D60,N60+3,1),1,1)))=3,J_SUBDAY(J_ADDDAY(D60,N60+3,1),1,1),IF((N60+4-(NETWORKDAYS.INTL(J_GregorianDate(D60,1),J_GregorianDate(J_SUBDAY(J_ADDDAY(D60,N60+4,1),1,1),1),16,1)))+SUMIFS(Holieday[ok],Holieday[date],CONCATENATE("&gt;","=",D60),Holieday[date],CONCATENATE("&lt;","=",J_SUBDAY(J_ADDDAY(D60,N60+4,1),1,1)))-SUMIFS(Holieday[Friday],Holieday[date],CONCATENATE("&gt;","=",D60),Holieday[date],CONCATENATE("&lt;","=",J_SUBDAY(J_ADDDAY(D60,N60+4,1),1,1)))=4,J_SUBDAY(J_ADDDAY(D60,N60+4,1),1,1),IF((N60+5-(NETWORKDAYS.INTL(J_GregorianDate(D60,1),J_GregorianDate(J_SUBDAY(J_ADDDAY(D60,N60+5,1),1,1),1),16,1)))+SUMIFS(Holieday[ok],Holieday[date],CONCATENATE("&gt;","=",D60),Holieday[date],CONCATENATE("&lt;","=",J_SUBDAY(J_ADDDAY(D60,N60+5,1),1,1)))-SUMIFS(Holieday[Friday],Holieday[date],CONCATENATE("&gt;","=",D60),Holieday[date],CONCATENATE("&lt;","=",J_SUBDAY(J_ADDDAY(D60,N60+5,1),1,1)))=5,J_SUBDAY(J_ADDDAY(D60,N60+5,1),1,1),J_SUBDAY(J_ADDDAY(D60,N60+6,1),1,1))))))))</f>
        <v>1398/07/16</v>
      </c>
      <c r="G60" s="163">
        <f t="shared" si="16"/>
        <v>13980716</v>
      </c>
      <c r="H60" s="230">
        <v>5</v>
      </c>
      <c r="I60" s="231">
        <v>1.1000000000000001</v>
      </c>
      <c r="J60" s="229">
        <f>j_WEEKDAY(D60,2)</f>
        <v>0</v>
      </c>
      <c r="K60" s="173">
        <f t="shared" si="18"/>
        <v>0</v>
      </c>
      <c r="L60" s="232">
        <v>30</v>
      </c>
      <c r="M60" s="233">
        <v>0.2</v>
      </c>
      <c r="N60" s="234">
        <v>10</v>
      </c>
      <c r="O60" s="175">
        <f t="shared" si="17"/>
        <v>6</v>
      </c>
      <c r="P60" s="175">
        <f>VALUE(J_normdate(J_ADDDAY($D60,$O60,1)))</f>
        <v>13980712</v>
      </c>
      <c r="Q60" s="171">
        <f t="shared" si="14"/>
        <v>24</v>
      </c>
      <c r="R60" s="235"/>
      <c r="S60" s="235"/>
      <c r="T60" s="235"/>
      <c r="U60" s="235"/>
      <c r="V60" s="235"/>
      <c r="W60" s="235"/>
      <c r="X60" s="235"/>
      <c r="Y60" s="235"/>
      <c r="Z60" s="235"/>
      <c r="AA60" s="235"/>
      <c r="AB60" s="235"/>
      <c r="AC60" s="235"/>
      <c r="AD60" s="235"/>
      <c r="AE60" s="235"/>
      <c r="AF60" s="235"/>
      <c r="AG60" s="235"/>
      <c r="AH60" s="235"/>
      <c r="AI60" s="235"/>
      <c r="AJ60" s="235"/>
      <c r="AK60" s="235"/>
      <c r="AL60" s="235"/>
      <c r="AM60" s="235"/>
      <c r="AN60" s="235"/>
      <c r="AO60" s="235"/>
      <c r="AP60" s="235"/>
      <c r="AQ60" s="235"/>
      <c r="AR60" s="235"/>
      <c r="AS60" s="235"/>
      <c r="AT60" s="235"/>
      <c r="AU60" s="235"/>
      <c r="AV60" s="235"/>
      <c r="AW60" s="235"/>
      <c r="AX60" s="235"/>
      <c r="AY60" s="235"/>
      <c r="AZ60" s="235"/>
      <c r="BA60" s="235"/>
      <c r="BB60" s="235"/>
      <c r="BC60" s="235"/>
      <c r="BD60" s="235"/>
      <c r="BE60" s="235"/>
      <c r="BF60" s="235"/>
      <c r="BG60" s="235"/>
      <c r="BH60" s="235"/>
      <c r="BI60" s="235"/>
      <c r="BJ60" s="235"/>
      <c r="BK60" s="235"/>
      <c r="BL60" s="235"/>
      <c r="BM60" s="235"/>
      <c r="BN60" s="235"/>
      <c r="BO60" s="235"/>
      <c r="BP60" s="235"/>
      <c r="BQ60" s="235"/>
      <c r="BR60" s="235"/>
      <c r="BS60" s="235"/>
      <c r="BT60" s="235"/>
      <c r="BU60" s="235"/>
      <c r="BV60" s="235"/>
      <c r="BW60" s="235"/>
      <c r="BX60" s="235"/>
      <c r="BY60" s="235"/>
      <c r="BZ60" s="235"/>
      <c r="CA60" s="235"/>
      <c r="CB60" s="235"/>
      <c r="CC60" s="235"/>
      <c r="CD60" s="235"/>
      <c r="CE60" s="235"/>
      <c r="CF60" s="235"/>
      <c r="CG60" s="235"/>
      <c r="CH60" s="235"/>
      <c r="CI60" s="235"/>
      <c r="CJ60" s="235"/>
      <c r="CK60" s="235"/>
      <c r="CL60" s="235"/>
      <c r="CM60" s="235"/>
      <c r="CN60" s="235"/>
      <c r="CO60" s="235"/>
      <c r="CP60" s="235"/>
      <c r="CQ60" s="235"/>
      <c r="CR60" s="235"/>
      <c r="CS60" s="235"/>
      <c r="CT60" s="235"/>
      <c r="CU60" s="235"/>
      <c r="CV60" s="235"/>
      <c r="CW60" s="235"/>
      <c r="CX60" s="235"/>
      <c r="CY60" s="235"/>
      <c r="CZ60" s="235"/>
      <c r="DA60" s="235"/>
      <c r="DB60" s="235"/>
      <c r="DC60" s="235"/>
      <c r="DD60" s="235"/>
      <c r="DE60" s="235"/>
      <c r="DF60" s="235"/>
      <c r="DG60" s="235"/>
      <c r="DH60" s="235"/>
      <c r="DI60" s="235"/>
      <c r="DJ60" s="235"/>
      <c r="DK60" s="235"/>
      <c r="DL60" s="235"/>
      <c r="DM60" s="235"/>
      <c r="DN60" s="235"/>
      <c r="DO60" s="235"/>
      <c r="DP60" s="235"/>
      <c r="DQ60" s="235"/>
      <c r="DR60" s="235"/>
      <c r="DS60" s="235"/>
      <c r="DT60" s="235"/>
      <c r="DU60" s="235"/>
      <c r="DV60" s="235"/>
      <c r="DW60" s="235"/>
      <c r="DX60" s="235"/>
      <c r="DY60" s="235"/>
      <c r="DZ60" s="235"/>
      <c r="EA60" s="235"/>
      <c r="EB60" s="235"/>
      <c r="EC60" s="235"/>
      <c r="ED60" s="235"/>
      <c r="EE60" s="235"/>
      <c r="EF60" s="235"/>
      <c r="EG60" s="235"/>
      <c r="EH60" s="235"/>
      <c r="EI60" s="235"/>
      <c r="EJ60" s="235"/>
      <c r="EK60" s="235"/>
      <c r="EL60" s="235"/>
      <c r="EM60" s="235"/>
      <c r="EN60" s="235"/>
      <c r="EO60" s="235"/>
      <c r="EP60" s="235"/>
      <c r="EQ60" s="235"/>
      <c r="ER60" s="235"/>
      <c r="ES60" s="235"/>
      <c r="ET60" s="235"/>
      <c r="EU60" s="235"/>
      <c r="EV60" s="235"/>
      <c r="EW60" s="235"/>
      <c r="EX60" s="235"/>
      <c r="EY60" s="235"/>
      <c r="EZ60" s="235"/>
      <c r="FA60" s="235"/>
      <c r="FB60" s="235"/>
      <c r="FC60" s="235"/>
      <c r="FD60" s="235"/>
      <c r="FE60" s="235"/>
      <c r="FF60" s="235"/>
      <c r="FG60" s="235"/>
      <c r="FH60" s="235"/>
      <c r="FI60" s="235"/>
      <c r="FJ60" s="235"/>
      <c r="FK60" s="235"/>
      <c r="FL60" s="235"/>
      <c r="FM60" s="235"/>
      <c r="FN60" s="235"/>
      <c r="FO60" s="235"/>
      <c r="FP60" s="235"/>
      <c r="FQ60" s="235"/>
      <c r="FR60" s="235"/>
      <c r="FS60" s="235"/>
      <c r="FT60" s="235"/>
      <c r="FU60" s="235"/>
      <c r="FV60" s="235"/>
      <c r="FW60" s="235"/>
      <c r="FX60" s="235"/>
      <c r="FY60" s="235"/>
      <c r="FZ60" s="235"/>
      <c r="GA60" s="235"/>
      <c r="GB60" s="235"/>
      <c r="GC60" s="235"/>
      <c r="GD60" s="235"/>
      <c r="GE60" s="235"/>
      <c r="GF60" s="235"/>
      <c r="GG60" s="235"/>
      <c r="GH60" s="235"/>
      <c r="GI60" s="235"/>
      <c r="GJ60" s="235"/>
      <c r="GK60" s="235"/>
      <c r="GL60" s="235"/>
      <c r="GM60" s="235"/>
      <c r="GN60" s="235"/>
      <c r="GO60" s="235"/>
      <c r="GP60" s="235"/>
      <c r="GQ60" s="235"/>
      <c r="GR60" s="235"/>
      <c r="GS60" s="235"/>
      <c r="GT60" s="235"/>
      <c r="GU60" s="235"/>
      <c r="GV60" s="235"/>
      <c r="GW60" s="235"/>
      <c r="GX60" s="235"/>
      <c r="GY60" s="235"/>
      <c r="GZ60" s="235"/>
      <c r="HA60" s="235"/>
      <c r="HB60" s="235"/>
      <c r="HC60" s="235"/>
      <c r="HD60" s="235"/>
      <c r="HE60" s="235"/>
      <c r="HF60" s="235"/>
      <c r="HG60" s="235"/>
      <c r="HH60" s="235"/>
      <c r="HI60" s="235"/>
      <c r="HJ60" s="235"/>
      <c r="HK60" s="235"/>
      <c r="HL60" s="235"/>
      <c r="HM60" s="235"/>
      <c r="HN60" s="235"/>
      <c r="HO60" s="235"/>
      <c r="HP60" s="235"/>
      <c r="HQ60" s="235"/>
      <c r="HR60" s="235"/>
      <c r="HS60" s="235"/>
      <c r="HT60" s="235"/>
      <c r="HU60" s="235"/>
      <c r="HV60" s="235"/>
      <c r="HW60" s="235"/>
      <c r="HX60" s="235"/>
      <c r="HY60" s="235"/>
      <c r="HZ60" s="235"/>
      <c r="IA60" s="235"/>
      <c r="IB60" s="235"/>
      <c r="IC60" s="235"/>
      <c r="ID60" s="235"/>
      <c r="IE60" s="235"/>
      <c r="IF60" s="235"/>
      <c r="IG60" s="235"/>
      <c r="IH60" s="235"/>
      <c r="II60" s="235"/>
      <c r="IJ60" s="235"/>
      <c r="IK60" s="235"/>
      <c r="IL60" s="235"/>
      <c r="IM60" s="235"/>
      <c r="IN60" s="235"/>
      <c r="IO60" s="235"/>
      <c r="IP60" s="235"/>
      <c r="IQ60" s="235"/>
      <c r="IR60" s="235"/>
      <c r="IS60" s="235"/>
      <c r="IT60" s="235"/>
      <c r="IU60" s="235"/>
      <c r="IV60" s="235"/>
      <c r="IW60" s="235"/>
      <c r="IX60" s="235"/>
      <c r="IY60" s="236">
        <v>3</v>
      </c>
      <c r="IZ60" s="237">
        <f>(TEXT(K60,"[m]")/60)*VLOOKUP(IY60,'Income Person-hours'!A$2:C$5,3,FALSE)</f>
        <v>0</v>
      </c>
      <c r="JA60" s="238"/>
      <c r="JB60" s="238"/>
      <c r="JC60" s="238"/>
      <c r="JD60" s="239">
        <f>SUM((TEXT(JA60,"[M]")/60)*'Income Person-hours'!$D$3,(TEXT(JB60,"[M]")/60)*'Income Person-hours'!$D$4,(TEXT(JC60,"[M]")/60)*'Income Person-hours'!$D$5)</f>
        <v>0</v>
      </c>
    </row>
    <row r="61" spans="1:16384" s="240" customFormat="1" ht="18.75" customHeight="1">
      <c r="A61" s="227">
        <v>3.4</v>
      </c>
      <c r="B61" s="241" t="s">
        <v>170</v>
      </c>
      <c r="C61" s="228" t="s">
        <v>79</v>
      </c>
      <c r="D61" s="353" t="str">
        <f>IF(OR(j_WEEKDAY(J_ADDDAY(VLOOKUP(I61,A:F,6,FALSE),H61,1),0)=6,SUMIFS(Holieday[ok],Holieday[date],J_ADDDAY(VLOOKUP(I61,A:F,6,FALSE),H61,1)))=FALSE(),J_ADDDAY(VLOOKUP(I61,A:F,6,FALSE),H61,1),IF(OR(j_WEEKDAY(J_ADDDAY(VLOOKUP(I61,A:F,6,FALSE),H61+1,1),0)=6,SUMIFS(Holieday[ok],Holieday[date],J_ADDDAY(VLOOKUP(I61,A:F,6,FALSE),H61+1,1)))=FALSE(),J_ADDDAY(VLOOKUP(I61,A:F,6,FALSE),H61+1,1),IF(OR(j_WEEKDAY(J_ADDDAY(VLOOKUP(I61,A:F,6,FALSE),H61+2,1),0)=6,SUMIFS(Holieday[ok],Holieday[date],J_ADDDAY(VLOOKUP(I61,A:F,6,FALSE),H61+2,1)))=FALSE(),J_ADDDAY(VLOOKUP(I61,A:F,6,FALSE),H61+2,1),IF(OR(j_WEEKDAY(J_ADDDAY(VLOOKUP(I61,A:F,6,FALSE),H61+3,1),0)=6,SUMIFS(Holieday[ok],Holieday[date],J_ADDDAY(VLOOKUP(I61,A:F,6,FALSE),H61+3,1)))=FALSE(),J_ADDDAY(VLOOKUP(I61,A:F,6,FALSE),H61+3,1),IF(OR(j_WEEKDAY(J_ADDDAY(VLOOKUP(I61,A:F,6,FALSE),H61+4,1),0)=6,SUMIFS(Holieday[ok],Holieday[date],J_ADDDAY(VLOOKUP(I61,A:F,6,FALSE),H61+4,1)))=FALSE(),J_ADDDAY(VLOOKUP(I61,A:F,6,FALSE),H61+4,1),J_ADDDAY(VLOOKUP(I61,A:F,6,FALSE),H61+5,1))))))</f>
        <v>1398/07/17</v>
      </c>
      <c r="E61" s="160">
        <f t="shared" si="15"/>
        <v>13980717</v>
      </c>
      <c r="F61" s="354" t="str">
        <f>IF(N61=0,J_SUBDAY(D61,1,1),IF((N61-(NETWORKDAYS.INTL(J_GregorianDate(D61,1),J_GregorianDate(J_SUBDAY(J_ADDDAY(D61,N61,1),1,1),1),16,1)))+SUMIFS(Holieday[ok],Holieday[date],CONCATENATE("&gt;","=",D61),Holieday[date],CONCATENATE("&lt;","=",J_SUBDAY(J_ADDDAY(D61,N61,1),1,1)))-SUMIFS(Holieday[Friday],Holieday[date],CONCATENATE("&gt;","=",D61),Holieday[date],CONCATENATE("&lt;","=",J_SUBDAY(J_ADDDAY(D61,N61,1),1,1)))=0,J_SUBDAY(J_ADDDAY(D61,N61,1),1,1),IF((N61+1-(NETWORKDAYS.INTL(J_GregorianDate(D61,1),J_GregorianDate(J_SUBDAY(J_ADDDAY(D61,N61+1,1),1,1),1),16,1)))+SUMIFS(Holieday[ok],Holieday[date],CONCATENATE("&gt;","=",D61),Holieday[date],CONCATENATE("&lt;","=",J_SUBDAY(J_ADDDAY(D61,N61+1,1),1,1)))-SUMIFS(Holieday[Friday],Holieday[date],CONCATENATE("&gt;","=",D61),Holieday[date],CONCATENATE("&lt;","=",J_SUBDAY(J_ADDDAY(D61,N61+1,1),1,1)))=1,J_SUBDAY(J_ADDDAY(D61,N61+1,1),1,1),IF((N61+2-(NETWORKDAYS.INTL(J_GregorianDate(D61,1),J_GregorianDate(J_SUBDAY(J_ADDDAY(D61,N61+2,1),1,1),1),16,1)))+SUMIFS(Holieday[ok],Holieday[date],CONCATENATE("&gt;","=",D61),Holieday[date],CONCATENATE("&lt;","=",J_SUBDAY(J_ADDDAY(D61,N61+2,1),1,1)))-SUMIFS(Holieday[Friday],Holieday[date],CONCATENATE("&gt;","=",D61),Holieday[date],CONCATENATE("&lt;","=",J_SUBDAY(J_ADDDAY(D61,N61+2,1),1,1)))=2,J_SUBDAY(J_ADDDAY(D61,N61+2,1),1,1),IF((N61+3-(NETWORKDAYS.INTL(J_GregorianDate(D61,1),J_GregorianDate(J_SUBDAY(J_ADDDAY(D61,N61+3,1),1,1),1),16,1)))+SUMIFS(Holieday[ok],Holieday[date],CONCATENATE("&gt;","=",D61),Holieday[date],CONCATENATE("&lt;","=",J_SUBDAY(J_ADDDAY(D61,N61+3,1),1,1)))-SUMIFS(Holieday[Friday],Holieday[date],CONCATENATE("&gt;","=",D61),Holieday[date],CONCATENATE("&lt;","=",J_SUBDAY(J_ADDDAY(D61,N61+3,1),1,1)))=3,J_SUBDAY(J_ADDDAY(D61,N61+3,1),1,1),IF((N61+4-(NETWORKDAYS.INTL(J_GregorianDate(D61,1),J_GregorianDate(J_SUBDAY(J_ADDDAY(D61,N61+4,1),1,1),1),16,1)))+SUMIFS(Holieday[ok],Holieday[date],CONCATENATE("&gt;","=",D61),Holieday[date],CONCATENATE("&lt;","=",J_SUBDAY(J_ADDDAY(D61,N61+4,1),1,1)))-SUMIFS(Holieday[Friday],Holieday[date],CONCATENATE("&gt;","=",D61),Holieday[date],CONCATENATE("&lt;","=",J_SUBDAY(J_ADDDAY(D61,N61+4,1),1,1)))=4,J_SUBDAY(J_ADDDAY(D61,N61+4,1),1,1),IF((N61+5-(NETWORKDAYS.INTL(J_GregorianDate(D61,1),J_GregorianDate(J_SUBDAY(J_ADDDAY(D61,N61+5,1),1,1),1),16,1)))+SUMIFS(Holieday[ok],Holieday[date],CONCATENATE("&gt;","=",D61),Holieday[date],CONCATENATE("&lt;","=",J_SUBDAY(J_ADDDAY(D61,N61+5,1),1,1)))-SUMIFS(Holieday[Friday],Holieday[date],CONCATENATE("&gt;","=",D61),Holieday[date],CONCATENATE("&lt;","=",J_SUBDAY(J_ADDDAY(D61,N61+5,1),1,1)))=5,J_SUBDAY(J_ADDDAY(D61,N61+5,1),1,1),J_SUBDAY(J_ADDDAY(D61,N61+6,1),1,1))))))))</f>
        <v>1398/07/20</v>
      </c>
      <c r="G61" s="163">
        <f t="shared" si="16"/>
        <v>13980720</v>
      </c>
      <c r="H61" s="230">
        <v>1</v>
      </c>
      <c r="I61" s="231">
        <v>3.3</v>
      </c>
      <c r="J61" s="229">
        <f>j_WEEKDAY(D61,2)</f>
        <v>4</v>
      </c>
      <c r="K61" s="173">
        <f t="shared" si="18"/>
        <v>0</v>
      </c>
      <c r="L61" s="232">
        <v>5</v>
      </c>
      <c r="M61" s="233">
        <v>0</v>
      </c>
      <c r="N61" s="234">
        <v>3</v>
      </c>
      <c r="O61" s="175">
        <f t="shared" si="17"/>
        <v>0</v>
      </c>
      <c r="P61" s="175">
        <f>VALUE(J_normdate(J_ADDDAY($D61,$O61,1)))</f>
        <v>13980717</v>
      </c>
      <c r="Q61" s="171">
        <f t="shared" si="14"/>
        <v>5</v>
      </c>
      <c r="R61" s="235"/>
      <c r="S61" s="235"/>
      <c r="T61" s="235"/>
      <c r="U61" s="235"/>
      <c r="V61" s="235"/>
      <c r="W61" s="235"/>
      <c r="X61" s="235"/>
      <c r="Y61" s="235"/>
      <c r="Z61" s="235"/>
      <c r="AA61" s="235"/>
      <c r="AB61" s="235"/>
      <c r="AC61" s="235"/>
      <c r="AD61" s="235"/>
      <c r="AE61" s="235"/>
      <c r="AF61" s="235"/>
      <c r="AG61" s="235"/>
      <c r="AH61" s="235"/>
      <c r="AI61" s="235"/>
      <c r="AJ61" s="235"/>
      <c r="AK61" s="235"/>
      <c r="AL61" s="235"/>
      <c r="AM61" s="235"/>
      <c r="AN61" s="235"/>
      <c r="AO61" s="235"/>
      <c r="AP61" s="235"/>
      <c r="AQ61" s="235"/>
      <c r="AR61" s="235"/>
      <c r="AS61" s="235"/>
      <c r="AT61" s="235"/>
      <c r="AU61" s="235"/>
      <c r="AV61" s="235"/>
      <c r="AW61" s="235"/>
      <c r="AX61" s="235"/>
      <c r="AY61" s="235"/>
      <c r="AZ61" s="235"/>
      <c r="BA61" s="235"/>
      <c r="BB61" s="235"/>
      <c r="BC61" s="235"/>
      <c r="BD61" s="235"/>
      <c r="BE61" s="235"/>
      <c r="BF61" s="235"/>
      <c r="BG61" s="235"/>
      <c r="BH61" s="235"/>
      <c r="BI61" s="235"/>
      <c r="BJ61" s="235"/>
      <c r="BK61" s="235"/>
      <c r="BL61" s="235"/>
      <c r="BM61" s="235"/>
      <c r="BN61" s="235"/>
      <c r="BO61" s="235"/>
      <c r="BP61" s="235"/>
      <c r="BQ61" s="235"/>
      <c r="BR61" s="235"/>
      <c r="BS61" s="235"/>
      <c r="BT61" s="235"/>
      <c r="BU61" s="235"/>
      <c r="BV61" s="235"/>
      <c r="BW61" s="235"/>
      <c r="BX61" s="235"/>
      <c r="BY61" s="235"/>
      <c r="BZ61" s="235"/>
      <c r="CA61" s="235"/>
      <c r="CB61" s="235"/>
      <c r="CC61" s="235"/>
      <c r="CD61" s="235"/>
      <c r="CE61" s="235"/>
      <c r="CF61" s="235"/>
      <c r="CG61" s="235"/>
      <c r="CH61" s="235"/>
      <c r="CI61" s="235"/>
      <c r="CJ61" s="235"/>
      <c r="CK61" s="235"/>
      <c r="CL61" s="235"/>
      <c r="CM61" s="235"/>
      <c r="CN61" s="235"/>
      <c r="CO61" s="235"/>
      <c r="CP61" s="235"/>
      <c r="CQ61" s="235"/>
      <c r="CR61" s="235"/>
      <c r="CS61" s="235"/>
      <c r="CT61" s="235"/>
      <c r="CU61" s="235"/>
      <c r="CV61" s="235"/>
      <c r="CW61" s="235"/>
      <c r="CX61" s="235"/>
      <c r="CY61" s="235"/>
      <c r="CZ61" s="235"/>
      <c r="DA61" s="235"/>
      <c r="DB61" s="235"/>
      <c r="DC61" s="235"/>
      <c r="DD61" s="235"/>
      <c r="DE61" s="235"/>
      <c r="DF61" s="235"/>
      <c r="DG61" s="235"/>
      <c r="DH61" s="235"/>
      <c r="DI61" s="235"/>
      <c r="DJ61" s="235"/>
      <c r="DK61" s="235"/>
      <c r="DL61" s="235"/>
      <c r="DM61" s="235"/>
      <c r="DN61" s="235"/>
      <c r="DO61" s="235"/>
      <c r="DP61" s="235"/>
      <c r="DQ61" s="235"/>
      <c r="DR61" s="235"/>
      <c r="DS61" s="235"/>
      <c r="DT61" s="235"/>
      <c r="DU61" s="235"/>
      <c r="DV61" s="235"/>
      <c r="DW61" s="235"/>
      <c r="DX61" s="235"/>
      <c r="DY61" s="235"/>
      <c r="DZ61" s="235"/>
      <c r="EA61" s="235"/>
      <c r="EB61" s="235"/>
      <c r="EC61" s="235"/>
      <c r="ED61" s="235"/>
      <c r="EE61" s="235"/>
      <c r="EF61" s="235"/>
      <c r="EG61" s="235"/>
      <c r="EH61" s="235"/>
      <c r="EI61" s="235"/>
      <c r="EJ61" s="235"/>
      <c r="EK61" s="235"/>
      <c r="EL61" s="235"/>
      <c r="EM61" s="235"/>
      <c r="EN61" s="235"/>
      <c r="EO61" s="235"/>
      <c r="EP61" s="235"/>
      <c r="EQ61" s="235"/>
      <c r="ER61" s="235"/>
      <c r="ES61" s="235"/>
      <c r="ET61" s="235"/>
      <c r="EU61" s="235"/>
      <c r="EV61" s="235"/>
      <c r="EW61" s="235"/>
      <c r="EX61" s="235"/>
      <c r="EY61" s="235"/>
      <c r="EZ61" s="235"/>
      <c r="FA61" s="235"/>
      <c r="FB61" s="235"/>
      <c r="FC61" s="235"/>
      <c r="FD61" s="235"/>
      <c r="FE61" s="235"/>
      <c r="FF61" s="235"/>
      <c r="FG61" s="235"/>
      <c r="FH61" s="235"/>
      <c r="FI61" s="235"/>
      <c r="FJ61" s="235"/>
      <c r="FK61" s="235"/>
      <c r="FL61" s="235"/>
      <c r="FM61" s="235"/>
      <c r="FN61" s="235"/>
      <c r="FO61" s="235"/>
      <c r="FP61" s="235"/>
      <c r="FQ61" s="235"/>
      <c r="FR61" s="235"/>
      <c r="FS61" s="235"/>
      <c r="FT61" s="235"/>
      <c r="FU61" s="235"/>
      <c r="FV61" s="235"/>
      <c r="FW61" s="235"/>
      <c r="FX61" s="235"/>
      <c r="FY61" s="235"/>
      <c r="FZ61" s="235"/>
      <c r="GA61" s="235"/>
      <c r="GB61" s="235"/>
      <c r="GC61" s="235"/>
      <c r="GD61" s="235"/>
      <c r="GE61" s="235"/>
      <c r="GF61" s="235"/>
      <c r="GG61" s="235"/>
      <c r="GH61" s="235"/>
      <c r="GI61" s="235"/>
      <c r="GJ61" s="235"/>
      <c r="GK61" s="235"/>
      <c r="GL61" s="235"/>
      <c r="GM61" s="235"/>
      <c r="GN61" s="235"/>
      <c r="GO61" s="235"/>
      <c r="GP61" s="235"/>
      <c r="GQ61" s="235"/>
      <c r="GR61" s="235"/>
      <c r="GS61" s="235"/>
      <c r="GT61" s="235"/>
      <c r="GU61" s="235"/>
      <c r="GV61" s="235"/>
      <c r="GW61" s="235"/>
      <c r="GX61" s="235"/>
      <c r="GY61" s="235"/>
      <c r="GZ61" s="235"/>
      <c r="HA61" s="235"/>
      <c r="HB61" s="235"/>
      <c r="HC61" s="235"/>
      <c r="HD61" s="235"/>
      <c r="HE61" s="235"/>
      <c r="HF61" s="235"/>
      <c r="HG61" s="235"/>
      <c r="HH61" s="235"/>
      <c r="HI61" s="235"/>
      <c r="HJ61" s="235"/>
      <c r="HK61" s="235"/>
      <c r="HL61" s="235"/>
      <c r="HM61" s="235"/>
      <c r="HN61" s="235"/>
      <c r="HO61" s="235"/>
      <c r="HP61" s="235"/>
      <c r="HQ61" s="235"/>
      <c r="HR61" s="235"/>
      <c r="HS61" s="235"/>
      <c r="HT61" s="235"/>
      <c r="HU61" s="235"/>
      <c r="HV61" s="235"/>
      <c r="HW61" s="235"/>
      <c r="HX61" s="235"/>
      <c r="HY61" s="235"/>
      <c r="HZ61" s="235"/>
      <c r="IA61" s="235"/>
      <c r="IB61" s="235"/>
      <c r="IC61" s="235"/>
      <c r="ID61" s="235"/>
      <c r="IE61" s="235"/>
      <c r="IF61" s="235"/>
      <c r="IG61" s="235"/>
      <c r="IH61" s="235"/>
      <c r="II61" s="235"/>
      <c r="IJ61" s="235"/>
      <c r="IK61" s="235"/>
      <c r="IL61" s="235"/>
      <c r="IM61" s="235"/>
      <c r="IN61" s="235"/>
      <c r="IO61" s="235"/>
      <c r="IP61" s="235"/>
      <c r="IQ61" s="235"/>
      <c r="IR61" s="235"/>
      <c r="IS61" s="235"/>
      <c r="IT61" s="235"/>
      <c r="IU61" s="235"/>
      <c r="IV61" s="235"/>
      <c r="IW61" s="235"/>
      <c r="IX61" s="235"/>
      <c r="IY61" s="236">
        <v>3</v>
      </c>
      <c r="IZ61" s="237">
        <f>(TEXT(K61,"[m]")/60)*VLOOKUP(IY61,'Income Person-hours'!A$2:C$5,3,FALSE)</f>
        <v>0</v>
      </c>
      <c r="JA61" s="238"/>
      <c r="JB61" s="238"/>
      <c r="JC61" s="238"/>
      <c r="JD61" s="239">
        <f>SUM((TEXT(JA61,"[M]")/60)*'Income Person-hours'!$D$3,(TEXT(JB61,"[M]")/60)*'Income Person-hours'!$D$4,(TEXT(JC61,"[M]")/60)*'Income Person-hours'!$D$5)</f>
        <v>0</v>
      </c>
    </row>
    <row r="62" spans="1:16384" s="240" customFormat="1" ht="13.5">
      <c r="A62" s="227">
        <v>3.5</v>
      </c>
      <c r="B62" s="241" t="s">
        <v>171</v>
      </c>
      <c r="C62" s="228" t="s">
        <v>79</v>
      </c>
      <c r="D62" s="353" t="str">
        <f>IF(OR(j_WEEKDAY(J_ADDDAY(VLOOKUP(I62,A:F,6,FALSE),H62,1),0)=6,SUMIFS(Holieday[ok],Holieday[date],J_ADDDAY(VLOOKUP(I62,A:F,6,FALSE),H62,1)))=FALSE(),J_ADDDAY(VLOOKUP(I62,A:F,6,FALSE),H62,1),IF(OR(j_WEEKDAY(J_ADDDAY(VLOOKUP(I62,A:F,6,FALSE),H62+1,1),0)=6,SUMIFS(Holieday[ok],Holieday[date],J_ADDDAY(VLOOKUP(I62,A:F,6,FALSE),H62+1,1)))=FALSE(),J_ADDDAY(VLOOKUP(I62,A:F,6,FALSE),H62+1,1),IF(OR(j_WEEKDAY(J_ADDDAY(VLOOKUP(I62,A:F,6,FALSE),H62+2,1),0)=6,SUMIFS(Holieday[ok],Holieday[date],J_ADDDAY(VLOOKUP(I62,A:F,6,FALSE),H62+2,1)))=FALSE(),J_ADDDAY(VLOOKUP(I62,A:F,6,FALSE),H62+2,1),IF(OR(j_WEEKDAY(J_ADDDAY(VLOOKUP(I62,A:F,6,FALSE),H62+3,1),0)=6,SUMIFS(Holieday[ok],Holieday[date],J_ADDDAY(VLOOKUP(I62,A:F,6,FALSE),H62+3,1)))=FALSE(),J_ADDDAY(VLOOKUP(I62,A:F,6,FALSE),H62+3,1),IF(OR(j_WEEKDAY(J_ADDDAY(VLOOKUP(I62,A:F,6,FALSE),H62+4,1),0)=6,SUMIFS(Holieday[ok],Holieday[date],J_ADDDAY(VLOOKUP(I62,A:F,6,FALSE),H62+4,1)))=FALSE(),J_ADDDAY(VLOOKUP(I62,A:F,6,FALSE),H62+4,1),J_ADDDAY(VLOOKUP(I62,A:F,6,FALSE),H62+5,1))))))</f>
        <v>1398/07/21</v>
      </c>
      <c r="E62" s="160">
        <f t="shared" si="15"/>
        <v>13980721</v>
      </c>
      <c r="F62" s="354" t="str">
        <f>IF(N62=0,J_SUBDAY(D62,1,1),IF((N62-(NETWORKDAYS.INTL(J_GregorianDate(D62,1),J_GregorianDate(J_SUBDAY(J_ADDDAY(D62,N62,1),1,1),1),16,1)))+SUMIFS(Holieday[ok],Holieday[date],CONCATENATE("&gt;","=",D62),Holieday[date],CONCATENATE("&lt;","=",J_SUBDAY(J_ADDDAY(D62,N62,1),1,1)))-SUMIFS(Holieday[Friday],Holieday[date],CONCATENATE("&gt;","=",D62),Holieday[date],CONCATENATE("&lt;","=",J_SUBDAY(J_ADDDAY(D62,N62,1),1,1)))=0,J_SUBDAY(J_ADDDAY(D62,N62,1),1,1),IF((N62+1-(NETWORKDAYS.INTL(J_GregorianDate(D62,1),J_GregorianDate(J_SUBDAY(J_ADDDAY(D62,N62+1,1),1,1),1),16,1)))+SUMIFS(Holieday[ok],Holieday[date],CONCATENATE("&gt;","=",D62),Holieday[date],CONCATENATE("&lt;","=",J_SUBDAY(J_ADDDAY(D62,N62+1,1),1,1)))-SUMIFS(Holieday[Friday],Holieday[date],CONCATENATE("&gt;","=",D62),Holieday[date],CONCATENATE("&lt;","=",J_SUBDAY(J_ADDDAY(D62,N62+1,1),1,1)))=1,J_SUBDAY(J_ADDDAY(D62,N62+1,1),1,1),IF((N62+2-(NETWORKDAYS.INTL(J_GregorianDate(D62,1),J_GregorianDate(J_SUBDAY(J_ADDDAY(D62,N62+2,1),1,1),1),16,1)))+SUMIFS(Holieday[ok],Holieday[date],CONCATENATE("&gt;","=",D62),Holieday[date],CONCATENATE("&lt;","=",J_SUBDAY(J_ADDDAY(D62,N62+2,1),1,1)))-SUMIFS(Holieday[Friday],Holieday[date],CONCATENATE("&gt;","=",D62),Holieday[date],CONCATENATE("&lt;","=",J_SUBDAY(J_ADDDAY(D62,N62+2,1),1,1)))=2,J_SUBDAY(J_ADDDAY(D62,N62+2,1),1,1),IF((N62+3-(NETWORKDAYS.INTL(J_GregorianDate(D62,1),J_GregorianDate(J_SUBDAY(J_ADDDAY(D62,N62+3,1),1,1),1),16,1)))+SUMIFS(Holieday[ok],Holieday[date],CONCATENATE("&gt;","=",D62),Holieday[date],CONCATENATE("&lt;","=",J_SUBDAY(J_ADDDAY(D62,N62+3,1),1,1)))-SUMIFS(Holieday[Friday],Holieday[date],CONCATENATE("&gt;","=",D62),Holieday[date],CONCATENATE("&lt;","=",J_SUBDAY(J_ADDDAY(D62,N62+3,1),1,1)))=3,J_SUBDAY(J_ADDDAY(D62,N62+3,1),1,1),IF((N62+4-(NETWORKDAYS.INTL(J_GregorianDate(D62,1),J_GregorianDate(J_SUBDAY(J_ADDDAY(D62,N62+4,1),1,1),1),16,1)))+SUMIFS(Holieday[ok],Holieday[date],CONCATENATE("&gt;","=",D62),Holieday[date],CONCATENATE("&lt;","=",J_SUBDAY(J_ADDDAY(D62,N62+4,1),1,1)))-SUMIFS(Holieday[Friday],Holieday[date],CONCATENATE("&gt;","=",D62),Holieday[date],CONCATENATE("&lt;","=",J_SUBDAY(J_ADDDAY(D62,N62+4,1),1,1)))=4,J_SUBDAY(J_ADDDAY(D62,N62+4,1),1,1),IF((N62+5-(NETWORKDAYS.INTL(J_GregorianDate(D62,1),J_GregorianDate(J_SUBDAY(J_ADDDAY(D62,N62+5,1),1,1),1),16,1)))+SUMIFS(Holieday[ok],Holieday[date],CONCATENATE("&gt;","=",D62),Holieday[date],CONCATENATE("&lt;","=",J_SUBDAY(J_ADDDAY(D62,N62+5,1),1,1)))-SUMIFS(Holieday[Friday],Holieday[date],CONCATENATE("&gt;","=",D62),Holieday[date],CONCATENATE("&lt;","=",J_SUBDAY(J_ADDDAY(D62,N62+5,1),1,1)))=5,J_SUBDAY(J_ADDDAY(D62,N62+5,1),1,1),J_SUBDAY(J_ADDDAY(D62,N62+6,1),1,1))))))))</f>
        <v>1398/07/23</v>
      </c>
      <c r="G62" s="163">
        <f t="shared" si="16"/>
        <v>13980723</v>
      </c>
      <c r="H62" s="230">
        <v>1</v>
      </c>
      <c r="I62" s="231">
        <v>3.4</v>
      </c>
      <c r="J62" s="229">
        <f>j_WEEKDAY(D62,2)</f>
        <v>1</v>
      </c>
      <c r="K62" s="173">
        <f>SUM(JA62:JC62)</f>
        <v>0</v>
      </c>
      <c r="L62" s="232">
        <f t="shared" si="19"/>
        <v>3</v>
      </c>
      <c r="M62" s="233">
        <v>0</v>
      </c>
      <c r="N62" s="234">
        <v>3</v>
      </c>
      <c r="O62" s="175">
        <f t="shared" si="17"/>
        <v>0</v>
      </c>
      <c r="P62" s="175">
        <f>VALUE(J_normdate(J_ADDDAY($D62,$O62,1)))</f>
        <v>13980721</v>
      </c>
      <c r="Q62" s="171">
        <f t="shared" si="14"/>
        <v>3</v>
      </c>
      <c r="R62" s="235"/>
      <c r="S62" s="235"/>
      <c r="T62" s="235"/>
      <c r="U62" s="235"/>
      <c r="V62" s="235"/>
      <c r="W62" s="235"/>
      <c r="X62" s="235"/>
      <c r="Y62" s="235"/>
      <c r="Z62" s="235"/>
      <c r="AA62" s="235"/>
      <c r="AB62" s="235"/>
      <c r="AC62" s="235"/>
      <c r="AD62" s="235"/>
      <c r="AE62" s="235"/>
      <c r="AF62" s="235"/>
      <c r="AG62" s="235"/>
      <c r="AH62" s="235"/>
      <c r="AI62" s="235"/>
      <c r="AJ62" s="235"/>
      <c r="AK62" s="235"/>
      <c r="AL62" s="235"/>
      <c r="AM62" s="235"/>
      <c r="AN62" s="235"/>
      <c r="AO62" s="235"/>
      <c r="AP62" s="235"/>
      <c r="AQ62" s="235"/>
      <c r="AR62" s="235"/>
      <c r="AS62" s="235"/>
      <c r="AT62" s="235"/>
      <c r="AU62" s="235"/>
      <c r="AV62" s="235"/>
      <c r="AW62" s="235"/>
      <c r="AX62" s="235"/>
      <c r="AY62" s="235"/>
      <c r="AZ62" s="235"/>
      <c r="BA62" s="235"/>
      <c r="BB62" s="235"/>
      <c r="BC62" s="235"/>
      <c r="BD62" s="235"/>
      <c r="BE62" s="235"/>
      <c r="BF62" s="235"/>
      <c r="BG62" s="235"/>
      <c r="BH62" s="235"/>
      <c r="BI62" s="235"/>
      <c r="BJ62" s="235"/>
      <c r="BK62" s="235"/>
      <c r="BL62" s="235"/>
      <c r="BM62" s="235"/>
      <c r="BN62" s="235"/>
      <c r="BO62" s="235"/>
      <c r="BP62" s="235"/>
      <c r="BQ62" s="235"/>
      <c r="BR62" s="235"/>
      <c r="BS62" s="235"/>
      <c r="BT62" s="235"/>
      <c r="BU62" s="235"/>
      <c r="BV62" s="235"/>
      <c r="BW62" s="235"/>
      <c r="BX62" s="235"/>
      <c r="BY62" s="235"/>
      <c r="BZ62" s="235"/>
      <c r="CA62" s="235"/>
      <c r="CB62" s="235"/>
      <c r="CC62" s="235"/>
      <c r="CD62" s="235"/>
      <c r="CE62" s="235"/>
      <c r="CF62" s="235"/>
      <c r="CG62" s="235"/>
      <c r="CH62" s="235"/>
      <c r="CI62" s="235"/>
      <c r="CJ62" s="235"/>
      <c r="CK62" s="235"/>
      <c r="CL62" s="235"/>
      <c r="CM62" s="235"/>
      <c r="CN62" s="235"/>
      <c r="CO62" s="235"/>
      <c r="CP62" s="235"/>
      <c r="CQ62" s="235"/>
      <c r="CR62" s="235"/>
      <c r="CS62" s="235"/>
      <c r="CT62" s="235"/>
      <c r="CU62" s="235"/>
      <c r="CV62" s="235"/>
      <c r="CW62" s="235"/>
      <c r="CX62" s="235"/>
      <c r="CY62" s="235"/>
      <c r="CZ62" s="235"/>
      <c r="DA62" s="235"/>
      <c r="DB62" s="235"/>
      <c r="DC62" s="235"/>
      <c r="DD62" s="235"/>
      <c r="DE62" s="235"/>
      <c r="DF62" s="235"/>
      <c r="DG62" s="235"/>
      <c r="DH62" s="235"/>
      <c r="DI62" s="235"/>
      <c r="DJ62" s="235"/>
      <c r="DK62" s="235"/>
      <c r="DL62" s="235"/>
      <c r="DM62" s="235"/>
      <c r="DN62" s="235"/>
      <c r="DO62" s="235"/>
      <c r="DP62" s="235"/>
      <c r="DQ62" s="235"/>
      <c r="DR62" s="235"/>
      <c r="DS62" s="235"/>
      <c r="DT62" s="235"/>
      <c r="DU62" s="235"/>
      <c r="DV62" s="235"/>
      <c r="DW62" s="235"/>
      <c r="DX62" s="235"/>
      <c r="DY62" s="235"/>
      <c r="DZ62" s="235"/>
      <c r="EA62" s="235"/>
      <c r="EB62" s="235"/>
      <c r="EC62" s="235"/>
      <c r="ED62" s="235"/>
      <c r="EE62" s="235"/>
      <c r="EF62" s="235"/>
      <c r="EG62" s="235"/>
      <c r="EH62" s="235"/>
      <c r="EI62" s="235"/>
      <c r="EJ62" s="235"/>
      <c r="EK62" s="235"/>
      <c r="EL62" s="235"/>
      <c r="EM62" s="235"/>
      <c r="EN62" s="235"/>
      <c r="EO62" s="235"/>
      <c r="EP62" s="235"/>
      <c r="EQ62" s="235"/>
      <c r="ER62" s="235"/>
      <c r="ES62" s="235"/>
      <c r="ET62" s="235"/>
      <c r="EU62" s="235"/>
      <c r="EV62" s="235"/>
      <c r="EW62" s="235"/>
      <c r="EX62" s="235"/>
      <c r="EY62" s="235"/>
      <c r="EZ62" s="235"/>
      <c r="FA62" s="235"/>
      <c r="FB62" s="235"/>
      <c r="FC62" s="235"/>
      <c r="FD62" s="235"/>
      <c r="FE62" s="235"/>
      <c r="FF62" s="235"/>
      <c r="FG62" s="235"/>
      <c r="FH62" s="235"/>
      <c r="FI62" s="235"/>
      <c r="FJ62" s="235"/>
      <c r="FK62" s="235"/>
      <c r="FL62" s="235"/>
      <c r="FM62" s="235"/>
      <c r="FN62" s="235"/>
      <c r="FO62" s="235"/>
      <c r="FP62" s="235"/>
      <c r="FQ62" s="235"/>
      <c r="FR62" s="235"/>
      <c r="FS62" s="235"/>
      <c r="FT62" s="235"/>
      <c r="FU62" s="235"/>
      <c r="FV62" s="235"/>
      <c r="FW62" s="235"/>
      <c r="FX62" s="235"/>
      <c r="FY62" s="235"/>
      <c r="FZ62" s="235"/>
      <c r="GA62" s="235"/>
      <c r="GB62" s="235"/>
      <c r="GC62" s="235"/>
      <c r="GD62" s="235"/>
      <c r="GE62" s="235"/>
      <c r="GF62" s="235"/>
      <c r="GG62" s="235"/>
      <c r="GH62" s="235"/>
      <c r="GI62" s="235"/>
      <c r="GJ62" s="235"/>
      <c r="GK62" s="235"/>
      <c r="GL62" s="235"/>
      <c r="GM62" s="235"/>
      <c r="GN62" s="235"/>
      <c r="GO62" s="235"/>
      <c r="GP62" s="235"/>
      <c r="GQ62" s="235"/>
      <c r="GR62" s="235"/>
      <c r="GS62" s="235"/>
      <c r="GT62" s="235"/>
      <c r="GU62" s="235"/>
      <c r="GV62" s="235"/>
      <c r="GW62" s="235"/>
      <c r="GX62" s="235"/>
      <c r="GY62" s="235"/>
      <c r="GZ62" s="235"/>
      <c r="HA62" s="235"/>
      <c r="HB62" s="235"/>
      <c r="HC62" s="235"/>
      <c r="HD62" s="235"/>
      <c r="HE62" s="235"/>
      <c r="HF62" s="235"/>
      <c r="HG62" s="235"/>
      <c r="HH62" s="235"/>
      <c r="HI62" s="235"/>
      <c r="HJ62" s="235"/>
      <c r="HK62" s="235"/>
      <c r="HL62" s="235"/>
      <c r="HM62" s="235"/>
      <c r="HN62" s="235"/>
      <c r="HO62" s="235"/>
      <c r="HP62" s="235"/>
      <c r="HQ62" s="235"/>
      <c r="HR62" s="235"/>
      <c r="HS62" s="235"/>
      <c r="HT62" s="235"/>
      <c r="HU62" s="235"/>
      <c r="HV62" s="235"/>
      <c r="HW62" s="235"/>
      <c r="HX62" s="235"/>
      <c r="HY62" s="235"/>
      <c r="HZ62" s="235"/>
      <c r="IA62" s="235"/>
      <c r="IB62" s="235"/>
      <c r="IC62" s="235"/>
      <c r="ID62" s="235"/>
      <c r="IE62" s="235"/>
      <c r="IF62" s="235"/>
      <c r="IG62" s="235"/>
      <c r="IH62" s="235"/>
      <c r="II62" s="235"/>
      <c r="IJ62" s="235"/>
      <c r="IK62" s="235"/>
      <c r="IL62" s="235"/>
      <c r="IM62" s="235"/>
      <c r="IN62" s="235"/>
      <c r="IO62" s="235"/>
      <c r="IP62" s="235"/>
      <c r="IQ62" s="235"/>
      <c r="IR62" s="235"/>
      <c r="IS62" s="235"/>
      <c r="IT62" s="235"/>
      <c r="IU62" s="235"/>
      <c r="IV62" s="235"/>
      <c r="IW62" s="235"/>
      <c r="IX62" s="235"/>
      <c r="IY62" s="236">
        <v>2</v>
      </c>
      <c r="IZ62" s="237">
        <f>(TEXT(K62,"[m]")/60)*VLOOKUP(IY62,'Income Person-hours'!A$2:C$5,3,FALSE)</f>
        <v>0</v>
      </c>
      <c r="JA62" s="238"/>
      <c r="JB62" s="238"/>
      <c r="JC62" s="238"/>
      <c r="JD62" s="239">
        <f>SUM((TEXT(JA62,"[M]")/60)*'Income Person-hours'!$D$3,(TEXT(JB62,"[M]")/60)*'Income Person-hours'!$D$4,(TEXT(JC62,"[M]")/60)*'Income Person-hours'!$D$5)</f>
        <v>0</v>
      </c>
    </row>
    <row r="63" spans="1:16384" s="240" customFormat="1" ht="15.75" customHeight="1">
      <c r="A63" s="252">
        <v>3.6</v>
      </c>
      <c r="B63" s="241" t="s">
        <v>172</v>
      </c>
      <c r="C63" s="228" t="s">
        <v>79</v>
      </c>
      <c r="D63" s="235" t="str">
        <f>IF(OR(j_WEEKDAY(J_ADDDAY(VLOOKUP(I63,A:F,6,FALSE),H63,1),0)=6,SUMIFS(Holieday[ok],Holieday[date],J_ADDDAY(VLOOKUP(I63,A:F,6,FALSE),H63,1)))=FALSE(),J_ADDDAY(VLOOKUP(I63,A:F,6,FALSE),H63,1),IF(OR(j_WEEKDAY(J_ADDDAY(VLOOKUP(I63,A:F,6,FALSE),H63+1,1),0)=6,SUMIFS(Holieday[ok],Holieday[date],J_ADDDAY(VLOOKUP(I63,A:F,6,FALSE),H63+1,1)))=FALSE(),J_ADDDAY(VLOOKUP(I63,A:F,6,FALSE),H63+1,1),IF(OR(j_WEEKDAY(J_ADDDAY(VLOOKUP(I63,A:F,6,FALSE),H63+2,1),0)=6,SUMIFS(Holieday[ok],Holieday[date],J_ADDDAY(VLOOKUP(I63,A:F,6,FALSE),H63+2,1)))=FALSE(),J_ADDDAY(VLOOKUP(I63,A:F,6,FALSE),H63+2,1),IF(OR(j_WEEKDAY(J_ADDDAY(VLOOKUP(I63,A:F,6,FALSE),H63+3,1),0)=6,SUMIFS(Holieday[ok],Holieday[date],J_ADDDAY(VLOOKUP(I63,A:F,6,FALSE),H63+3,1)))=FALSE(),J_ADDDAY(VLOOKUP(I63,A:F,6,FALSE),H63+3,1),IF(OR(j_WEEKDAY(J_ADDDAY(VLOOKUP(I63,A:F,6,FALSE),H63+4,1),0)=6,SUMIFS(Holieday[ok],Holieday[date],J_ADDDAY(VLOOKUP(I63,A:F,6,FALSE),H63+4,1)))=FALSE(),J_ADDDAY(VLOOKUP(I63,A:F,6,FALSE),H63+4,1),J_ADDDAY(VLOOKUP(I63,A:F,6,FALSE),H63+5,1))))))</f>
        <v>1398/07/24</v>
      </c>
      <c r="E63" s="160">
        <f t="shared" si="15"/>
        <v>13980724</v>
      </c>
      <c r="F63" s="244" t="str">
        <f>IF(N63=0,J_SUBDAY(D63,1,1),IF((N63-(NETWORKDAYS.INTL(J_GregorianDate(D63,1),J_GregorianDate(J_SUBDAY(J_ADDDAY(D63,N63,1),1,1),1),16,1)))+SUMIFS(Holieday[ok],Holieday[date],CONCATENATE("&gt;","=",D63),Holieday[date],CONCATENATE("&lt;","=",J_SUBDAY(J_ADDDAY(D63,N63,1),1,1)))-SUMIFS(Holieday[Friday],Holieday[date],CONCATENATE("&gt;","=",D63),Holieday[date],CONCATENATE("&lt;","=",J_SUBDAY(J_ADDDAY(D63,N63,1),1,1)))=0,J_SUBDAY(J_ADDDAY(D63,N63,1),1,1),IF((N63+1-(NETWORKDAYS.INTL(J_GregorianDate(D63,1),J_GregorianDate(J_SUBDAY(J_ADDDAY(D63,N63+1,1),1,1),1),16,1)))+SUMIFS(Holieday[ok],Holieday[date],CONCATENATE("&gt;","=",D63),Holieday[date],CONCATENATE("&lt;","=",J_SUBDAY(J_ADDDAY(D63,N63+1,1),1,1)))-SUMIFS(Holieday[Friday],Holieday[date],CONCATENATE("&gt;","=",D63),Holieday[date],CONCATENATE("&lt;","=",J_SUBDAY(J_ADDDAY(D63,N63+1,1),1,1)))=1,J_SUBDAY(J_ADDDAY(D63,N63+1,1),1,1),IF((N63+2-(NETWORKDAYS.INTL(J_GregorianDate(D63,1),J_GregorianDate(J_SUBDAY(J_ADDDAY(D63,N63+2,1),1,1),1),16,1)))+SUMIFS(Holieday[ok],Holieday[date],CONCATENATE("&gt;","=",D63),Holieday[date],CONCATENATE("&lt;","=",J_SUBDAY(J_ADDDAY(D63,N63+2,1),1,1)))-SUMIFS(Holieday[Friday],Holieday[date],CONCATENATE("&gt;","=",D63),Holieday[date],CONCATENATE("&lt;","=",J_SUBDAY(J_ADDDAY(D63,N63+2,1),1,1)))=2,J_SUBDAY(J_ADDDAY(D63,N63+2,1),1,1),IF((N63+3-(NETWORKDAYS.INTL(J_GregorianDate(D63,1),J_GregorianDate(J_SUBDAY(J_ADDDAY(D63,N63+3,1),1,1),1),16,1)))+SUMIFS(Holieday[ok],Holieday[date],CONCATENATE("&gt;","=",D63),Holieday[date],CONCATENATE("&lt;","=",J_SUBDAY(J_ADDDAY(D63,N63+3,1),1,1)))-SUMIFS(Holieday[Friday],Holieday[date],CONCATENATE("&gt;","=",D63),Holieday[date],CONCATENATE("&lt;","=",J_SUBDAY(J_ADDDAY(D63,N63+3,1),1,1)))=3,J_SUBDAY(J_ADDDAY(D63,N63+3,1),1,1),IF((N63+4-(NETWORKDAYS.INTL(J_GregorianDate(D63,1),J_GregorianDate(J_SUBDAY(J_ADDDAY(D63,N63+4,1),1,1),1),16,1)))+SUMIFS(Holieday[ok],Holieday[date],CONCATENATE("&gt;","=",D63),Holieday[date],CONCATENATE("&lt;","=",J_SUBDAY(J_ADDDAY(D63,N63+4,1),1,1)))-SUMIFS(Holieday[Friday],Holieday[date],CONCATENATE("&gt;","=",D63),Holieday[date],CONCATENATE("&lt;","=",J_SUBDAY(J_ADDDAY(D63,N63+4,1),1,1)))=4,J_SUBDAY(J_ADDDAY(D63,N63+4,1),1,1),IF((N63+5-(NETWORKDAYS.INTL(J_GregorianDate(D63,1),J_GregorianDate(J_SUBDAY(J_ADDDAY(D63,N63+5,1),1,1),1),16,1)))+SUMIFS(Holieday[ok],Holieday[date],CONCATENATE("&gt;","=",D63),Holieday[date],CONCATENATE("&lt;","=",J_SUBDAY(J_ADDDAY(D63,N63+5,1),1,1)))-SUMIFS(Holieday[Friday],Holieday[date],CONCATENATE("&gt;","=",D63),Holieday[date],CONCATENATE("&lt;","=",J_SUBDAY(J_ADDDAY(D63,N63+5,1),1,1)))=5,J_SUBDAY(J_ADDDAY(D63,N63+5,1),1,1),J_SUBDAY(J_ADDDAY(D63,N63+6,1),1,1))))))))</f>
        <v>1398/07/28</v>
      </c>
      <c r="G63" s="163">
        <f t="shared" si="16"/>
        <v>13980728</v>
      </c>
      <c r="H63" s="230">
        <v>1</v>
      </c>
      <c r="I63" s="231">
        <v>3.5</v>
      </c>
      <c r="J63" s="229">
        <f>j_WEEKDAY(D63,2)</f>
        <v>4</v>
      </c>
      <c r="K63" s="173">
        <f>SUM(JA63:JC63)</f>
        <v>0</v>
      </c>
      <c r="L63" s="232">
        <f t="shared" si="19"/>
        <v>5</v>
      </c>
      <c r="M63" s="233">
        <v>0</v>
      </c>
      <c r="N63" s="234">
        <v>3</v>
      </c>
      <c r="O63" s="175">
        <f t="shared" si="17"/>
        <v>0</v>
      </c>
      <c r="P63" s="175">
        <f>VALUE(J_normdate(J_ADDDAY($D63,$O63,1)))</f>
        <v>13980724</v>
      </c>
      <c r="Q63" s="171">
        <f t="shared" si="14"/>
        <v>5</v>
      </c>
      <c r="R63" s="235"/>
      <c r="S63" s="235"/>
      <c r="T63" s="235"/>
      <c r="U63" s="235"/>
      <c r="V63" s="235"/>
      <c r="W63" s="235"/>
      <c r="X63" s="235"/>
      <c r="Y63" s="235"/>
      <c r="Z63" s="235"/>
      <c r="AA63" s="235"/>
      <c r="AB63" s="235"/>
      <c r="AC63" s="235"/>
      <c r="AD63" s="235"/>
      <c r="AE63" s="235"/>
      <c r="AF63" s="235"/>
      <c r="AG63" s="235"/>
      <c r="AH63" s="235"/>
      <c r="AI63" s="235"/>
      <c r="AJ63" s="235"/>
      <c r="AK63" s="235"/>
      <c r="AL63" s="235"/>
      <c r="AM63" s="235"/>
      <c r="AN63" s="235"/>
      <c r="AO63" s="235"/>
      <c r="AP63" s="235"/>
      <c r="AQ63" s="235"/>
      <c r="AR63" s="235"/>
      <c r="AS63" s="235"/>
      <c r="AT63" s="235"/>
      <c r="AU63" s="235"/>
      <c r="AV63" s="235"/>
      <c r="AW63" s="235"/>
      <c r="AX63" s="235"/>
      <c r="AY63" s="235"/>
      <c r="AZ63" s="235"/>
      <c r="BA63" s="235"/>
      <c r="BB63" s="235"/>
      <c r="BC63" s="235"/>
      <c r="BD63" s="235"/>
      <c r="BE63" s="235"/>
      <c r="BF63" s="235"/>
      <c r="BG63" s="235"/>
      <c r="BH63" s="235"/>
      <c r="BI63" s="235"/>
      <c r="BJ63" s="235"/>
      <c r="BK63" s="235"/>
      <c r="BL63" s="235"/>
      <c r="BM63" s="235"/>
      <c r="BN63" s="235"/>
      <c r="BO63" s="235"/>
      <c r="BP63" s="235"/>
      <c r="BQ63" s="235"/>
      <c r="BR63" s="235"/>
      <c r="BS63" s="235"/>
      <c r="BT63" s="235"/>
      <c r="BU63" s="235"/>
      <c r="BV63" s="235"/>
      <c r="BW63" s="235"/>
      <c r="BX63" s="235"/>
      <c r="BY63" s="235"/>
      <c r="BZ63" s="235"/>
      <c r="CA63" s="235"/>
      <c r="CB63" s="235"/>
      <c r="CC63" s="235"/>
      <c r="CD63" s="235"/>
      <c r="CE63" s="235"/>
      <c r="CF63" s="235"/>
      <c r="CG63" s="235"/>
      <c r="CH63" s="235"/>
      <c r="CI63" s="235"/>
      <c r="CJ63" s="235"/>
      <c r="CK63" s="235"/>
      <c r="CL63" s="235"/>
      <c r="CM63" s="235"/>
      <c r="CN63" s="235"/>
      <c r="CO63" s="235"/>
      <c r="CP63" s="235"/>
      <c r="CQ63" s="235"/>
      <c r="CR63" s="235"/>
      <c r="CS63" s="235"/>
      <c r="CT63" s="235"/>
      <c r="CU63" s="235"/>
      <c r="CV63" s="235"/>
      <c r="CW63" s="235"/>
      <c r="CX63" s="235"/>
      <c r="CY63" s="235"/>
      <c r="CZ63" s="235"/>
      <c r="DA63" s="235"/>
      <c r="DB63" s="235"/>
      <c r="DC63" s="235"/>
      <c r="DD63" s="235"/>
      <c r="DE63" s="235"/>
      <c r="DF63" s="235"/>
      <c r="DG63" s="235"/>
      <c r="DH63" s="235"/>
      <c r="DI63" s="235"/>
      <c r="DJ63" s="235"/>
      <c r="DK63" s="235"/>
      <c r="DL63" s="235"/>
      <c r="DM63" s="235"/>
      <c r="DN63" s="235"/>
      <c r="DO63" s="235"/>
      <c r="DP63" s="235"/>
      <c r="DQ63" s="235"/>
      <c r="DR63" s="235"/>
      <c r="DS63" s="235"/>
      <c r="DT63" s="235"/>
      <c r="DU63" s="235"/>
      <c r="DV63" s="235"/>
      <c r="DW63" s="235"/>
      <c r="DX63" s="235"/>
      <c r="DY63" s="235"/>
      <c r="DZ63" s="235"/>
      <c r="EA63" s="235"/>
      <c r="EB63" s="235"/>
      <c r="EC63" s="235"/>
      <c r="ED63" s="235"/>
      <c r="EE63" s="235"/>
      <c r="EF63" s="235"/>
      <c r="EG63" s="235"/>
      <c r="EH63" s="235"/>
      <c r="EI63" s="235"/>
      <c r="EJ63" s="235"/>
      <c r="EK63" s="235"/>
      <c r="EL63" s="235"/>
      <c r="EM63" s="235"/>
      <c r="EN63" s="235"/>
      <c r="EO63" s="235"/>
      <c r="EP63" s="235"/>
      <c r="EQ63" s="235"/>
      <c r="ER63" s="235"/>
      <c r="ES63" s="235"/>
      <c r="ET63" s="235"/>
      <c r="EU63" s="235"/>
      <c r="EV63" s="235"/>
      <c r="EW63" s="235"/>
      <c r="EX63" s="235"/>
      <c r="EY63" s="235"/>
      <c r="EZ63" s="235"/>
      <c r="FA63" s="235"/>
      <c r="FB63" s="235"/>
      <c r="FC63" s="235"/>
      <c r="FD63" s="235"/>
      <c r="FE63" s="235"/>
      <c r="FF63" s="235"/>
      <c r="FG63" s="235"/>
      <c r="FH63" s="235"/>
      <c r="FI63" s="235"/>
      <c r="FJ63" s="235"/>
      <c r="FK63" s="235"/>
      <c r="FL63" s="235"/>
      <c r="FM63" s="235"/>
      <c r="FN63" s="235"/>
      <c r="FO63" s="235"/>
      <c r="FP63" s="235"/>
      <c r="FQ63" s="235"/>
      <c r="FR63" s="235"/>
      <c r="FS63" s="235"/>
      <c r="FT63" s="235"/>
      <c r="FU63" s="235"/>
      <c r="FV63" s="235"/>
      <c r="FW63" s="235"/>
      <c r="FX63" s="235"/>
      <c r="FY63" s="235"/>
      <c r="FZ63" s="235"/>
      <c r="GA63" s="235"/>
      <c r="GB63" s="235"/>
      <c r="GC63" s="235"/>
      <c r="GD63" s="235"/>
      <c r="GE63" s="235"/>
      <c r="GF63" s="235"/>
      <c r="GG63" s="235"/>
      <c r="GH63" s="235"/>
      <c r="GI63" s="235"/>
      <c r="GJ63" s="235"/>
      <c r="GK63" s="235"/>
      <c r="GL63" s="235"/>
      <c r="GM63" s="235"/>
      <c r="GN63" s="235"/>
      <c r="GO63" s="235"/>
      <c r="GP63" s="235"/>
      <c r="GQ63" s="235"/>
      <c r="GR63" s="235"/>
      <c r="GS63" s="235"/>
      <c r="GT63" s="235"/>
      <c r="GU63" s="235"/>
      <c r="GV63" s="235"/>
      <c r="GW63" s="235"/>
      <c r="GX63" s="235"/>
      <c r="GY63" s="235"/>
      <c r="GZ63" s="235"/>
      <c r="HA63" s="235"/>
      <c r="HB63" s="235"/>
      <c r="HC63" s="235"/>
      <c r="HD63" s="235"/>
      <c r="HE63" s="235"/>
      <c r="HF63" s="235"/>
      <c r="HG63" s="235"/>
      <c r="HH63" s="235"/>
      <c r="HI63" s="235"/>
      <c r="HJ63" s="235"/>
      <c r="HK63" s="235"/>
      <c r="HL63" s="235"/>
      <c r="HM63" s="235"/>
      <c r="HN63" s="235"/>
      <c r="HO63" s="235"/>
      <c r="HP63" s="235"/>
      <c r="HQ63" s="235"/>
      <c r="HR63" s="235"/>
      <c r="HS63" s="235"/>
      <c r="HT63" s="235"/>
      <c r="HU63" s="235"/>
      <c r="HV63" s="235"/>
      <c r="HW63" s="235"/>
      <c r="HX63" s="235"/>
      <c r="HY63" s="235"/>
      <c r="HZ63" s="235"/>
      <c r="IA63" s="235"/>
      <c r="IB63" s="235"/>
      <c r="IC63" s="235"/>
      <c r="ID63" s="235"/>
      <c r="IE63" s="235"/>
      <c r="IF63" s="235"/>
      <c r="IG63" s="235"/>
      <c r="IH63" s="235"/>
      <c r="II63" s="235"/>
      <c r="IJ63" s="235"/>
      <c r="IK63" s="235"/>
      <c r="IL63" s="235"/>
      <c r="IM63" s="235"/>
      <c r="IN63" s="235"/>
      <c r="IO63" s="235"/>
      <c r="IP63" s="235"/>
      <c r="IQ63" s="235"/>
      <c r="IR63" s="235"/>
      <c r="IS63" s="235"/>
      <c r="IT63" s="235"/>
      <c r="IU63" s="235"/>
      <c r="IV63" s="235"/>
      <c r="IW63" s="235"/>
      <c r="IX63" s="235"/>
      <c r="IY63" s="236">
        <v>3</v>
      </c>
      <c r="IZ63" s="237">
        <f>(TEXT(K63,"[m]")/60)*VLOOKUP(IY63,'Income Person-hours'!A$2:C$5,3,FALSE)</f>
        <v>0</v>
      </c>
      <c r="JA63" s="238"/>
      <c r="JB63" s="238"/>
      <c r="JC63" s="238"/>
      <c r="JD63" s="239">
        <f>SUM((TEXT(JA63,"[M]")/60)*'Income Person-hours'!$D$3,(TEXT(JB63,"[M]")/60)*'Income Person-hours'!$D$4,(TEXT(JC63,"[M]")/60)*'Income Person-hours'!$D$5)</f>
        <v>0</v>
      </c>
    </row>
    <row r="64" spans="1:16384" s="255" customFormat="1" ht="13.5">
      <c r="A64" s="227">
        <v>3.7</v>
      </c>
      <c r="B64" s="241" t="s">
        <v>158</v>
      </c>
      <c r="C64" s="228" t="s">
        <v>79</v>
      </c>
      <c r="D64" s="235" t="str">
        <f>IF(OR(j_WEEKDAY(J_ADDDAY(VLOOKUP(I64,A:F,6,FALSE),H64,1),0)=6,SUMIFS(Holieday[ok],Holieday[date],J_ADDDAY(VLOOKUP(I64,A:F,6,FALSE),H64,1)))=FALSE(),J_ADDDAY(VLOOKUP(I64,A:F,6,FALSE),H64,1),IF(OR(j_WEEKDAY(J_ADDDAY(VLOOKUP(I64,A:F,6,FALSE),H64+1,1),0)=6,SUMIFS(Holieday[ok],Holieday[date],J_ADDDAY(VLOOKUP(I64,A:F,6,FALSE),H64+1,1)))=FALSE(),J_ADDDAY(VLOOKUP(I64,A:F,6,FALSE),H64+1,1),IF(OR(j_WEEKDAY(J_ADDDAY(VLOOKUP(I64,A:F,6,FALSE),H64+2,1),0)=6,SUMIFS(Holieday[ok],Holieday[date],J_ADDDAY(VLOOKUP(I64,A:F,6,FALSE),H64+2,1)))=FALSE(),J_ADDDAY(VLOOKUP(I64,A:F,6,FALSE),H64+2,1),IF(OR(j_WEEKDAY(J_ADDDAY(VLOOKUP(I64,A:F,6,FALSE),H64+3,1),0)=6,SUMIFS(Holieday[ok],Holieday[date],J_ADDDAY(VLOOKUP(I64,A:F,6,FALSE),H64+3,1)))=FALSE(),J_ADDDAY(VLOOKUP(I64,A:F,6,FALSE),H64+3,1),IF(OR(j_WEEKDAY(J_ADDDAY(VLOOKUP(I64,A:F,6,FALSE),H64+4,1),0)=6,SUMIFS(Holieday[ok],Holieday[date],J_ADDDAY(VLOOKUP(I64,A:F,6,FALSE),H64+4,1)))=FALSE(),J_ADDDAY(VLOOKUP(I64,A:F,6,FALSE),H64+4,1),J_ADDDAY(VLOOKUP(I64,A:F,6,FALSE),H64+5,1))))))</f>
        <v>1398/07/29</v>
      </c>
      <c r="E64" s="1">
        <f t="shared" si="15"/>
        <v>13980729</v>
      </c>
      <c r="F64" s="244" t="str">
        <f>IF(N64=0,J_SUBDAY(D64,1,1),IF((N64-(NETWORKDAYS.INTL(J_GregorianDate(D64,1),J_GregorianDate(J_SUBDAY(J_ADDDAY(D64,N64,1),1,1),1),16,1)))+SUMIFS(Holieday[ok],Holieday[date],CONCATENATE("&gt;","=",D64),Holieday[date],CONCATENATE("&lt;","=",J_SUBDAY(J_ADDDAY(D64,N64,1),1,1)))-SUMIFS(Holieday[Friday],Holieday[date],CONCATENATE("&gt;","=",D64),Holieday[date],CONCATENATE("&lt;","=",J_SUBDAY(J_ADDDAY(D64,N64,1),1,1)))=0,J_SUBDAY(J_ADDDAY(D64,N64,1),1,1),IF((N64+1-(NETWORKDAYS.INTL(J_GregorianDate(D64,1),J_GregorianDate(J_SUBDAY(J_ADDDAY(D64,N64+1,1),1,1),1),16,1)))+SUMIFS(Holieday[ok],Holieday[date],CONCATENATE("&gt;","=",D64),Holieday[date],CONCATENATE("&lt;","=",J_SUBDAY(J_ADDDAY(D64,N64+1,1),1,1)))-SUMIFS(Holieday[Friday],Holieday[date],CONCATENATE("&gt;","=",D64),Holieday[date],CONCATENATE("&lt;","=",J_SUBDAY(J_ADDDAY(D64,N64+1,1),1,1)))=1,J_SUBDAY(J_ADDDAY(D64,N64+1,1),1,1),IF((N64+2-(NETWORKDAYS.INTL(J_GregorianDate(D64,1),J_GregorianDate(J_SUBDAY(J_ADDDAY(D64,N64+2,1),1,1),1),16,1)))+SUMIFS(Holieday[ok],Holieday[date],CONCATENATE("&gt;","=",D64),Holieday[date],CONCATENATE("&lt;","=",J_SUBDAY(J_ADDDAY(D64,N64+2,1),1,1)))-SUMIFS(Holieday[Friday],Holieday[date],CONCATENATE("&gt;","=",D64),Holieday[date],CONCATENATE("&lt;","=",J_SUBDAY(J_ADDDAY(D64,N64+2,1),1,1)))=2,J_SUBDAY(J_ADDDAY(D64,N64+2,1),1,1),IF((N64+3-(NETWORKDAYS.INTL(J_GregorianDate(D64,1),J_GregorianDate(J_SUBDAY(J_ADDDAY(D64,N64+3,1),1,1),1),16,1)))+SUMIFS(Holieday[ok],Holieday[date],CONCATENATE("&gt;","=",D64),Holieday[date],CONCATENATE("&lt;","=",J_SUBDAY(J_ADDDAY(D64,N64+3,1),1,1)))-SUMIFS(Holieday[Friday],Holieday[date],CONCATENATE("&gt;","=",D64),Holieday[date],CONCATENATE("&lt;","=",J_SUBDAY(J_ADDDAY(D64,N64+3,1),1,1)))=3,J_SUBDAY(J_ADDDAY(D64,N64+3,1),1,1),IF((N64+4-(NETWORKDAYS.INTL(J_GregorianDate(D64,1),J_GregorianDate(J_SUBDAY(J_ADDDAY(D64,N64+4,1),1,1),1),16,1)))+SUMIFS(Holieday[ok],Holieday[date],CONCATENATE("&gt;","=",D64),Holieday[date],CONCATENATE("&lt;","=",J_SUBDAY(J_ADDDAY(D64,N64+4,1),1,1)))-SUMIFS(Holieday[Friday],Holieday[date],CONCATENATE("&gt;","=",D64),Holieday[date],CONCATENATE("&lt;","=",J_SUBDAY(J_ADDDAY(D64,N64+4,1),1,1)))=4,J_SUBDAY(J_ADDDAY(D64,N64+4,1),1,1),IF((N64+5-(NETWORKDAYS.INTL(J_GregorianDate(D64,1),J_GregorianDate(J_SUBDAY(J_ADDDAY(D64,N64+5,1),1,1),1),16,1)))+SUMIFS(Holieday[ok],Holieday[date],CONCATENATE("&gt;","=",D64),Holieday[date],CONCATENATE("&lt;","=",J_SUBDAY(J_ADDDAY(D64,N64+5,1),1,1)))-SUMIFS(Holieday[Friday],Holieday[date],CONCATENATE("&gt;","=",D64),Holieday[date],CONCATENATE("&lt;","=",J_SUBDAY(J_ADDDAY(D64,N64+5,1),1,1)))=5,J_SUBDAY(J_ADDDAY(D64,N64+5,1),1,1),J_SUBDAY(J_ADDDAY(D64,N64+6,1),1,1))))))))</f>
        <v>1398/08/01</v>
      </c>
      <c r="G64" s="2">
        <f t="shared" si="16"/>
        <v>13980801</v>
      </c>
      <c r="H64" s="230">
        <v>1</v>
      </c>
      <c r="I64" s="231">
        <v>3.6</v>
      </c>
      <c r="J64" s="245">
        <f>j_WEEKDAY(D64,2)</f>
        <v>2</v>
      </c>
      <c r="K64" s="21">
        <f>SUM(JA64:JC64)</f>
        <v>0</v>
      </c>
      <c r="L64" s="246">
        <f t="shared" si="19"/>
        <v>3</v>
      </c>
      <c r="M64" s="233">
        <v>0</v>
      </c>
      <c r="N64" s="234">
        <v>3</v>
      </c>
      <c r="O64" s="10">
        <f t="shared" si="17"/>
        <v>0</v>
      </c>
      <c r="P64" s="10">
        <f>VALUE(J_normdate(J_ADDDAY($D64,$O64,1)))</f>
        <v>13980729</v>
      </c>
      <c r="Q64" s="9">
        <f t="shared" si="14"/>
        <v>3</v>
      </c>
      <c r="R64" s="247"/>
      <c r="S64" s="247"/>
      <c r="T64" s="247"/>
      <c r="U64" s="247"/>
      <c r="V64" s="247"/>
      <c r="W64" s="247"/>
      <c r="X64" s="247"/>
      <c r="Y64" s="247"/>
      <c r="Z64" s="247"/>
      <c r="AA64" s="247"/>
      <c r="AB64" s="247"/>
      <c r="AC64" s="247"/>
      <c r="AD64" s="247"/>
      <c r="AE64" s="247"/>
      <c r="AF64" s="247"/>
      <c r="AG64" s="247"/>
      <c r="AH64" s="247"/>
      <c r="AI64" s="247"/>
      <c r="AJ64" s="247"/>
      <c r="AK64" s="247"/>
      <c r="AL64" s="247"/>
      <c r="AM64" s="247"/>
      <c r="AN64" s="247"/>
      <c r="AO64" s="247"/>
      <c r="AP64" s="247"/>
      <c r="AQ64" s="247"/>
      <c r="AR64" s="247"/>
      <c r="AS64" s="247"/>
      <c r="AT64" s="247"/>
      <c r="AU64" s="247"/>
      <c r="AV64" s="247"/>
      <c r="AW64" s="247"/>
      <c r="AX64" s="247"/>
      <c r="AY64" s="247"/>
      <c r="AZ64" s="247"/>
      <c r="BA64" s="247"/>
      <c r="BB64" s="247"/>
      <c r="BC64" s="247"/>
      <c r="BD64" s="247"/>
      <c r="BE64" s="247"/>
      <c r="BF64" s="247"/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7"/>
      <c r="BV64" s="247"/>
      <c r="BW64" s="247"/>
      <c r="BX64" s="247"/>
      <c r="BY64" s="247"/>
      <c r="BZ64" s="247"/>
      <c r="CA64" s="247"/>
      <c r="CB64" s="247"/>
      <c r="CC64" s="247"/>
      <c r="CD64" s="247"/>
      <c r="CE64" s="247"/>
      <c r="CF64" s="247"/>
      <c r="CG64" s="247"/>
      <c r="CH64" s="247"/>
      <c r="CI64" s="247"/>
      <c r="CJ64" s="247"/>
      <c r="CK64" s="247"/>
      <c r="CL64" s="247"/>
      <c r="CM64" s="247"/>
      <c r="CN64" s="247"/>
      <c r="CO64" s="247"/>
      <c r="CP64" s="247"/>
      <c r="CQ64" s="247"/>
      <c r="CR64" s="247"/>
      <c r="CS64" s="247"/>
      <c r="CT64" s="247"/>
      <c r="CU64" s="247"/>
      <c r="CV64" s="247"/>
      <c r="CW64" s="247"/>
      <c r="CX64" s="247"/>
      <c r="CY64" s="247"/>
      <c r="CZ64" s="247"/>
      <c r="DA64" s="247"/>
      <c r="DB64" s="247"/>
      <c r="DC64" s="247"/>
      <c r="DD64" s="247"/>
      <c r="DE64" s="247"/>
      <c r="DF64" s="247"/>
      <c r="DG64" s="247"/>
      <c r="DH64" s="247"/>
      <c r="DI64" s="247"/>
      <c r="DJ64" s="247"/>
      <c r="DK64" s="247"/>
      <c r="DL64" s="247"/>
      <c r="DM64" s="247"/>
      <c r="DN64" s="247"/>
      <c r="DO64" s="247"/>
      <c r="DP64" s="247"/>
      <c r="DQ64" s="247"/>
      <c r="DR64" s="247"/>
      <c r="DS64" s="247"/>
      <c r="DT64" s="247"/>
      <c r="DU64" s="247"/>
      <c r="DV64" s="247"/>
      <c r="DW64" s="247"/>
      <c r="DX64" s="247"/>
      <c r="DY64" s="247"/>
      <c r="DZ64" s="247"/>
      <c r="EA64" s="247"/>
      <c r="EB64" s="247"/>
      <c r="EC64" s="247"/>
      <c r="ED64" s="247"/>
      <c r="EE64" s="247"/>
      <c r="EF64" s="247"/>
      <c r="EG64" s="247"/>
      <c r="EH64" s="247"/>
      <c r="EI64" s="247"/>
      <c r="EJ64" s="247"/>
      <c r="EK64" s="247"/>
      <c r="EL64" s="247"/>
      <c r="EM64" s="247"/>
      <c r="EN64" s="247"/>
      <c r="EO64" s="247"/>
      <c r="EP64" s="247"/>
      <c r="EQ64" s="247"/>
      <c r="ER64" s="247"/>
      <c r="ES64" s="247"/>
      <c r="ET64" s="247"/>
      <c r="EU64" s="247"/>
      <c r="EV64" s="247"/>
      <c r="EW64" s="247"/>
      <c r="EX64" s="247"/>
      <c r="EY64" s="247"/>
      <c r="EZ64" s="247"/>
      <c r="FA64" s="247"/>
      <c r="FB64" s="247"/>
      <c r="FC64" s="247"/>
      <c r="FD64" s="247"/>
      <c r="FE64" s="247"/>
      <c r="FF64" s="247"/>
      <c r="FG64" s="247"/>
      <c r="FH64" s="247"/>
      <c r="FI64" s="247"/>
      <c r="FJ64" s="247"/>
      <c r="FK64" s="247"/>
      <c r="FL64" s="247"/>
      <c r="FM64" s="247"/>
      <c r="FN64" s="247"/>
      <c r="FO64" s="247"/>
      <c r="FP64" s="247"/>
      <c r="FQ64" s="247"/>
      <c r="FR64" s="247"/>
      <c r="FS64" s="247"/>
      <c r="FT64" s="247"/>
      <c r="FU64" s="247"/>
      <c r="FV64" s="247"/>
      <c r="FW64" s="247"/>
      <c r="FX64" s="247"/>
      <c r="FY64" s="247"/>
      <c r="FZ64" s="247"/>
      <c r="GA64" s="247"/>
      <c r="GB64" s="247"/>
      <c r="GC64" s="247"/>
      <c r="GD64" s="247"/>
      <c r="GE64" s="247"/>
      <c r="GF64" s="247"/>
      <c r="GG64" s="247"/>
      <c r="GH64" s="247"/>
      <c r="GI64" s="247"/>
      <c r="GJ64" s="247"/>
      <c r="GK64" s="247"/>
      <c r="GL64" s="247"/>
      <c r="GM64" s="247"/>
      <c r="GN64" s="247"/>
      <c r="GO64" s="247"/>
      <c r="GP64" s="247"/>
      <c r="GQ64" s="247"/>
      <c r="GR64" s="247"/>
      <c r="GS64" s="247"/>
      <c r="GT64" s="247"/>
      <c r="GU64" s="247"/>
      <c r="GV64" s="247"/>
      <c r="GW64" s="247"/>
      <c r="GX64" s="247"/>
      <c r="GY64" s="247"/>
      <c r="GZ64" s="247"/>
      <c r="HA64" s="247"/>
      <c r="HB64" s="247"/>
      <c r="HC64" s="247"/>
      <c r="HD64" s="247"/>
      <c r="HE64" s="247"/>
      <c r="HF64" s="247"/>
      <c r="HG64" s="247"/>
      <c r="HH64" s="247"/>
      <c r="HI64" s="247"/>
      <c r="HJ64" s="247"/>
      <c r="HK64" s="247"/>
      <c r="HL64" s="247"/>
      <c r="HM64" s="247"/>
      <c r="HN64" s="247"/>
      <c r="HO64" s="247"/>
      <c r="HP64" s="247"/>
      <c r="HQ64" s="247"/>
      <c r="HR64" s="247"/>
      <c r="HS64" s="247"/>
      <c r="HT64" s="247"/>
      <c r="HU64" s="247"/>
      <c r="HV64" s="247"/>
      <c r="HW64" s="247"/>
      <c r="HX64" s="247"/>
      <c r="HY64" s="247"/>
      <c r="HZ64" s="247"/>
      <c r="IA64" s="247"/>
      <c r="IB64" s="247"/>
      <c r="IC64" s="247"/>
      <c r="ID64" s="247"/>
      <c r="IE64" s="247"/>
      <c r="IF64" s="247"/>
      <c r="IG64" s="247"/>
      <c r="IH64" s="247"/>
      <c r="II64" s="247"/>
      <c r="IJ64" s="247"/>
      <c r="IK64" s="247"/>
      <c r="IL64" s="247"/>
      <c r="IM64" s="247"/>
      <c r="IN64" s="247"/>
      <c r="IO64" s="247"/>
      <c r="IP64" s="247"/>
      <c r="IQ64" s="247"/>
      <c r="IR64" s="247"/>
      <c r="IS64" s="247"/>
      <c r="IT64" s="247"/>
      <c r="IU64" s="247"/>
      <c r="IV64" s="247"/>
      <c r="IW64" s="247"/>
      <c r="IX64" s="247"/>
      <c r="IY64" s="236">
        <v>1</v>
      </c>
      <c r="IZ64" s="236"/>
      <c r="JA64" s="238"/>
      <c r="JB64" s="238"/>
      <c r="JC64" s="238"/>
      <c r="JD64" s="254">
        <f>SUM((TEXT(JA64,"[M]")/60)*'Income Person-hours'!$D$3,(TEXT(JB64,"[M]")/60)*'Income Person-hours'!$D$4,(TEXT(JC64,"[M]")/60)*'Income Person-hours'!$D$5)</f>
        <v>0</v>
      </c>
    </row>
    <row r="65" spans="1:264" s="255" customFormat="1" ht="13.5">
      <c r="A65" s="252">
        <v>3.8</v>
      </c>
      <c r="B65" s="241" t="s">
        <v>132</v>
      </c>
      <c r="C65" s="228" t="s">
        <v>111</v>
      </c>
      <c r="D65" s="235" t="str">
        <f>IF(OR(j_WEEKDAY(J_ADDDAY(VLOOKUP(I65,A:F,6,FALSE),H65,1),0)=6,SUMIFS(Holieday[ok],Holieday[date],J_ADDDAY(VLOOKUP(I65,A:F,6,FALSE),H65,1)))=FALSE(),J_ADDDAY(VLOOKUP(I65,A:F,6,FALSE),H65,1),IF(OR(j_WEEKDAY(J_ADDDAY(VLOOKUP(I65,A:F,6,FALSE),H65+1,1),0)=6,SUMIFS(Holieday[ok],Holieday[date],J_ADDDAY(VLOOKUP(I65,A:F,6,FALSE),H65+1,1)))=FALSE(),J_ADDDAY(VLOOKUP(I65,A:F,6,FALSE),H65+1,1),IF(OR(j_WEEKDAY(J_ADDDAY(VLOOKUP(I65,A:F,6,FALSE),H65+2,1),0)=6,SUMIFS(Holieday[ok],Holieday[date],J_ADDDAY(VLOOKUP(I65,A:F,6,FALSE),H65+2,1)))=FALSE(),J_ADDDAY(VLOOKUP(I65,A:F,6,FALSE),H65+2,1),IF(OR(j_WEEKDAY(J_ADDDAY(VLOOKUP(I65,A:F,6,FALSE),H65+3,1),0)=6,SUMIFS(Holieday[ok],Holieday[date],J_ADDDAY(VLOOKUP(I65,A:F,6,FALSE),H65+3,1)))=FALSE(),J_ADDDAY(VLOOKUP(I65,A:F,6,FALSE),H65+3,1),IF(OR(j_WEEKDAY(J_ADDDAY(VLOOKUP(I65,A:F,6,FALSE),H65+4,1),0)=6,SUMIFS(Holieday[ok],Holieday[date],J_ADDDAY(VLOOKUP(I65,A:F,6,FALSE),H65+4,1)))=FALSE(),J_ADDDAY(VLOOKUP(I65,A:F,6,FALSE),H65+4,1),J_ADDDAY(VLOOKUP(I65,A:F,6,FALSE),H65+5,1))))))</f>
        <v>1398/07/08</v>
      </c>
      <c r="E65" s="1"/>
      <c r="F65" s="244" t="str">
        <f>IF(N65=0,J_SUBDAY(D65,1,1),IF((N65-(NETWORKDAYS.INTL(J_GregorianDate(D65,1),J_GregorianDate(J_SUBDAY(J_ADDDAY(D65,N65,1),1,1),1),16,1)))+SUMIFS(Holieday[ok],Holieday[date],CONCATENATE("&gt;","=",D65),Holieday[date],CONCATENATE("&lt;","=",J_SUBDAY(J_ADDDAY(D65,N65,1),1,1)))-SUMIFS(Holieday[Friday],Holieday[date],CONCATENATE("&gt;","=",D65),Holieday[date],CONCATENATE("&lt;","=",J_SUBDAY(J_ADDDAY(D65,N65,1),1,1)))=0,J_SUBDAY(J_ADDDAY(D65,N65,1),1,1),IF((N65+1-(NETWORKDAYS.INTL(J_GregorianDate(D65,1),J_GregorianDate(J_SUBDAY(J_ADDDAY(D65,N65+1,1),1,1),1),16,1)))+SUMIFS(Holieday[ok],Holieday[date],CONCATENATE("&gt;","=",D65),Holieday[date],CONCATENATE("&lt;","=",J_SUBDAY(J_ADDDAY(D65,N65+1,1),1,1)))-SUMIFS(Holieday[Friday],Holieday[date],CONCATENATE("&gt;","=",D65),Holieday[date],CONCATENATE("&lt;","=",J_SUBDAY(J_ADDDAY(D65,N65+1,1),1,1)))=1,J_SUBDAY(J_ADDDAY(D65,N65+1,1),1,1),IF((N65+2-(NETWORKDAYS.INTL(J_GregorianDate(D65,1),J_GregorianDate(J_SUBDAY(J_ADDDAY(D65,N65+2,1),1,1),1),16,1)))+SUMIFS(Holieday[ok],Holieday[date],CONCATENATE("&gt;","=",D65),Holieday[date],CONCATENATE("&lt;","=",J_SUBDAY(J_ADDDAY(D65,N65+2,1),1,1)))-SUMIFS(Holieday[Friday],Holieday[date],CONCATENATE("&gt;","=",D65),Holieday[date],CONCATENATE("&lt;","=",J_SUBDAY(J_ADDDAY(D65,N65+2,1),1,1)))=2,J_SUBDAY(J_ADDDAY(D65,N65+2,1),1,1),IF((N65+3-(NETWORKDAYS.INTL(J_GregorianDate(D65,1),J_GregorianDate(J_SUBDAY(J_ADDDAY(D65,N65+3,1),1,1),1),16,1)))+SUMIFS(Holieday[ok],Holieday[date],CONCATENATE("&gt;","=",D65),Holieday[date],CONCATENATE("&lt;","=",J_SUBDAY(J_ADDDAY(D65,N65+3,1),1,1)))-SUMIFS(Holieday[Friday],Holieday[date],CONCATENATE("&gt;","=",D65),Holieday[date],CONCATENATE("&lt;","=",J_SUBDAY(J_ADDDAY(D65,N65+3,1),1,1)))=3,J_SUBDAY(J_ADDDAY(D65,N65+3,1),1,1),IF((N65+4-(NETWORKDAYS.INTL(J_GregorianDate(D65,1),J_GregorianDate(J_SUBDAY(J_ADDDAY(D65,N65+4,1),1,1),1),16,1)))+SUMIFS(Holieday[ok],Holieday[date],CONCATENATE("&gt;","=",D65),Holieday[date],CONCATENATE("&lt;","=",J_SUBDAY(J_ADDDAY(D65,N65+4,1),1,1)))-SUMIFS(Holieday[Friday],Holieday[date],CONCATENATE("&gt;","=",D65),Holieday[date],CONCATENATE("&lt;","=",J_SUBDAY(J_ADDDAY(D65,N65+4,1),1,1)))=4,J_SUBDAY(J_ADDDAY(D65,N65+4,1),1,1),IF((N65+5-(NETWORKDAYS.INTL(J_GregorianDate(D65,1),J_GregorianDate(J_SUBDAY(J_ADDDAY(D65,N65+5,1),1,1),1),16,1)))+SUMIFS(Holieday[ok],Holieday[date],CONCATENATE("&gt;","=",D65),Holieday[date],CONCATENATE("&lt;","=",J_SUBDAY(J_ADDDAY(D65,N65+5,1),1,1)))-SUMIFS(Holieday[Friday],Holieday[date],CONCATENATE("&gt;","=",D65),Holieday[date],CONCATENATE("&lt;","=",J_SUBDAY(J_ADDDAY(D65,N65+5,1),1,1)))=5,J_SUBDAY(J_ADDDAY(D65,N65+5,1),1,1),J_SUBDAY(J_ADDDAY(D65,N65+6,1),1,1))))))))</f>
        <v>1398/08/08</v>
      </c>
      <c r="G65" s="2"/>
      <c r="H65" s="230">
        <v>8</v>
      </c>
      <c r="I65" s="231">
        <v>1.1000000000000001</v>
      </c>
      <c r="J65" s="245">
        <f>j_WEEKDAY(D65,2)</f>
        <v>2</v>
      </c>
      <c r="K65" s="21"/>
      <c r="L65" s="246">
        <f t="shared" si="19"/>
        <v>31</v>
      </c>
      <c r="M65" s="233">
        <v>0</v>
      </c>
      <c r="N65" s="234">
        <v>25</v>
      </c>
      <c r="O65" s="10"/>
      <c r="P65" s="10"/>
      <c r="Q65" s="9"/>
      <c r="R65" s="247"/>
      <c r="S65" s="247"/>
      <c r="T65" s="247"/>
      <c r="U65" s="247"/>
      <c r="V65" s="247"/>
      <c r="W65" s="247"/>
      <c r="X65" s="247"/>
      <c r="Y65" s="247"/>
      <c r="Z65" s="247"/>
      <c r="AA65" s="247"/>
      <c r="AB65" s="247"/>
      <c r="AC65" s="247"/>
      <c r="AD65" s="247"/>
      <c r="AE65" s="247"/>
      <c r="AF65" s="247"/>
      <c r="AG65" s="247"/>
      <c r="AH65" s="247"/>
      <c r="AI65" s="247"/>
      <c r="AJ65" s="247"/>
      <c r="AK65" s="247"/>
      <c r="AL65" s="247"/>
      <c r="AM65" s="247"/>
      <c r="AN65" s="247"/>
      <c r="AO65" s="247"/>
      <c r="AP65" s="247"/>
      <c r="AQ65" s="247"/>
      <c r="AR65" s="247"/>
      <c r="AS65" s="247"/>
      <c r="AT65" s="247"/>
      <c r="AU65" s="247"/>
      <c r="AV65" s="247"/>
      <c r="AW65" s="247"/>
      <c r="AX65" s="247"/>
      <c r="AY65" s="247"/>
      <c r="AZ65" s="247"/>
      <c r="BA65" s="247"/>
      <c r="BB65" s="247"/>
      <c r="BC65" s="247"/>
      <c r="BD65" s="247"/>
      <c r="BE65" s="247"/>
      <c r="BF65" s="247"/>
      <c r="BG65" s="247"/>
      <c r="BH65" s="247"/>
      <c r="BI65" s="247"/>
      <c r="BJ65" s="247"/>
      <c r="BK65" s="247"/>
      <c r="BL65" s="247"/>
      <c r="BM65" s="247"/>
      <c r="BN65" s="247"/>
      <c r="BO65" s="247"/>
      <c r="BP65" s="247"/>
      <c r="BQ65" s="247"/>
      <c r="BR65" s="247"/>
      <c r="BS65" s="247"/>
      <c r="BT65" s="247"/>
      <c r="BU65" s="247"/>
      <c r="BV65" s="247"/>
      <c r="BW65" s="247"/>
      <c r="BX65" s="247"/>
      <c r="BY65" s="247"/>
      <c r="BZ65" s="247"/>
      <c r="CA65" s="247"/>
      <c r="CB65" s="247"/>
      <c r="CC65" s="247"/>
      <c r="CD65" s="247"/>
      <c r="CE65" s="247"/>
      <c r="CF65" s="247"/>
      <c r="CG65" s="247"/>
      <c r="CH65" s="247"/>
      <c r="CI65" s="247"/>
      <c r="CJ65" s="247"/>
      <c r="CK65" s="247"/>
      <c r="CL65" s="247"/>
      <c r="CM65" s="247"/>
      <c r="CN65" s="247"/>
      <c r="CO65" s="247"/>
      <c r="CP65" s="247"/>
      <c r="CQ65" s="247"/>
      <c r="CR65" s="247"/>
      <c r="CS65" s="247"/>
      <c r="CT65" s="247"/>
      <c r="CU65" s="247"/>
      <c r="CV65" s="247"/>
      <c r="CW65" s="247"/>
      <c r="CX65" s="247"/>
      <c r="CY65" s="247"/>
      <c r="CZ65" s="247"/>
      <c r="DA65" s="247"/>
      <c r="DB65" s="247"/>
      <c r="DC65" s="247"/>
      <c r="DD65" s="247"/>
      <c r="DE65" s="247"/>
      <c r="DF65" s="247"/>
      <c r="DG65" s="247"/>
      <c r="DH65" s="247"/>
      <c r="DI65" s="247"/>
      <c r="DJ65" s="247"/>
      <c r="DK65" s="247"/>
      <c r="DL65" s="247"/>
      <c r="DM65" s="247"/>
      <c r="DN65" s="247"/>
      <c r="DO65" s="247"/>
      <c r="DP65" s="247"/>
      <c r="DQ65" s="247"/>
      <c r="DR65" s="247"/>
      <c r="DS65" s="247"/>
      <c r="DT65" s="247"/>
      <c r="DU65" s="247"/>
      <c r="DV65" s="247"/>
      <c r="DW65" s="247"/>
      <c r="DX65" s="247"/>
      <c r="DY65" s="247"/>
      <c r="DZ65" s="247"/>
      <c r="EA65" s="247"/>
      <c r="EB65" s="247"/>
      <c r="EC65" s="247"/>
      <c r="ED65" s="247"/>
      <c r="EE65" s="247"/>
      <c r="EF65" s="247"/>
      <c r="EG65" s="247"/>
      <c r="EH65" s="247"/>
      <c r="EI65" s="247"/>
      <c r="EJ65" s="247"/>
      <c r="EK65" s="247"/>
      <c r="EL65" s="247"/>
      <c r="EM65" s="247"/>
      <c r="EN65" s="247"/>
      <c r="EO65" s="247"/>
      <c r="EP65" s="247"/>
      <c r="EQ65" s="247"/>
      <c r="ER65" s="247"/>
      <c r="ES65" s="247"/>
      <c r="ET65" s="247"/>
      <c r="EU65" s="247"/>
      <c r="EV65" s="247"/>
      <c r="EW65" s="247"/>
      <c r="EX65" s="247"/>
      <c r="EY65" s="247"/>
      <c r="EZ65" s="247"/>
      <c r="FA65" s="247"/>
      <c r="FB65" s="247"/>
      <c r="FC65" s="247"/>
      <c r="FD65" s="247"/>
      <c r="FE65" s="247"/>
      <c r="FF65" s="247"/>
      <c r="FG65" s="247"/>
      <c r="FH65" s="247"/>
      <c r="FI65" s="247"/>
      <c r="FJ65" s="247"/>
      <c r="FK65" s="247"/>
      <c r="FL65" s="247"/>
      <c r="FM65" s="247"/>
      <c r="FN65" s="247"/>
      <c r="FO65" s="247"/>
      <c r="FP65" s="247"/>
      <c r="FQ65" s="247"/>
      <c r="FR65" s="247"/>
      <c r="FS65" s="247"/>
      <c r="FT65" s="247"/>
      <c r="FU65" s="247"/>
      <c r="FV65" s="247"/>
      <c r="FW65" s="247"/>
      <c r="FX65" s="247"/>
      <c r="FY65" s="247"/>
      <c r="FZ65" s="247"/>
      <c r="GA65" s="247"/>
      <c r="GB65" s="247"/>
      <c r="GC65" s="247"/>
      <c r="GD65" s="247"/>
      <c r="GE65" s="247"/>
      <c r="GF65" s="247"/>
      <c r="GG65" s="247"/>
      <c r="GH65" s="247"/>
      <c r="GI65" s="247"/>
      <c r="GJ65" s="247"/>
      <c r="GK65" s="247"/>
      <c r="GL65" s="247"/>
      <c r="GM65" s="247"/>
      <c r="GN65" s="247"/>
      <c r="GO65" s="247"/>
      <c r="GP65" s="247"/>
      <c r="GQ65" s="247"/>
      <c r="GR65" s="247"/>
      <c r="GS65" s="247"/>
      <c r="GT65" s="247"/>
      <c r="GU65" s="247"/>
      <c r="GV65" s="247"/>
      <c r="GW65" s="247"/>
      <c r="GX65" s="247"/>
      <c r="GY65" s="247"/>
      <c r="GZ65" s="247"/>
      <c r="HA65" s="247"/>
      <c r="HB65" s="247"/>
      <c r="HC65" s="247"/>
      <c r="HD65" s="247"/>
      <c r="HE65" s="247"/>
      <c r="HF65" s="247"/>
      <c r="HG65" s="247"/>
      <c r="HH65" s="247"/>
      <c r="HI65" s="247"/>
      <c r="HJ65" s="247"/>
      <c r="HK65" s="247"/>
      <c r="HL65" s="247"/>
      <c r="HM65" s="247"/>
      <c r="HN65" s="247"/>
      <c r="HO65" s="247"/>
      <c r="HP65" s="247"/>
      <c r="HQ65" s="247"/>
      <c r="HR65" s="247"/>
      <c r="HS65" s="247"/>
      <c r="HT65" s="247"/>
      <c r="HU65" s="247"/>
      <c r="HV65" s="247"/>
      <c r="HW65" s="247"/>
      <c r="HX65" s="247"/>
      <c r="HY65" s="247"/>
      <c r="HZ65" s="247"/>
      <c r="IA65" s="247"/>
      <c r="IB65" s="247"/>
      <c r="IC65" s="247"/>
      <c r="ID65" s="247"/>
      <c r="IE65" s="247"/>
      <c r="IF65" s="247"/>
      <c r="IG65" s="247"/>
      <c r="IH65" s="247"/>
      <c r="II65" s="247"/>
      <c r="IJ65" s="247"/>
      <c r="IK65" s="247"/>
      <c r="IL65" s="247"/>
      <c r="IM65" s="247"/>
      <c r="IN65" s="247"/>
      <c r="IO65" s="247"/>
      <c r="IP65" s="247"/>
      <c r="IQ65" s="247"/>
      <c r="IR65" s="247"/>
      <c r="IS65" s="247"/>
      <c r="IT65" s="247"/>
      <c r="IU65" s="247"/>
      <c r="IV65" s="247"/>
      <c r="IW65" s="247"/>
      <c r="IX65" s="247"/>
      <c r="IY65" s="236"/>
      <c r="IZ65" s="236"/>
      <c r="JA65" s="238"/>
      <c r="JB65" s="238"/>
      <c r="JC65" s="238"/>
      <c r="JD65" s="254"/>
    </row>
    <row r="66" spans="1:264" s="247" customFormat="1" ht="13.5">
      <c r="A66" s="243">
        <v>3.9</v>
      </c>
      <c r="B66" s="241" t="s">
        <v>156</v>
      </c>
      <c r="C66" s="228" t="s">
        <v>79</v>
      </c>
      <c r="D66" s="235" t="str">
        <f>IF(OR(j_WEEKDAY(J_ADDDAY(VLOOKUP(I66,A:F,6,FALSE),H66,1),0)=6,SUMIFS(Holieday[ok],Holieday[date],J_ADDDAY(VLOOKUP(I66,A:F,6,FALSE),H66,1)))=FALSE(),J_ADDDAY(VLOOKUP(I66,A:F,6,FALSE),H66,1),IF(OR(j_WEEKDAY(J_ADDDAY(VLOOKUP(I66,A:F,6,FALSE),H66+1,1),0)=6,SUMIFS(Holieday[ok],Holieday[date],J_ADDDAY(VLOOKUP(I66,A:F,6,FALSE),H66+1,1)))=FALSE(),J_ADDDAY(VLOOKUP(I66,A:F,6,FALSE),H66+1,1),IF(OR(j_WEEKDAY(J_ADDDAY(VLOOKUP(I66,A:F,6,FALSE),H66+2,1),0)=6,SUMIFS(Holieday[ok],Holieday[date],J_ADDDAY(VLOOKUP(I66,A:F,6,FALSE),H66+2,1)))=FALSE(),J_ADDDAY(VLOOKUP(I66,A:F,6,FALSE),H66+2,1),IF(OR(j_WEEKDAY(J_ADDDAY(VLOOKUP(I66,A:F,6,FALSE),H66+3,1),0)=6,SUMIFS(Holieday[ok],Holieday[date],J_ADDDAY(VLOOKUP(I66,A:F,6,FALSE),H66+3,1)))=FALSE(),J_ADDDAY(VLOOKUP(I66,A:F,6,FALSE),H66+3,1),IF(OR(j_WEEKDAY(J_ADDDAY(VLOOKUP(I66,A:F,6,FALSE),H66+4,1),0)=6,SUMIFS(Holieday[ok],Holieday[date],J_ADDDAY(VLOOKUP(I66,A:F,6,FALSE),H66+4,1)))=FALSE(),J_ADDDAY(VLOOKUP(I66,A:F,6,FALSE),H66+4,1),J_ADDDAY(VLOOKUP(I66,A:F,6,FALSE),H66+5,1))))))</f>
        <v>1398/07/10</v>
      </c>
      <c r="E66" s="1">
        <f t="shared" si="15"/>
        <v>13980710</v>
      </c>
      <c r="F66" s="244" t="str">
        <f>IF(N66=0,J_SUBDAY(D66,1,1),IF((N66-(NETWORKDAYS.INTL(J_GregorianDate(D66,1),J_GregorianDate(J_SUBDAY(J_ADDDAY(D66,N66,1),1,1),1),16,1)))+SUMIFS(Holieday[ok],Holieday[date],CONCATENATE("&gt;","=",D66),Holieday[date],CONCATENATE("&lt;","=",J_SUBDAY(J_ADDDAY(D66,N66,1),1,1)))-SUMIFS(Holieday[Friday],Holieday[date],CONCATENATE("&gt;","=",D66),Holieday[date],CONCATENATE("&lt;","=",J_SUBDAY(J_ADDDAY(D66,N66,1),1,1)))=0,J_SUBDAY(J_ADDDAY(D66,N66,1),1,1),IF((N66+1-(NETWORKDAYS.INTL(J_GregorianDate(D66,1),J_GregorianDate(J_SUBDAY(J_ADDDAY(D66,N66+1,1),1,1),1),16,1)))+SUMIFS(Holieday[ok],Holieday[date],CONCATENATE("&gt;","=",D66),Holieday[date],CONCATENATE("&lt;","=",J_SUBDAY(J_ADDDAY(D66,N66+1,1),1,1)))-SUMIFS(Holieday[Friday],Holieday[date],CONCATENATE("&gt;","=",D66),Holieday[date],CONCATENATE("&lt;","=",J_SUBDAY(J_ADDDAY(D66,N66+1,1),1,1)))=1,J_SUBDAY(J_ADDDAY(D66,N66+1,1),1,1),IF((N66+2-(NETWORKDAYS.INTL(J_GregorianDate(D66,1),J_GregorianDate(J_SUBDAY(J_ADDDAY(D66,N66+2,1),1,1),1),16,1)))+SUMIFS(Holieday[ok],Holieday[date],CONCATENATE("&gt;","=",D66),Holieday[date],CONCATENATE("&lt;","=",J_SUBDAY(J_ADDDAY(D66,N66+2,1),1,1)))-SUMIFS(Holieday[Friday],Holieday[date],CONCATENATE("&gt;","=",D66),Holieday[date],CONCATENATE("&lt;","=",J_SUBDAY(J_ADDDAY(D66,N66+2,1),1,1)))=2,J_SUBDAY(J_ADDDAY(D66,N66+2,1),1,1),IF((N66+3-(NETWORKDAYS.INTL(J_GregorianDate(D66,1),J_GregorianDate(J_SUBDAY(J_ADDDAY(D66,N66+3,1),1,1),1),16,1)))+SUMIFS(Holieday[ok],Holieday[date],CONCATENATE("&gt;","=",D66),Holieday[date],CONCATENATE("&lt;","=",J_SUBDAY(J_ADDDAY(D66,N66+3,1),1,1)))-SUMIFS(Holieday[Friday],Holieday[date],CONCATENATE("&gt;","=",D66),Holieday[date],CONCATENATE("&lt;","=",J_SUBDAY(J_ADDDAY(D66,N66+3,1),1,1)))=3,J_SUBDAY(J_ADDDAY(D66,N66+3,1),1,1),IF((N66+4-(NETWORKDAYS.INTL(J_GregorianDate(D66,1),J_GregorianDate(J_SUBDAY(J_ADDDAY(D66,N66+4,1),1,1),1),16,1)))+SUMIFS(Holieday[ok],Holieday[date],CONCATENATE("&gt;","=",D66),Holieday[date],CONCATENATE("&lt;","=",J_SUBDAY(J_ADDDAY(D66,N66+4,1),1,1)))-SUMIFS(Holieday[Friday],Holieday[date],CONCATENATE("&gt;","=",D66),Holieday[date],CONCATENATE("&lt;","=",J_SUBDAY(J_ADDDAY(D66,N66+4,1),1,1)))=4,J_SUBDAY(J_ADDDAY(D66,N66+4,1),1,1),IF((N66+5-(NETWORKDAYS.INTL(J_GregorianDate(D66,1),J_GregorianDate(J_SUBDAY(J_ADDDAY(D66,N66+5,1),1,1),1),16,1)))+SUMIFS(Holieday[ok],Holieday[date],CONCATENATE("&gt;","=",D66),Holieday[date],CONCATENATE("&lt;","=",J_SUBDAY(J_ADDDAY(D66,N66+5,1),1,1)))-SUMIFS(Holieday[Friday],Holieday[date],CONCATENATE("&gt;","=",D66),Holieday[date],CONCATENATE("&lt;","=",J_SUBDAY(J_ADDDAY(D66,N66+5,1),1,1)))=5,J_SUBDAY(J_ADDDAY(D66,N66+5,1),1,1),J_SUBDAY(J_ADDDAY(D66,N66+6,1),1,1))))))))</f>
        <v>1398/08/10</v>
      </c>
      <c r="G66" s="2">
        <f t="shared" si="16"/>
        <v>13980810</v>
      </c>
      <c r="H66" s="230">
        <v>10</v>
      </c>
      <c r="I66" s="231">
        <v>1.1000000000000001</v>
      </c>
      <c r="J66" s="245">
        <f>j_WEEKDAY(D66,2)</f>
        <v>4</v>
      </c>
      <c r="K66" s="21">
        <f t="shared" si="18"/>
        <v>0</v>
      </c>
      <c r="L66" s="246">
        <f t="shared" si="19"/>
        <v>31</v>
      </c>
      <c r="M66" s="233">
        <v>0</v>
      </c>
      <c r="N66" s="234">
        <v>25</v>
      </c>
      <c r="O66" s="10">
        <f t="shared" si="17"/>
        <v>0</v>
      </c>
      <c r="P66" s="10">
        <f>VALUE(J_normdate(J_ADDDAY($D66,$O66,1)))</f>
        <v>13980710</v>
      </c>
      <c r="Q66" s="9">
        <f t="shared" si="14"/>
        <v>31</v>
      </c>
      <c r="IY66" s="248">
        <v>1</v>
      </c>
      <c r="IZ66" s="248"/>
      <c r="JA66" s="249"/>
      <c r="JB66" s="249"/>
      <c r="JC66" s="249"/>
      <c r="JD66" s="250">
        <f>SUM((TEXT(JA66,"[M]")/60)*'Income Person-hours'!$D$3,(TEXT(JB66,"[M]")/60)*'Income Person-hours'!$D$4,(TEXT(JC66,"[M]")/60)*'Income Person-hours'!$D$5)</f>
        <v>0</v>
      </c>
    </row>
    <row r="67" spans="1:264" s="247" customFormat="1" ht="13.5">
      <c r="A67" s="243">
        <v>3.11</v>
      </c>
      <c r="B67" s="241" t="s">
        <v>168</v>
      </c>
      <c r="C67" s="228" t="s">
        <v>111</v>
      </c>
      <c r="D67" s="235" t="str">
        <f>IF(OR(j_WEEKDAY(J_ADDDAY(VLOOKUP(I67,A:F,6,FALSE),H67,1),0)=6,SUMIFS(Holieday[ok],Holieday[date],J_ADDDAY(VLOOKUP(I67,A:F,6,FALSE),H67,1)))=FALSE(),J_ADDDAY(VLOOKUP(I67,A:F,6,FALSE),H67,1),IF(OR(j_WEEKDAY(J_ADDDAY(VLOOKUP(I67,A:F,6,FALSE),H67+1,1),0)=6,SUMIFS(Holieday[ok],Holieday[date],J_ADDDAY(VLOOKUP(I67,A:F,6,FALSE),H67+1,1)))=FALSE(),J_ADDDAY(VLOOKUP(I67,A:F,6,FALSE),H67+1,1),IF(OR(j_WEEKDAY(J_ADDDAY(VLOOKUP(I67,A:F,6,FALSE),H67+2,1),0)=6,SUMIFS(Holieday[ok],Holieday[date],J_ADDDAY(VLOOKUP(I67,A:F,6,FALSE),H67+2,1)))=FALSE(),J_ADDDAY(VLOOKUP(I67,A:F,6,FALSE),H67+2,1),IF(OR(j_WEEKDAY(J_ADDDAY(VLOOKUP(I67,A:F,6,FALSE),H67+3,1),0)=6,SUMIFS(Holieday[ok],Holieday[date],J_ADDDAY(VLOOKUP(I67,A:F,6,FALSE),H67+3,1)))=FALSE(),J_ADDDAY(VLOOKUP(I67,A:F,6,FALSE),H67+3,1),IF(OR(j_WEEKDAY(J_ADDDAY(VLOOKUP(I67,A:F,6,FALSE),H67+4,1),0)=6,SUMIFS(Holieday[ok],Holieday[date],J_ADDDAY(VLOOKUP(I67,A:F,6,FALSE),H67+4,1)))=FALSE(),J_ADDDAY(VLOOKUP(I67,A:F,6,FALSE),H67+4,1),J_ADDDAY(VLOOKUP(I67,A:F,6,FALSE),H67+5,1))))))</f>
        <v>1398/07/17</v>
      </c>
      <c r="E67" s="1"/>
      <c r="F67" s="244" t="str">
        <f>IF(N67=0,J_SUBDAY(D67,1,1),IF((N67-(NETWORKDAYS.INTL(J_GregorianDate(D67,1),J_GregorianDate(J_SUBDAY(J_ADDDAY(D67,N67,1),1,1),1),16,1)))+SUMIFS(Holieday[ok],Holieday[date],CONCATENATE("&gt;","=",D67),Holieday[date],CONCATENATE("&lt;","=",J_SUBDAY(J_ADDDAY(D67,N67,1),1,1)))-SUMIFS(Holieday[Friday],Holieday[date],CONCATENATE("&gt;","=",D67),Holieday[date],CONCATENATE("&lt;","=",J_SUBDAY(J_ADDDAY(D67,N67,1),1,1)))=0,J_SUBDAY(J_ADDDAY(D67,N67,1),1,1),IF((N67+1-(NETWORKDAYS.INTL(J_GregorianDate(D67,1),J_GregorianDate(J_SUBDAY(J_ADDDAY(D67,N67+1,1),1,1),1),16,1)))+SUMIFS(Holieday[ok],Holieday[date],CONCATENATE("&gt;","=",D67),Holieday[date],CONCATENATE("&lt;","=",J_SUBDAY(J_ADDDAY(D67,N67+1,1),1,1)))-SUMIFS(Holieday[Friday],Holieday[date],CONCATENATE("&gt;","=",D67),Holieday[date],CONCATENATE("&lt;","=",J_SUBDAY(J_ADDDAY(D67,N67+1,1),1,1)))=1,J_SUBDAY(J_ADDDAY(D67,N67+1,1),1,1),IF((N67+2-(NETWORKDAYS.INTL(J_GregorianDate(D67,1),J_GregorianDate(J_SUBDAY(J_ADDDAY(D67,N67+2,1),1,1),1),16,1)))+SUMIFS(Holieday[ok],Holieday[date],CONCATENATE("&gt;","=",D67),Holieday[date],CONCATENATE("&lt;","=",J_SUBDAY(J_ADDDAY(D67,N67+2,1),1,1)))-SUMIFS(Holieday[Friday],Holieday[date],CONCATENATE("&gt;","=",D67),Holieday[date],CONCATENATE("&lt;","=",J_SUBDAY(J_ADDDAY(D67,N67+2,1),1,1)))=2,J_SUBDAY(J_ADDDAY(D67,N67+2,1),1,1),IF((N67+3-(NETWORKDAYS.INTL(J_GregorianDate(D67,1),J_GregorianDate(J_SUBDAY(J_ADDDAY(D67,N67+3,1),1,1),1),16,1)))+SUMIFS(Holieday[ok],Holieday[date],CONCATENATE("&gt;","=",D67),Holieday[date],CONCATENATE("&lt;","=",J_SUBDAY(J_ADDDAY(D67,N67+3,1),1,1)))-SUMIFS(Holieday[Friday],Holieday[date],CONCATENATE("&gt;","=",D67),Holieday[date],CONCATENATE("&lt;","=",J_SUBDAY(J_ADDDAY(D67,N67+3,1),1,1)))=3,J_SUBDAY(J_ADDDAY(D67,N67+3,1),1,1),IF((N67+4-(NETWORKDAYS.INTL(J_GregorianDate(D67,1),J_GregorianDate(J_SUBDAY(J_ADDDAY(D67,N67+4,1),1,1),1),16,1)))+SUMIFS(Holieday[ok],Holieday[date],CONCATENATE("&gt;","=",D67),Holieday[date],CONCATENATE("&lt;","=",J_SUBDAY(J_ADDDAY(D67,N67+4,1),1,1)))-SUMIFS(Holieday[Friday],Holieday[date],CONCATENATE("&gt;","=",D67),Holieday[date],CONCATENATE("&lt;","=",J_SUBDAY(J_ADDDAY(D67,N67+4,1),1,1)))=4,J_SUBDAY(J_ADDDAY(D67,N67+4,1),1,1),IF((N67+5-(NETWORKDAYS.INTL(J_GregorianDate(D67,1),J_GregorianDate(J_SUBDAY(J_ADDDAY(D67,N67+5,1),1,1),1),16,1)))+SUMIFS(Holieday[ok],Holieday[date],CONCATENATE("&gt;","=",D67),Holieday[date],CONCATENATE("&lt;","=",J_SUBDAY(J_ADDDAY(D67,N67+5,1),1,1)))-SUMIFS(Holieday[Friday],Holieday[date],CONCATENATE("&gt;","=",D67),Holieday[date],CONCATENATE("&lt;","=",J_SUBDAY(J_ADDDAY(D67,N67+5,1),1,1)))=5,J_SUBDAY(J_ADDDAY(D67,N67+5,1),1,1),J_SUBDAY(J_ADDDAY(D67,N67+6,1),1,1))))))))</f>
        <v>1398/07/21</v>
      </c>
      <c r="G67" s="2"/>
      <c r="H67" s="230">
        <v>1</v>
      </c>
      <c r="I67" s="231">
        <v>3.3</v>
      </c>
      <c r="J67" s="245">
        <f>j_WEEKDAY(D67,2)</f>
        <v>4</v>
      </c>
      <c r="K67" s="21"/>
      <c r="L67" s="246">
        <f t="shared" si="19"/>
        <v>5</v>
      </c>
      <c r="M67" s="233">
        <v>0</v>
      </c>
      <c r="N67" s="234">
        <v>4</v>
      </c>
      <c r="O67" s="10"/>
      <c r="P67" s="10"/>
      <c r="Q67" s="9"/>
      <c r="IY67" s="248"/>
      <c r="IZ67" s="248"/>
      <c r="JA67" s="249"/>
      <c r="JB67" s="249"/>
      <c r="JC67" s="249"/>
      <c r="JD67" s="250"/>
    </row>
    <row r="68" spans="1:264" s="247" customFormat="1" ht="13.5">
      <c r="A68" s="243">
        <v>3.12</v>
      </c>
      <c r="B68" s="241" t="s">
        <v>157</v>
      </c>
      <c r="C68" s="228" t="s">
        <v>110</v>
      </c>
      <c r="D68" s="235" t="str">
        <f>IF(OR(j_WEEKDAY(J_ADDDAY(VLOOKUP(I68,A:F,6,FALSE),H68,1),0)=6,SUMIFS(Holieday[ok],Holieday[date],J_ADDDAY(VLOOKUP(I68,A:F,6,FALSE),H68,1)))=FALSE(),J_ADDDAY(VLOOKUP(I68,A:F,6,FALSE),H68,1),IF(OR(j_WEEKDAY(J_ADDDAY(VLOOKUP(I68,A:F,6,FALSE),H68+1,1),0)=6,SUMIFS(Holieday[ok],Holieday[date],J_ADDDAY(VLOOKUP(I68,A:F,6,FALSE),H68+1,1)))=FALSE(),J_ADDDAY(VLOOKUP(I68,A:F,6,FALSE),H68+1,1),IF(OR(j_WEEKDAY(J_ADDDAY(VLOOKUP(I68,A:F,6,FALSE),H68+2,1),0)=6,SUMIFS(Holieday[ok],Holieday[date],J_ADDDAY(VLOOKUP(I68,A:F,6,FALSE),H68+2,1)))=FALSE(),J_ADDDAY(VLOOKUP(I68,A:F,6,FALSE),H68+2,1),IF(OR(j_WEEKDAY(J_ADDDAY(VLOOKUP(I68,A:F,6,FALSE),H68+3,1),0)=6,SUMIFS(Holieday[ok],Holieday[date],J_ADDDAY(VLOOKUP(I68,A:F,6,FALSE),H68+3,1)))=FALSE(),J_ADDDAY(VLOOKUP(I68,A:F,6,FALSE),H68+3,1),IF(OR(j_WEEKDAY(J_ADDDAY(VLOOKUP(I68,A:F,6,FALSE),H68+4,1),0)=6,SUMIFS(Holieday[ok],Holieday[date],J_ADDDAY(VLOOKUP(I68,A:F,6,FALSE),H68+4,1)))=FALSE(),J_ADDDAY(VLOOKUP(I68,A:F,6,FALSE),H68+4,1),J_ADDDAY(VLOOKUP(I68,A:F,6,FALSE),H68+5,1))))))</f>
        <v>1398/07/22</v>
      </c>
      <c r="E68" s="1"/>
      <c r="F68" s="244" t="str">
        <f>IF(N68=0,J_SUBDAY(D68,1,1),IF((N68-(NETWORKDAYS.INTL(J_GregorianDate(D68,1),J_GregorianDate(J_SUBDAY(J_ADDDAY(D68,N68,1),1,1),1),16,1)))+SUMIFS(Holieday[ok],Holieday[date],CONCATENATE("&gt;","=",D68),Holieday[date],CONCATENATE("&lt;","=",J_SUBDAY(J_ADDDAY(D68,N68,1),1,1)))-SUMIFS(Holieday[Friday],Holieday[date],CONCATENATE("&gt;","=",D68),Holieday[date],CONCATENATE("&lt;","=",J_SUBDAY(J_ADDDAY(D68,N68,1),1,1)))=0,J_SUBDAY(J_ADDDAY(D68,N68,1),1,1),IF((N68+1-(NETWORKDAYS.INTL(J_GregorianDate(D68,1),J_GregorianDate(J_SUBDAY(J_ADDDAY(D68,N68+1,1),1,1),1),16,1)))+SUMIFS(Holieday[ok],Holieday[date],CONCATENATE("&gt;","=",D68),Holieday[date],CONCATENATE("&lt;","=",J_SUBDAY(J_ADDDAY(D68,N68+1,1),1,1)))-SUMIFS(Holieday[Friday],Holieday[date],CONCATENATE("&gt;","=",D68),Holieday[date],CONCATENATE("&lt;","=",J_SUBDAY(J_ADDDAY(D68,N68+1,1),1,1)))=1,J_SUBDAY(J_ADDDAY(D68,N68+1,1),1,1),IF((N68+2-(NETWORKDAYS.INTL(J_GregorianDate(D68,1),J_GregorianDate(J_SUBDAY(J_ADDDAY(D68,N68+2,1),1,1),1),16,1)))+SUMIFS(Holieday[ok],Holieday[date],CONCATENATE("&gt;","=",D68),Holieday[date],CONCATENATE("&lt;","=",J_SUBDAY(J_ADDDAY(D68,N68+2,1),1,1)))-SUMIFS(Holieday[Friday],Holieday[date],CONCATENATE("&gt;","=",D68),Holieday[date],CONCATENATE("&lt;","=",J_SUBDAY(J_ADDDAY(D68,N68+2,1),1,1)))=2,J_SUBDAY(J_ADDDAY(D68,N68+2,1),1,1),IF((N68+3-(NETWORKDAYS.INTL(J_GregorianDate(D68,1),J_GregorianDate(J_SUBDAY(J_ADDDAY(D68,N68+3,1),1,1),1),16,1)))+SUMIFS(Holieday[ok],Holieday[date],CONCATENATE("&gt;","=",D68),Holieday[date],CONCATENATE("&lt;","=",J_SUBDAY(J_ADDDAY(D68,N68+3,1),1,1)))-SUMIFS(Holieday[Friday],Holieday[date],CONCATENATE("&gt;","=",D68),Holieday[date],CONCATENATE("&lt;","=",J_SUBDAY(J_ADDDAY(D68,N68+3,1),1,1)))=3,J_SUBDAY(J_ADDDAY(D68,N68+3,1),1,1),IF((N68+4-(NETWORKDAYS.INTL(J_GregorianDate(D68,1),J_GregorianDate(J_SUBDAY(J_ADDDAY(D68,N68+4,1),1,1),1),16,1)))+SUMIFS(Holieday[ok],Holieday[date],CONCATENATE("&gt;","=",D68),Holieday[date],CONCATENATE("&lt;","=",J_SUBDAY(J_ADDDAY(D68,N68+4,1),1,1)))-SUMIFS(Holieday[Friday],Holieday[date],CONCATENATE("&gt;","=",D68),Holieday[date],CONCATENATE("&lt;","=",J_SUBDAY(J_ADDDAY(D68,N68+4,1),1,1)))=4,J_SUBDAY(J_ADDDAY(D68,N68+4,1),1,1),IF((N68+5-(NETWORKDAYS.INTL(J_GregorianDate(D68,1),J_GregorianDate(J_SUBDAY(J_ADDDAY(D68,N68+5,1),1,1),1),16,1)))+SUMIFS(Holieday[ok],Holieday[date],CONCATENATE("&gt;","=",D68),Holieday[date],CONCATENATE("&lt;","=",J_SUBDAY(J_ADDDAY(D68,N68+5,1),1,1)))-SUMIFS(Holieday[Friday],Holieday[date],CONCATENATE("&gt;","=",D68),Holieday[date],CONCATENATE("&lt;","=",J_SUBDAY(J_ADDDAY(D68,N68+5,1),1,1)))=5,J_SUBDAY(J_ADDDAY(D68,N68+5,1),1,1),J_SUBDAY(J_ADDDAY(D68,N68+6,1),1,1))))))))</f>
        <v>1398/07/28</v>
      </c>
      <c r="G68" s="2"/>
      <c r="H68" s="230">
        <v>1</v>
      </c>
      <c r="I68" s="231">
        <v>3.11</v>
      </c>
      <c r="J68" s="245">
        <f>j_WEEKDAY(D68,2)</f>
        <v>2</v>
      </c>
      <c r="K68" s="21"/>
      <c r="L68" s="246">
        <f t="shared" si="19"/>
        <v>7</v>
      </c>
      <c r="M68" s="233">
        <v>0</v>
      </c>
      <c r="N68" s="234">
        <v>5</v>
      </c>
      <c r="O68" s="10"/>
      <c r="P68" s="10"/>
      <c r="Q68" s="9"/>
      <c r="IY68" s="248"/>
      <c r="IZ68" s="248"/>
      <c r="JA68" s="249"/>
      <c r="JB68" s="249"/>
      <c r="JC68" s="249"/>
      <c r="JD68" s="250"/>
    </row>
    <row r="69" spans="1:264" s="247" customFormat="1" ht="13.5">
      <c r="A69" s="243">
        <v>3.13</v>
      </c>
      <c r="B69" s="241" t="s">
        <v>167</v>
      </c>
      <c r="C69" s="228" t="s">
        <v>111</v>
      </c>
      <c r="D69" s="235" t="str">
        <f>IF(OR(j_WEEKDAY(J_ADDDAY(VLOOKUP(I69,A:F,6,FALSE),H69,1),0)=6,SUMIFS(Holieday[ok],Holieday[date],J_ADDDAY(VLOOKUP(I69,A:F,6,FALSE),H69,1)))=FALSE(),J_ADDDAY(VLOOKUP(I69,A:F,6,FALSE),H69,1),IF(OR(j_WEEKDAY(J_ADDDAY(VLOOKUP(I69,A:F,6,FALSE),H69+1,1),0)=6,SUMIFS(Holieday[ok],Holieday[date],J_ADDDAY(VLOOKUP(I69,A:F,6,FALSE),H69+1,1)))=FALSE(),J_ADDDAY(VLOOKUP(I69,A:F,6,FALSE),H69+1,1),IF(OR(j_WEEKDAY(J_ADDDAY(VLOOKUP(I69,A:F,6,FALSE),H69+2,1),0)=6,SUMIFS(Holieday[ok],Holieday[date],J_ADDDAY(VLOOKUP(I69,A:F,6,FALSE),H69+2,1)))=FALSE(),J_ADDDAY(VLOOKUP(I69,A:F,6,FALSE),H69+2,1),IF(OR(j_WEEKDAY(J_ADDDAY(VLOOKUP(I69,A:F,6,FALSE),H69+3,1),0)=6,SUMIFS(Holieday[ok],Holieday[date],J_ADDDAY(VLOOKUP(I69,A:F,6,FALSE),H69+3,1)))=FALSE(),J_ADDDAY(VLOOKUP(I69,A:F,6,FALSE),H69+3,1),IF(OR(j_WEEKDAY(J_ADDDAY(VLOOKUP(I69,A:F,6,FALSE),H69+4,1),0)=6,SUMIFS(Holieday[ok],Holieday[date],J_ADDDAY(VLOOKUP(I69,A:F,6,FALSE),H69+4,1)))=FALSE(),J_ADDDAY(VLOOKUP(I69,A:F,6,FALSE),H69+4,1),J_ADDDAY(VLOOKUP(I69,A:F,6,FALSE),H69+5,1))))))</f>
        <v>1398/07/29</v>
      </c>
      <c r="E69" s="1"/>
      <c r="F69" s="251" t="str">
        <f>IF(N69=0,J_SUBDAY(D69,1,1),IF((N69-(NETWORKDAYS.INTL(J_GregorianDate(D69,1),J_GregorianDate(J_SUBDAY(J_ADDDAY(D69,N69,1),1,1),1),16,1)))+SUMIFS(Holieday[ok],Holieday[date],CONCATENATE("&gt;","=",D69),Holieday[date],CONCATENATE("&lt;","=",J_SUBDAY(J_ADDDAY(D69,N69,1),1,1)))-SUMIFS(Holieday[Friday],Holieday[date],CONCATENATE("&gt;","=",D69),Holieday[date],CONCATENATE("&lt;","=",J_SUBDAY(J_ADDDAY(D69,N69,1),1,1)))=0,J_SUBDAY(J_ADDDAY(D69,N69,1),1,1),IF((N69+1-(NETWORKDAYS.INTL(J_GregorianDate(D69,1),J_GregorianDate(J_SUBDAY(J_ADDDAY(D69,N69+1,1),1,1),1),16,1)))+SUMIFS(Holieday[ok],Holieday[date],CONCATENATE("&gt;","=",D69),Holieday[date],CONCATENATE("&lt;","=",J_SUBDAY(J_ADDDAY(D69,N69+1,1),1,1)))-SUMIFS(Holieday[Friday],Holieday[date],CONCATENATE("&gt;","=",D69),Holieday[date],CONCATENATE("&lt;","=",J_SUBDAY(J_ADDDAY(D69,N69+1,1),1,1)))=1,J_SUBDAY(J_ADDDAY(D69,N69+1,1),1,1),IF((N69+2-(NETWORKDAYS.INTL(J_GregorianDate(D69,1),J_GregorianDate(J_SUBDAY(J_ADDDAY(D69,N69+2,1),1,1),1),16,1)))+SUMIFS(Holieday[ok],Holieday[date],CONCATENATE("&gt;","=",D69),Holieday[date],CONCATENATE("&lt;","=",J_SUBDAY(J_ADDDAY(D69,N69+2,1),1,1)))-SUMIFS(Holieday[Friday],Holieday[date],CONCATENATE("&gt;","=",D69),Holieday[date],CONCATENATE("&lt;","=",J_SUBDAY(J_ADDDAY(D69,N69+2,1),1,1)))=2,J_SUBDAY(J_ADDDAY(D69,N69+2,1),1,1),IF((N69+3-(NETWORKDAYS.INTL(J_GregorianDate(D69,1),J_GregorianDate(J_SUBDAY(J_ADDDAY(D69,N69+3,1),1,1),1),16,1)))+SUMIFS(Holieday[ok],Holieday[date],CONCATENATE("&gt;","=",D69),Holieday[date],CONCATENATE("&lt;","=",J_SUBDAY(J_ADDDAY(D69,N69+3,1),1,1)))-SUMIFS(Holieday[Friday],Holieday[date],CONCATENATE("&gt;","=",D69),Holieday[date],CONCATENATE("&lt;","=",J_SUBDAY(J_ADDDAY(D69,N69+3,1),1,1)))=3,J_SUBDAY(J_ADDDAY(D69,N69+3,1),1,1),IF((N69+4-(NETWORKDAYS.INTL(J_GregorianDate(D69,1),J_GregorianDate(J_SUBDAY(J_ADDDAY(D69,N69+4,1),1,1),1),16,1)))+SUMIFS(Holieday[ok],Holieday[date],CONCATENATE("&gt;","=",D69),Holieday[date],CONCATENATE("&lt;","=",J_SUBDAY(J_ADDDAY(D69,N69+4,1),1,1)))-SUMIFS(Holieday[Friday],Holieday[date],CONCATENATE("&gt;","=",D69),Holieday[date],CONCATENATE("&lt;","=",J_SUBDAY(J_ADDDAY(D69,N69+4,1),1,1)))=4,J_SUBDAY(J_ADDDAY(D69,N69+4,1),1,1),IF((N69+5-(NETWORKDAYS.INTL(J_GregorianDate(D69,1),J_GregorianDate(J_SUBDAY(J_ADDDAY(D69,N69+5,1),1,1),1),16,1)))+SUMIFS(Holieday[ok],Holieday[date],CONCATENATE("&gt;","=",D69),Holieday[date],CONCATENATE("&lt;","=",J_SUBDAY(J_ADDDAY(D69,N69+5,1),1,1)))-SUMIFS(Holieday[Friday],Holieday[date],CONCATENATE("&gt;","=",D69),Holieday[date],CONCATENATE("&lt;","=",J_SUBDAY(J_ADDDAY(D69,N69+5,1),1,1)))=5,J_SUBDAY(J_ADDDAY(D69,N69+5,1),1,1),J_SUBDAY(J_ADDDAY(D69,N69+6,1),1,1))))))))</f>
        <v>1398/07/30</v>
      </c>
      <c r="G69" s="2"/>
      <c r="H69" s="230">
        <v>9</v>
      </c>
      <c r="I69" s="231">
        <v>3.4</v>
      </c>
      <c r="J69" s="245">
        <f>j_WEEKDAY(D69,2)</f>
        <v>2</v>
      </c>
      <c r="K69" s="21"/>
      <c r="L69" s="246">
        <f t="shared" si="19"/>
        <v>2</v>
      </c>
      <c r="M69" s="233">
        <v>0</v>
      </c>
      <c r="N69" s="234">
        <v>2</v>
      </c>
      <c r="O69" s="10"/>
      <c r="P69" s="10"/>
      <c r="Q69" s="9"/>
      <c r="IY69" s="248"/>
      <c r="IZ69" s="248"/>
      <c r="JA69" s="249"/>
      <c r="JB69" s="249"/>
      <c r="JC69" s="249"/>
      <c r="JD69" s="250"/>
    </row>
    <row r="70" spans="1:264" s="255" customFormat="1" ht="13.5">
      <c r="A70" s="252">
        <v>3.14</v>
      </c>
      <c r="B70" s="241" t="s">
        <v>173</v>
      </c>
      <c r="C70" s="228" t="s">
        <v>110</v>
      </c>
      <c r="D70" s="247" t="str">
        <f>IF(OR(j_WEEKDAY(J_ADDDAY(VLOOKUP(I70,A:F,6,FALSE),H70,1),0)=6,SUMIFS(Holieday[ok],Holieday[date],J_ADDDAY(VLOOKUP(I70,A:F,6,FALSE),H70,1)))=FALSE(),J_ADDDAY(VLOOKUP(I70,A:F,6,FALSE),H70,1),IF(OR(j_WEEKDAY(J_ADDDAY(VLOOKUP(I70,A:F,6,FALSE),H70+1,1),0)=6,SUMIFS(Holieday[ok],Holieday[date],J_ADDDAY(VLOOKUP(I70,A:F,6,FALSE),H70+1,1)))=FALSE(),J_ADDDAY(VLOOKUP(I70,A:F,6,FALSE),H70+1,1),IF(OR(j_WEEKDAY(J_ADDDAY(VLOOKUP(I70,A:F,6,FALSE),H70+2,1),0)=6,SUMIFS(Holieday[ok],Holieday[date],J_ADDDAY(VLOOKUP(I70,A:F,6,FALSE),H70+2,1)))=FALSE(),J_ADDDAY(VLOOKUP(I70,A:F,6,FALSE),H70+2,1),IF(OR(j_WEEKDAY(J_ADDDAY(VLOOKUP(I70,A:F,6,FALSE),H70+3,1),0)=6,SUMIFS(Holieday[ok],Holieday[date],J_ADDDAY(VLOOKUP(I70,A:F,6,FALSE),H70+3,1)))=FALSE(),J_ADDDAY(VLOOKUP(I70,A:F,6,FALSE),H70+3,1),IF(OR(j_WEEKDAY(J_ADDDAY(VLOOKUP(I70,A:F,6,FALSE),H70+4,1),0)=6,SUMIFS(Holieday[ok],Holieday[date],J_ADDDAY(VLOOKUP(I70,A:F,6,FALSE),H70+4,1)))=FALSE(),J_ADDDAY(VLOOKUP(I70,A:F,6,FALSE),H70+4,1),J_ADDDAY(VLOOKUP(I70,A:F,6,FALSE),H70+5,1))))))</f>
        <v>1398/08/01</v>
      </c>
      <c r="E70" s="1">
        <f t="shared" si="15"/>
        <v>13980801</v>
      </c>
      <c r="F70" s="251" t="str">
        <f>IF(N70=0,J_SUBDAY(D70,1,1),IF((N70-(NETWORKDAYS.INTL(J_GregorianDate(D70,1),J_GregorianDate(J_SUBDAY(J_ADDDAY(D70,N70,1),1,1),1),16,1)))+SUMIFS(Holieday[ok],Holieday[date],CONCATENATE("&gt;","=",D70),Holieday[date],CONCATENATE("&lt;","=",J_SUBDAY(J_ADDDAY(D70,N70,1),1,1)))-SUMIFS(Holieday[Friday],Holieday[date],CONCATENATE("&gt;","=",D70),Holieday[date],CONCATENATE("&lt;","=",J_SUBDAY(J_ADDDAY(D70,N70,1),1,1)))=0,J_SUBDAY(J_ADDDAY(D70,N70,1),1,1),IF((N70+1-(NETWORKDAYS.INTL(J_GregorianDate(D70,1),J_GregorianDate(J_SUBDAY(J_ADDDAY(D70,N70+1,1),1,1),1),16,1)))+SUMIFS(Holieday[ok],Holieday[date],CONCATENATE("&gt;","=",D70),Holieday[date],CONCATENATE("&lt;","=",J_SUBDAY(J_ADDDAY(D70,N70+1,1),1,1)))-SUMIFS(Holieday[Friday],Holieday[date],CONCATENATE("&gt;","=",D70),Holieday[date],CONCATENATE("&lt;","=",J_SUBDAY(J_ADDDAY(D70,N70+1,1),1,1)))=1,J_SUBDAY(J_ADDDAY(D70,N70+1,1),1,1),IF((N70+2-(NETWORKDAYS.INTL(J_GregorianDate(D70,1),J_GregorianDate(J_SUBDAY(J_ADDDAY(D70,N70+2,1),1,1),1),16,1)))+SUMIFS(Holieday[ok],Holieday[date],CONCATENATE("&gt;","=",D70),Holieday[date],CONCATENATE("&lt;","=",J_SUBDAY(J_ADDDAY(D70,N70+2,1),1,1)))-SUMIFS(Holieday[Friday],Holieday[date],CONCATENATE("&gt;","=",D70),Holieday[date],CONCATENATE("&lt;","=",J_SUBDAY(J_ADDDAY(D70,N70+2,1),1,1)))=2,J_SUBDAY(J_ADDDAY(D70,N70+2,1),1,1),IF((N70+3-(NETWORKDAYS.INTL(J_GregorianDate(D70,1),J_GregorianDate(J_SUBDAY(J_ADDDAY(D70,N70+3,1),1,1),1),16,1)))+SUMIFS(Holieday[ok],Holieday[date],CONCATENATE("&gt;","=",D70),Holieday[date],CONCATENATE("&lt;","=",J_SUBDAY(J_ADDDAY(D70,N70+3,1),1,1)))-SUMIFS(Holieday[Friday],Holieday[date],CONCATENATE("&gt;","=",D70),Holieday[date],CONCATENATE("&lt;","=",J_SUBDAY(J_ADDDAY(D70,N70+3,1),1,1)))=3,J_SUBDAY(J_ADDDAY(D70,N70+3,1),1,1),IF((N70+4-(NETWORKDAYS.INTL(J_GregorianDate(D70,1),J_GregorianDate(J_SUBDAY(J_ADDDAY(D70,N70+4,1),1,1),1),16,1)))+SUMIFS(Holieday[ok],Holieday[date],CONCATENATE("&gt;","=",D70),Holieday[date],CONCATENATE("&lt;","=",J_SUBDAY(J_ADDDAY(D70,N70+4,1),1,1)))-SUMIFS(Holieday[Friday],Holieday[date],CONCATENATE("&gt;","=",D70),Holieday[date],CONCATENATE("&lt;","=",J_SUBDAY(J_ADDDAY(D70,N70+4,1),1,1)))=4,J_SUBDAY(J_ADDDAY(D70,N70+4,1),1,1),IF((N70+5-(NETWORKDAYS.INTL(J_GregorianDate(D70,1),J_GregorianDate(J_SUBDAY(J_ADDDAY(D70,N70+5,1),1,1),1),16,1)))+SUMIFS(Holieday[ok],Holieday[date],CONCATENATE("&gt;","=",D70),Holieday[date],CONCATENATE("&lt;","=",J_SUBDAY(J_ADDDAY(D70,N70+5,1),1,1)))-SUMIFS(Holieday[Friday],Holieday[date],CONCATENATE("&gt;","=",D70),Holieday[date],CONCATENATE("&lt;","=",J_SUBDAY(J_ADDDAY(D70,N70+5,1),1,1)))=5,J_SUBDAY(J_ADDDAY(D70,N70+5,1),1,1),J_SUBDAY(J_ADDDAY(D70,N70+6,1),1,1))))))))</f>
        <v>1398/08/06</v>
      </c>
      <c r="G70" s="2">
        <f t="shared" si="16"/>
        <v>13980806</v>
      </c>
      <c r="H70" s="230">
        <v>1</v>
      </c>
      <c r="I70" s="231">
        <v>3.13</v>
      </c>
      <c r="J70" s="245">
        <f>j_WEEKDAY(D70,2)</f>
        <v>4</v>
      </c>
      <c r="K70" s="21">
        <f t="shared" si="18"/>
        <v>0</v>
      </c>
      <c r="L70" s="246">
        <f t="shared" si="19"/>
        <v>6</v>
      </c>
      <c r="M70" s="233">
        <v>0</v>
      </c>
      <c r="N70" s="234">
        <v>4</v>
      </c>
      <c r="O70" s="10">
        <f t="shared" si="17"/>
        <v>0</v>
      </c>
      <c r="P70" s="10">
        <f>VALUE(J_normdate(J_ADDDAY($D70,$O70,1)))</f>
        <v>13980801</v>
      </c>
      <c r="Q70" s="9">
        <f t="shared" si="14"/>
        <v>6</v>
      </c>
      <c r="R70" s="247"/>
      <c r="S70" s="247"/>
      <c r="T70" s="247"/>
      <c r="U70" s="247"/>
      <c r="V70" s="247"/>
      <c r="W70" s="247"/>
      <c r="X70" s="247"/>
      <c r="Y70" s="247"/>
      <c r="Z70" s="247"/>
      <c r="AA70" s="247"/>
      <c r="AB70" s="247"/>
      <c r="AC70" s="247"/>
      <c r="AD70" s="247"/>
      <c r="AE70" s="247"/>
      <c r="AF70" s="247"/>
      <c r="AG70" s="247"/>
      <c r="AH70" s="247"/>
      <c r="AI70" s="247"/>
      <c r="AJ70" s="247"/>
      <c r="AK70" s="247"/>
      <c r="AL70" s="247"/>
      <c r="AM70" s="247"/>
      <c r="AN70" s="247"/>
      <c r="AO70" s="247"/>
      <c r="AP70" s="247"/>
      <c r="AQ70" s="247"/>
      <c r="AR70" s="247"/>
      <c r="AS70" s="247"/>
      <c r="AT70" s="247"/>
      <c r="AU70" s="247"/>
      <c r="AV70" s="247"/>
      <c r="AW70" s="247"/>
      <c r="AX70" s="247"/>
      <c r="AY70" s="247"/>
      <c r="AZ70" s="247"/>
      <c r="BA70" s="247"/>
      <c r="BB70" s="247"/>
      <c r="BC70" s="247"/>
      <c r="BD70" s="247"/>
      <c r="BE70" s="247"/>
      <c r="BF70" s="247"/>
      <c r="BG70" s="247"/>
      <c r="BH70" s="247"/>
      <c r="BI70" s="247"/>
      <c r="BJ70" s="247"/>
      <c r="BK70" s="247"/>
      <c r="BL70" s="247"/>
      <c r="BM70" s="247"/>
      <c r="BN70" s="247"/>
      <c r="BO70" s="247"/>
      <c r="BP70" s="247"/>
      <c r="BQ70" s="247"/>
      <c r="BR70" s="247"/>
      <c r="BS70" s="247"/>
      <c r="BT70" s="247"/>
      <c r="BU70" s="247"/>
      <c r="BV70" s="247"/>
      <c r="BW70" s="247"/>
      <c r="BX70" s="247"/>
      <c r="BY70" s="247"/>
      <c r="BZ70" s="247"/>
      <c r="CA70" s="247"/>
      <c r="CB70" s="247"/>
      <c r="CC70" s="247"/>
      <c r="CD70" s="247"/>
      <c r="CE70" s="247"/>
      <c r="CF70" s="247"/>
      <c r="CG70" s="247"/>
      <c r="CH70" s="247"/>
      <c r="CI70" s="247"/>
      <c r="CJ70" s="247"/>
      <c r="CK70" s="247"/>
      <c r="CL70" s="247"/>
      <c r="CM70" s="247"/>
      <c r="CN70" s="247"/>
      <c r="CO70" s="247"/>
      <c r="CP70" s="247"/>
      <c r="CQ70" s="247"/>
      <c r="CR70" s="247"/>
      <c r="CS70" s="247"/>
      <c r="CT70" s="247"/>
      <c r="CU70" s="247"/>
      <c r="CV70" s="247"/>
      <c r="CW70" s="247"/>
      <c r="CX70" s="247"/>
      <c r="CY70" s="247"/>
      <c r="CZ70" s="247"/>
      <c r="DA70" s="247"/>
      <c r="DB70" s="247"/>
      <c r="DC70" s="247"/>
      <c r="DD70" s="247"/>
      <c r="DE70" s="247"/>
      <c r="DF70" s="247"/>
      <c r="DG70" s="247"/>
      <c r="DH70" s="247"/>
      <c r="DI70" s="247"/>
      <c r="DJ70" s="247"/>
      <c r="DK70" s="247"/>
      <c r="DL70" s="247"/>
      <c r="DM70" s="247"/>
      <c r="DN70" s="247"/>
      <c r="DO70" s="247"/>
      <c r="DP70" s="247"/>
      <c r="DQ70" s="247"/>
      <c r="DR70" s="247"/>
      <c r="DS70" s="247"/>
      <c r="DT70" s="247"/>
      <c r="DU70" s="247"/>
      <c r="DV70" s="247"/>
      <c r="DW70" s="247"/>
      <c r="DX70" s="247"/>
      <c r="DY70" s="247"/>
      <c r="DZ70" s="247"/>
      <c r="EA70" s="247"/>
      <c r="EB70" s="247"/>
      <c r="EC70" s="247"/>
      <c r="ED70" s="247"/>
      <c r="EE70" s="247"/>
      <c r="EF70" s="247"/>
      <c r="EG70" s="247"/>
      <c r="EH70" s="247"/>
      <c r="EI70" s="247"/>
      <c r="EJ70" s="247"/>
      <c r="EK70" s="247"/>
      <c r="EL70" s="247"/>
      <c r="EM70" s="247"/>
      <c r="EN70" s="247"/>
      <c r="EO70" s="247"/>
      <c r="EP70" s="247"/>
      <c r="EQ70" s="247"/>
      <c r="ER70" s="247"/>
      <c r="ES70" s="247"/>
      <c r="ET70" s="247"/>
      <c r="EU70" s="247"/>
      <c r="EV70" s="247"/>
      <c r="EW70" s="247"/>
      <c r="EX70" s="247"/>
      <c r="EY70" s="247"/>
      <c r="EZ70" s="247"/>
      <c r="FA70" s="247"/>
      <c r="FB70" s="247"/>
      <c r="FC70" s="247"/>
      <c r="FD70" s="247"/>
      <c r="FE70" s="247"/>
      <c r="FF70" s="247"/>
      <c r="FG70" s="247"/>
      <c r="FH70" s="247"/>
      <c r="FI70" s="247"/>
      <c r="FJ70" s="247"/>
      <c r="FK70" s="247"/>
      <c r="FL70" s="247"/>
      <c r="FM70" s="247"/>
      <c r="FN70" s="247"/>
      <c r="FO70" s="247"/>
      <c r="FP70" s="247"/>
      <c r="FQ70" s="247"/>
      <c r="FR70" s="247"/>
      <c r="FS70" s="247"/>
      <c r="FT70" s="247"/>
      <c r="FU70" s="247"/>
      <c r="FV70" s="247"/>
      <c r="FW70" s="247"/>
      <c r="FX70" s="247"/>
      <c r="FY70" s="247"/>
      <c r="FZ70" s="247"/>
      <c r="GA70" s="247"/>
      <c r="GB70" s="247"/>
      <c r="GC70" s="247"/>
      <c r="GD70" s="247"/>
      <c r="GE70" s="247"/>
      <c r="GF70" s="247"/>
      <c r="GG70" s="247"/>
      <c r="GH70" s="247"/>
      <c r="GI70" s="247"/>
      <c r="GJ70" s="247"/>
      <c r="GK70" s="247"/>
      <c r="GL70" s="247"/>
      <c r="GM70" s="247"/>
      <c r="GN70" s="247"/>
      <c r="GO70" s="247"/>
      <c r="GP70" s="247"/>
      <c r="GQ70" s="247"/>
      <c r="GR70" s="247"/>
      <c r="GS70" s="247"/>
      <c r="GT70" s="247"/>
      <c r="GU70" s="247"/>
      <c r="GV70" s="247"/>
      <c r="GW70" s="247"/>
      <c r="GX70" s="247"/>
      <c r="GY70" s="247"/>
      <c r="GZ70" s="247"/>
      <c r="HA70" s="247"/>
      <c r="HB70" s="247"/>
      <c r="HC70" s="247"/>
      <c r="HD70" s="247"/>
      <c r="HE70" s="247"/>
      <c r="HF70" s="247"/>
      <c r="HG70" s="247"/>
      <c r="HH70" s="247"/>
      <c r="HI70" s="247"/>
      <c r="HJ70" s="247"/>
      <c r="HK70" s="247"/>
      <c r="HL70" s="247"/>
      <c r="HM70" s="247"/>
      <c r="HN70" s="247"/>
      <c r="HO70" s="247"/>
      <c r="HP70" s="247"/>
      <c r="HQ70" s="247"/>
      <c r="HR70" s="247"/>
      <c r="HS70" s="247"/>
      <c r="HT70" s="247"/>
      <c r="HU70" s="247"/>
      <c r="HV70" s="247"/>
      <c r="HW70" s="247"/>
      <c r="HX70" s="247"/>
      <c r="HY70" s="247"/>
      <c r="HZ70" s="247"/>
      <c r="IA70" s="247"/>
      <c r="IB70" s="247"/>
      <c r="IC70" s="247"/>
      <c r="ID70" s="247"/>
      <c r="IE70" s="247"/>
      <c r="IF70" s="247"/>
      <c r="IG70" s="247"/>
      <c r="IH70" s="247"/>
      <c r="II70" s="247"/>
      <c r="IJ70" s="247"/>
      <c r="IK70" s="247"/>
      <c r="IL70" s="247"/>
      <c r="IM70" s="247"/>
      <c r="IN70" s="247"/>
      <c r="IO70" s="247"/>
      <c r="IP70" s="247"/>
      <c r="IQ70" s="247"/>
      <c r="IR70" s="247"/>
      <c r="IS70" s="247"/>
      <c r="IT70" s="247"/>
      <c r="IU70" s="247"/>
      <c r="IV70" s="247"/>
      <c r="IW70" s="247"/>
      <c r="IX70" s="247"/>
      <c r="IY70" s="236">
        <v>1</v>
      </c>
      <c r="IZ70" s="236"/>
      <c r="JA70" s="253"/>
      <c r="JB70" s="253"/>
      <c r="JC70" s="253"/>
      <c r="JD70" s="254">
        <f>SUM((TEXT(JA70,"[M]")/60)*'Income Person-hours'!$D$3,(TEXT(JB70,"[M]")/60)*'Income Person-hours'!$D$4,(TEXT(JC70,"[M]")/60)*'Income Person-hours'!$D$5)</f>
        <v>0</v>
      </c>
    </row>
    <row r="71" spans="1:264" s="255" customFormat="1" ht="13.5">
      <c r="A71" s="252">
        <v>3.15</v>
      </c>
      <c r="B71" s="241" t="s">
        <v>174</v>
      </c>
      <c r="C71" s="228" t="s">
        <v>111</v>
      </c>
      <c r="D71" s="247" t="str">
        <f>IF(OR(j_WEEKDAY(J_ADDDAY(VLOOKUP(I71,A:F,6,FALSE),H71,1),0)=6,SUMIFS(Holieday[ok],Holieday[date],J_ADDDAY(VLOOKUP(I71,A:F,6,FALSE),H71,1)))=FALSE(),J_ADDDAY(VLOOKUP(I71,A:F,6,FALSE),H71,1),IF(OR(j_WEEKDAY(J_ADDDAY(VLOOKUP(I71,A:F,6,FALSE),H71+1,1),0)=6,SUMIFS(Holieday[ok],Holieday[date],J_ADDDAY(VLOOKUP(I71,A:F,6,FALSE),H71+1,1)))=FALSE(),J_ADDDAY(VLOOKUP(I71,A:F,6,FALSE),H71+1,1),IF(OR(j_WEEKDAY(J_ADDDAY(VLOOKUP(I71,A:F,6,FALSE),H71+2,1),0)=6,SUMIFS(Holieday[ok],Holieday[date],J_ADDDAY(VLOOKUP(I71,A:F,6,FALSE),H71+2,1)))=FALSE(),J_ADDDAY(VLOOKUP(I71,A:F,6,FALSE),H71+2,1),IF(OR(j_WEEKDAY(J_ADDDAY(VLOOKUP(I71,A:F,6,FALSE),H71+3,1),0)=6,SUMIFS(Holieday[ok],Holieday[date],J_ADDDAY(VLOOKUP(I71,A:F,6,FALSE),H71+3,1)))=FALSE(),J_ADDDAY(VLOOKUP(I71,A:F,6,FALSE),H71+3,1),IF(OR(j_WEEKDAY(J_ADDDAY(VLOOKUP(I71,A:F,6,FALSE),H71+4,1),0)=6,SUMIFS(Holieday[ok],Holieday[date],J_ADDDAY(VLOOKUP(I71,A:F,6,FALSE),H71+4,1)))=FALSE(),J_ADDDAY(VLOOKUP(I71,A:F,6,FALSE),H71+4,1),J_ADDDAY(VLOOKUP(I71,A:F,6,FALSE),H71+5,1))))))</f>
        <v>1398/07/24</v>
      </c>
      <c r="E71" s="1"/>
      <c r="F71" s="251" t="str">
        <f>IF(N71=0,J_SUBDAY(D71,1,1),IF((N71-(NETWORKDAYS.INTL(J_GregorianDate(D71,1),J_GregorianDate(J_SUBDAY(J_ADDDAY(D71,N71,1),1,1),1),16,1)))+SUMIFS(Holieday[ok],Holieday[date],CONCATENATE("&gt;","=",D71),Holieday[date],CONCATENATE("&lt;","=",J_SUBDAY(J_ADDDAY(D71,N71,1),1,1)))-SUMIFS(Holieday[Friday],Holieday[date],CONCATENATE("&gt;","=",D71),Holieday[date],CONCATENATE("&lt;","=",J_SUBDAY(J_ADDDAY(D71,N71,1),1,1)))=0,J_SUBDAY(J_ADDDAY(D71,N71,1),1,1),IF((N71+1-(NETWORKDAYS.INTL(J_GregorianDate(D71,1),J_GregorianDate(J_SUBDAY(J_ADDDAY(D71,N71+1,1),1,1),1),16,1)))+SUMIFS(Holieday[ok],Holieday[date],CONCATENATE("&gt;","=",D71),Holieday[date],CONCATENATE("&lt;","=",J_SUBDAY(J_ADDDAY(D71,N71+1,1),1,1)))-SUMIFS(Holieday[Friday],Holieday[date],CONCATENATE("&gt;","=",D71),Holieday[date],CONCATENATE("&lt;","=",J_SUBDAY(J_ADDDAY(D71,N71+1,1),1,1)))=1,J_SUBDAY(J_ADDDAY(D71,N71+1,1),1,1),IF((N71+2-(NETWORKDAYS.INTL(J_GregorianDate(D71,1),J_GregorianDate(J_SUBDAY(J_ADDDAY(D71,N71+2,1),1,1),1),16,1)))+SUMIFS(Holieday[ok],Holieday[date],CONCATENATE("&gt;","=",D71),Holieday[date],CONCATENATE("&lt;","=",J_SUBDAY(J_ADDDAY(D71,N71+2,1),1,1)))-SUMIFS(Holieday[Friday],Holieday[date],CONCATENATE("&gt;","=",D71),Holieday[date],CONCATENATE("&lt;","=",J_SUBDAY(J_ADDDAY(D71,N71+2,1),1,1)))=2,J_SUBDAY(J_ADDDAY(D71,N71+2,1),1,1),IF((N71+3-(NETWORKDAYS.INTL(J_GregorianDate(D71,1),J_GregorianDate(J_SUBDAY(J_ADDDAY(D71,N71+3,1),1,1),1),16,1)))+SUMIFS(Holieday[ok],Holieday[date],CONCATENATE("&gt;","=",D71),Holieday[date],CONCATENATE("&lt;","=",J_SUBDAY(J_ADDDAY(D71,N71+3,1),1,1)))-SUMIFS(Holieday[Friday],Holieday[date],CONCATENATE("&gt;","=",D71),Holieday[date],CONCATENATE("&lt;","=",J_SUBDAY(J_ADDDAY(D71,N71+3,1),1,1)))=3,J_SUBDAY(J_ADDDAY(D71,N71+3,1),1,1),IF((N71+4-(NETWORKDAYS.INTL(J_GregorianDate(D71,1),J_GregorianDate(J_SUBDAY(J_ADDDAY(D71,N71+4,1),1,1),1),16,1)))+SUMIFS(Holieday[ok],Holieday[date],CONCATENATE("&gt;","=",D71),Holieday[date],CONCATENATE("&lt;","=",J_SUBDAY(J_ADDDAY(D71,N71+4,1),1,1)))-SUMIFS(Holieday[Friday],Holieday[date],CONCATENATE("&gt;","=",D71),Holieday[date],CONCATENATE("&lt;","=",J_SUBDAY(J_ADDDAY(D71,N71+4,1),1,1)))=4,J_SUBDAY(J_ADDDAY(D71,N71+4,1),1,1),IF((N71+5-(NETWORKDAYS.INTL(J_GregorianDate(D71,1),J_GregorianDate(J_SUBDAY(J_ADDDAY(D71,N71+5,1),1,1),1),16,1)))+SUMIFS(Holieday[ok],Holieday[date],CONCATENATE("&gt;","=",D71),Holieday[date],CONCATENATE("&lt;","=",J_SUBDAY(J_ADDDAY(D71,N71+5,1),1,1)))-SUMIFS(Holieday[Friday],Holieday[date],CONCATENATE("&gt;","=",D71),Holieday[date],CONCATENATE("&lt;","=",J_SUBDAY(J_ADDDAY(D71,N71+5,1),1,1)))=5,J_SUBDAY(J_ADDDAY(D71,N71+5,1),1,1),J_SUBDAY(J_ADDDAY(D71,N71+6,1),1,1))))))))</f>
        <v>1398/07/28</v>
      </c>
      <c r="G71" s="2"/>
      <c r="H71" s="230">
        <v>1</v>
      </c>
      <c r="I71" s="231">
        <v>3.5</v>
      </c>
      <c r="J71" s="245">
        <f>j_WEEKDAY(D71,2)</f>
        <v>4</v>
      </c>
      <c r="K71" s="21"/>
      <c r="L71" s="246">
        <f t="shared" si="19"/>
        <v>5</v>
      </c>
      <c r="M71" s="233">
        <v>0</v>
      </c>
      <c r="N71" s="234">
        <v>3</v>
      </c>
      <c r="O71" s="10"/>
      <c r="P71" s="10"/>
      <c r="Q71" s="9"/>
      <c r="R71" s="247"/>
      <c r="S71" s="247"/>
      <c r="T71" s="247"/>
      <c r="U71" s="247"/>
      <c r="V71" s="247"/>
      <c r="W71" s="247"/>
      <c r="X71" s="247"/>
      <c r="Y71" s="247"/>
      <c r="Z71" s="247"/>
      <c r="AA71" s="247"/>
      <c r="AB71" s="247"/>
      <c r="AC71" s="247"/>
      <c r="AD71" s="247"/>
      <c r="AE71" s="247"/>
      <c r="AF71" s="247"/>
      <c r="AG71" s="247"/>
      <c r="AH71" s="247"/>
      <c r="AI71" s="247"/>
      <c r="AJ71" s="247"/>
      <c r="AK71" s="247"/>
      <c r="AL71" s="247"/>
      <c r="AM71" s="247"/>
      <c r="AN71" s="247"/>
      <c r="AO71" s="247"/>
      <c r="AP71" s="247"/>
      <c r="AQ71" s="247"/>
      <c r="AR71" s="247"/>
      <c r="AS71" s="247"/>
      <c r="AT71" s="247"/>
      <c r="AU71" s="247"/>
      <c r="AV71" s="247"/>
      <c r="AW71" s="247"/>
      <c r="AX71" s="247"/>
      <c r="AY71" s="247"/>
      <c r="AZ71" s="247"/>
      <c r="BA71" s="247"/>
      <c r="BB71" s="247"/>
      <c r="BC71" s="247"/>
      <c r="BD71" s="247"/>
      <c r="BE71" s="247"/>
      <c r="BF71" s="247"/>
      <c r="BG71" s="247"/>
      <c r="BH71" s="247"/>
      <c r="BI71" s="247"/>
      <c r="BJ71" s="247"/>
      <c r="BK71" s="247"/>
      <c r="BL71" s="247"/>
      <c r="BM71" s="247"/>
      <c r="BN71" s="247"/>
      <c r="BO71" s="247"/>
      <c r="BP71" s="247"/>
      <c r="BQ71" s="247"/>
      <c r="BR71" s="247"/>
      <c r="BS71" s="247"/>
      <c r="BT71" s="247"/>
      <c r="BU71" s="247"/>
      <c r="BV71" s="247"/>
      <c r="BW71" s="247"/>
      <c r="BX71" s="247"/>
      <c r="BY71" s="247"/>
      <c r="BZ71" s="247"/>
      <c r="CA71" s="247"/>
      <c r="CB71" s="247"/>
      <c r="CC71" s="247"/>
      <c r="CD71" s="247"/>
      <c r="CE71" s="247"/>
      <c r="CF71" s="247"/>
      <c r="CG71" s="247"/>
      <c r="CH71" s="247"/>
      <c r="CI71" s="247"/>
      <c r="CJ71" s="247"/>
      <c r="CK71" s="247"/>
      <c r="CL71" s="247"/>
      <c r="CM71" s="247"/>
      <c r="CN71" s="247"/>
      <c r="CO71" s="247"/>
      <c r="CP71" s="247"/>
      <c r="CQ71" s="247"/>
      <c r="CR71" s="247"/>
      <c r="CS71" s="247"/>
      <c r="CT71" s="247"/>
      <c r="CU71" s="247"/>
      <c r="CV71" s="247"/>
      <c r="CW71" s="247"/>
      <c r="CX71" s="247"/>
      <c r="CY71" s="247"/>
      <c r="CZ71" s="247"/>
      <c r="DA71" s="247"/>
      <c r="DB71" s="247"/>
      <c r="DC71" s="247"/>
      <c r="DD71" s="247"/>
      <c r="DE71" s="247"/>
      <c r="DF71" s="247"/>
      <c r="DG71" s="247"/>
      <c r="DH71" s="247"/>
      <c r="DI71" s="247"/>
      <c r="DJ71" s="247"/>
      <c r="DK71" s="247"/>
      <c r="DL71" s="247"/>
      <c r="DM71" s="247"/>
      <c r="DN71" s="247"/>
      <c r="DO71" s="247"/>
      <c r="DP71" s="247"/>
      <c r="DQ71" s="247"/>
      <c r="DR71" s="247"/>
      <c r="DS71" s="247"/>
      <c r="DT71" s="247"/>
      <c r="DU71" s="247"/>
      <c r="DV71" s="247"/>
      <c r="DW71" s="247"/>
      <c r="DX71" s="247"/>
      <c r="DY71" s="247"/>
      <c r="DZ71" s="247"/>
      <c r="EA71" s="247"/>
      <c r="EB71" s="247"/>
      <c r="EC71" s="247"/>
      <c r="ED71" s="247"/>
      <c r="EE71" s="247"/>
      <c r="EF71" s="247"/>
      <c r="EG71" s="247"/>
      <c r="EH71" s="247"/>
      <c r="EI71" s="247"/>
      <c r="EJ71" s="247"/>
      <c r="EK71" s="247"/>
      <c r="EL71" s="247"/>
      <c r="EM71" s="247"/>
      <c r="EN71" s="247"/>
      <c r="EO71" s="247"/>
      <c r="EP71" s="247"/>
      <c r="EQ71" s="247"/>
      <c r="ER71" s="247"/>
      <c r="ES71" s="247"/>
      <c r="ET71" s="247"/>
      <c r="EU71" s="247"/>
      <c r="EV71" s="247"/>
      <c r="EW71" s="247"/>
      <c r="EX71" s="247"/>
      <c r="EY71" s="247"/>
      <c r="EZ71" s="247"/>
      <c r="FA71" s="247"/>
      <c r="FB71" s="247"/>
      <c r="FC71" s="247"/>
      <c r="FD71" s="247"/>
      <c r="FE71" s="247"/>
      <c r="FF71" s="247"/>
      <c r="FG71" s="247"/>
      <c r="FH71" s="247"/>
      <c r="FI71" s="247"/>
      <c r="FJ71" s="247"/>
      <c r="FK71" s="247"/>
      <c r="FL71" s="247"/>
      <c r="FM71" s="247"/>
      <c r="FN71" s="247"/>
      <c r="FO71" s="247"/>
      <c r="FP71" s="247"/>
      <c r="FQ71" s="247"/>
      <c r="FR71" s="247"/>
      <c r="FS71" s="247"/>
      <c r="FT71" s="247"/>
      <c r="FU71" s="247"/>
      <c r="FV71" s="247"/>
      <c r="FW71" s="247"/>
      <c r="FX71" s="247"/>
      <c r="FY71" s="247"/>
      <c r="FZ71" s="247"/>
      <c r="GA71" s="247"/>
      <c r="GB71" s="247"/>
      <c r="GC71" s="247"/>
      <c r="GD71" s="247"/>
      <c r="GE71" s="247"/>
      <c r="GF71" s="247"/>
      <c r="GG71" s="247"/>
      <c r="GH71" s="247"/>
      <c r="GI71" s="247"/>
      <c r="GJ71" s="247"/>
      <c r="GK71" s="247"/>
      <c r="GL71" s="247"/>
      <c r="GM71" s="247"/>
      <c r="GN71" s="247"/>
      <c r="GO71" s="247"/>
      <c r="GP71" s="247"/>
      <c r="GQ71" s="247"/>
      <c r="GR71" s="247"/>
      <c r="GS71" s="247"/>
      <c r="GT71" s="247"/>
      <c r="GU71" s="247"/>
      <c r="GV71" s="247"/>
      <c r="GW71" s="247"/>
      <c r="GX71" s="247"/>
      <c r="GY71" s="247"/>
      <c r="GZ71" s="247"/>
      <c r="HA71" s="247"/>
      <c r="HB71" s="247"/>
      <c r="HC71" s="247"/>
      <c r="HD71" s="247"/>
      <c r="HE71" s="247"/>
      <c r="HF71" s="247"/>
      <c r="HG71" s="247"/>
      <c r="HH71" s="247"/>
      <c r="HI71" s="247"/>
      <c r="HJ71" s="247"/>
      <c r="HK71" s="247"/>
      <c r="HL71" s="247"/>
      <c r="HM71" s="247"/>
      <c r="HN71" s="247"/>
      <c r="HO71" s="247"/>
      <c r="HP71" s="247"/>
      <c r="HQ71" s="247"/>
      <c r="HR71" s="247"/>
      <c r="HS71" s="247"/>
      <c r="HT71" s="247"/>
      <c r="HU71" s="247"/>
      <c r="HV71" s="247"/>
      <c r="HW71" s="247"/>
      <c r="HX71" s="247"/>
      <c r="HY71" s="247"/>
      <c r="HZ71" s="247"/>
      <c r="IA71" s="247"/>
      <c r="IB71" s="247"/>
      <c r="IC71" s="247"/>
      <c r="ID71" s="247"/>
      <c r="IE71" s="247"/>
      <c r="IF71" s="247"/>
      <c r="IG71" s="247"/>
      <c r="IH71" s="247"/>
      <c r="II71" s="247"/>
      <c r="IJ71" s="247"/>
      <c r="IK71" s="247"/>
      <c r="IL71" s="247"/>
      <c r="IM71" s="247"/>
      <c r="IN71" s="247"/>
      <c r="IO71" s="247"/>
      <c r="IP71" s="247"/>
      <c r="IQ71" s="247"/>
      <c r="IR71" s="247"/>
      <c r="IS71" s="247"/>
      <c r="IT71" s="247"/>
      <c r="IU71" s="247"/>
      <c r="IV71" s="247"/>
      <c r="IW71" s="247"/>
      <c r="IX71" s="247"/>
      <c r="IY71" s="236"/>
      <c r="IZ71" s="236"/>
      <c r="JA71" s="253"/>
      <c r="JB71" s="253"/>
      <c r="JC71" s="253"/>
      <c r="JD71" s="254"/>
    </row>
    <row r="72" spans="1:264" s="255" customFormat="1" ht="13.5">
      <c r="A72" s="256">
        <v>3.16</v>
      </c>
      <c r="B72" s="241" t="s">
        <v>175</v>
      </c>
      <c r="C72" s="228" t="s">
        <v>110</v>
      </c>
      <c r="D72" s="247" t="str">
        <f>IF(OR(j_WEEKDAY(J_ADDDAY(VLOOKUP(I72,A:F,6,FALSE),H72,1),0)=6,SUMIFS(Holieday[ok],Holieday[date],J_ADDDAY(VLOOKUP(I72,A:F,6,FALSE),H72,1)))=FALSE(),J_ADDDAY(VLOOKUP(I72,A:F,6,FALSE),H72,1),IF(OR(j_WEEKDAY(J_ADDDAY(VLOOKUP(I72,A:F,6,FALSE),H72+1,1),0)=6,SUMIFS(Holieday[ok],Holieday[date],J_ADDDAY(VLOOKUP(I72,A:F,6,FALSE),H72+1,1)))=FALSE(),J_ADDDAY(VLOOKUP(I72,A:F,6,FALSE),H72+1,1),IF(OR(j_WEEKDAY(J_ADDDAY(VLOOKUP(I72,A:F,6,FALSE),H72+2,1),0)=6,SUMIFS(Holieday[ok],Holieday[date],J_ADDDAY(VLOOKUP(I72,A:F,6,FALSE),H72+2,1)))=FALSE(),J_ADDDAY(VLOOKUP(I72,A:F,6,FALSE),H72+2,1),IF(OR(j_WEEKDAY(J_ADDDAY(VLOOKUP(I72,A:F,6,FALSE),H72+3,1),0)=6,SUMIFS(Holieday[ok],Holieday[date],J_ADDDAY(VLOOKUP(I72,A:F,6,FALSE),H72+3,1)))=FALSE(),J_ADDDAY(VLOOKUP(I72,A:F,6,FALSE),H72+3,1),IF(OR(j_WEEKDAY(J_ADDDAY(VLOOKUP(I72,A:F,6,FALSE),H72+4,1),0)=6,SUMIFS(Holieday[ok],Holieday[date],J_ADDDAY(VLOOKUP(I72,A:F,6,FALSE),H72+4,1)))=FALSE(),J_ADDDAY(VLOOKUP(I72,A:F,6,FALSE),H72+4,1),J_ADDDAY(VLOOKUP(I72,A:F,6,FALSE),H72+5,1))))))</f>
        <v>1398/07/29</v>
      </c>
      <c r="E72" s="1">
        <f t="shared" si="15"/>
        <v>13980729</v>
      </c>
      <c r="F72" s="251" t="str">
        <f>IF(N72=0,J_SUBDAY(D72,1,1),IF((N72-(NETWORKDAYS.INTL(J_GregorianDate(D72,1),J_GregorianDate(J_SUBDAY(J_ADDDAY(D72,N72,1),1,1),1),16,1)))+SUMIFS(Holieday[ok],Holieday[date],CONCATENATE("&gt;","=",D72),Holieday[date],CONCATENATE("&lt;","=",J_SUBDAY(J_ADDDAY(D72,N72,1),1,1)))-SUMIFS(Holieday[Friday],Holieday[date],CONCATENATE("&gt;","=",D72),Holieday[date],CONCATENATE("&lt;","=",J_SUBDAY(J_ADDDAY(D72,N72,1),1,1)))=0,J_SUBDAY(J_ADDDAY(D72,N72,1),1,1),IF((N72+1-(NETWORKDAYS.INTL(J_GregorianDate(D72,1),J_GregorianDate(J_SUBDAY(J_ADDDAY(D72,N72+1,1),1,1),1),16,1)))+SUMIFS(Holieday[ok],Holieday[date],CONCATENATE("&gt;","=",D72),Holieday[date],CONCATENATE("&lt;","=",J_SUBDAY(J_ADDDAY(D72,N72+1,1),1,1)))-SUMIFS(Holieday[Friday],Holieday[date],CONCATENATE("&gt;","=",D72),Holieday[date],CONCATENATE("&lt;","=",J_SUBDAY(J_ADDDAY(D72,N72+1,1),1,1)))=1,J_SUBDAY(J_ADDDAY(D72,N72+1,1),1,1),IF((N72+2-(NETWORKDAYS.INTL(J_GregorianDate(D72,1),J_GregorianDate(J_SUBDAY(J_ADDDAY(D72,N72+2,1),1,1),1),16,1)))+SUMIFS(Holieday[ok],Holieday[date],CONCATENATE("&gt;","=",D72),Holieday[date],CONCATENATE("&lt;","=",J_SUBDAY(J_ADDDAY(D72,N72+2,1),1,1)))-SUMIFS(Holieday[Friday],Holieday[date],CONCATENATE("&gt;","=",D72),Holieday[date],CONCATENATE("&lt;","=",J_SUBDAY(J_ADDDAY(D72,N72+2,1),1,1)))=2,J_SUBDAY(J_ADDDAY(D72,N72+2,1),1,1),IF((N72+3-(NETWORKDAYS.INTL(J_GregorianDate(D72,1),J_GregorianDate(J_SUBDAY(J_ADDDAY(D72,N72+3,1),1,1),1),16,1)))+SUMIFS(Holieday[ok],Holieday[date],CONCATENATE("&gt;","=",D72),Holieday[date],CONCATENATE("&lt;","=",J_SUBDAY(J_ADDDAY(D72,N72+3,1),1,1)))-SUMIFS(Holieday[Friday],Holieday[date],CONCATENATE("&gt;","=",D72),Holieday[date],CONCATENATE("&lt;","=",J_SUBDAY(J_ADDDAY(D72,N72+3,1),1,1)))=3,J_SUBDAY(J_ADDDAY(D72,N72+3,1),1,1),IF((N72+4-(NETWORKDAYS.INTL(J_GregorianDate(D72,1),J_GregorianDate(J_SUBDAY(J_ADDDAY(D72,N72+4,1),1,1),1),16,1)))+SUMIFS(Holieday[ok],Holieday[date],CONCATENATE("&gt;","=",D72),Holieday[date],CONCATENATE("&lt;","=",J_SUBDAY(J_ADDDAY(D72,N72+4,1),1,1)))-SUMIFS(Holieday[Friday],Holieday[date],CONCATENATE("&gt;","=",D72),Holieday[date],CONCATENATE("&lt;","=",J_SUBDAY(J_ADDDAY(D72,N72+4,1),1,1)))=4,J_SUBDAY(J_ADDDAY(D72,N72+4,1),1,1),IF((N72+5-(NETWORKDAYS.INTL(J_GregorianDate(D72,1),J_GregorianDate(J_SUBDAY(J_ADDDAY(D72,N72+5,1),1,1),1),16,1)))+SUMIFS(Holieday[ok],Holieday[date],CONCATENATE("&gt;","=",D72),Holieday[date],CONCATENATE("&lt;","=",J_SUBDAY(J_ADDDAY(D72,N72+5,1),1,1)))-SUMIFS(Holieday[Friday],Holieday[date],CONCATENATE("&gt;","=",D72),Holieday[date],CONCATENATE("&lt;","=",J_SUBDAY(J_ADDDAY(D72,N72+5,1),1,1)))=5,J_SUBDAY(J_ADDDAY(D72,N72+5,1),1,1),J_SUBDAY(J_ADDDAY(D72,N72+6,1),1,1))))))))</f>
        <v>1398/08/01</v>
      </c>
      <c r="G72" s="2">
        <f t="shared" si="16"/>
        <v>13980801</v>
      </c>
      <c r="H72" s="230">
        <v>1</v>
      </c>
      <c r="I72" s="231">
        <v>3.15</v>
      </c>
      <c r="J72" s="245">
        <f>j_WEEKDAY(D72,2)</f>
        <v>2</v>
      </c>
      <c r="K72" s="21">
        <f t="shared" si="18"/>
        <v>0</v>
      </c>
      <c r="L72" s="246">
        <f t="shared" si="19"/>
        <v>3</v>
      </c>
      <c r="M72" s="233">
        <v>0</v>
      </c>
      <c r="N72" s="234">
        <v>3</v>
      </c>
      <c r="O72" s="10">
        <f t="shared" si="17"/>
        <v>0</v>
      </c>
      <c r="P72" s="10">
        <f>VALUE(J_normdate(J_ADDDAY($D72,$O72,1)))</f>
        <v>13980729</v>
      </c>
      <c r="Q72" s="9">
        <f t="shared" si="14"/>
        <v>3</v>
      </c>
      <c r="R72" s="247"/>
      <c r="S72" s="247"/>
      <c r="T72" s="247"/>
      <c r="U72" s="247"/>
      <c r="V72" s="247"/>
      <c r="W72" s="247"/>
      <c r="X72" s="247"/>
      <c r="Y72" s="247"/>
      <c r="Z72" s="247"/>
      <c r="AA72" s="247"/>
      <c r="AB72" s="247"/>
      <c r="AC72" s="247"/>
      <c r="AD72" s="247"/>
      <c r="AE72" s="247"/>
      <c r="AF72" s="247"/>
      <c r="AG72" s="247"/>
      <c r="AH72" s="247"/>
      <c r="AI72" s="247"/>
      <c r="AJ72" s="247"/>
      <c r="AK72" s="247"/>
      <c r="AL72" s="247"/>
      <c r="AM72" s="247"/>
      <c r="AN72" s="247"/>
      <c r="AO72" s="247"/>
      <c r="AP72" s="247"/>
      <c r="AQ72" s="247"/>
      <c r="AR72" s="247"/>
      <c r="AS72" s="247"/>
      <c r="AT72" s="247"/>
      <c r="AU72" s="247"/>
      <c r="AV72" s="247"/>
      <c r="AW72" s="247"/>
      <c r="AX72" s="247"/>
      <c r="AY72" s="247"/>
      <c r="AZ72" s="247"/>
      <c r="BA72" s="247"/>
      <c r="BB72" s="247"/>
      <c r="BC72" s="247"/>
      <c r="BD72" s="247"/>
      <c r="BE72" s="247"/>
      <c r="BF72" s="247"/>
      <c r="BG72" s="247"/>
      <c r="BH72" s="247"/>
      <c r="BI72" s="247"/>
      <c r="BJ72" s="247"/>
      <c r="BK72" s="247"/>
      <c r="BL72" s="247"/>
      <c r="BM72" s="247"/>
      <c r="BN72" s="247"/>
      <c r="BO72" s="247"/>
      <c r="BP72" s="247"/>
      <c r="BQ72" s="247"/>
      <c r="BR72" s="247"/>
      <c r="BS72" s="247"/>
      <c r="BT72" s="247"/>
      <c r="BU72" s="247"/>
      <c r="BV72" s="247"/>
      <c r="BW72" s="247"/>
      <c r="BX72" s="247"/>
      <c r="BY72" s="247"/>
      <c r="BZ72" s="247"/>
      <c r="CA72" s="247"/>
      <c r="CB72" s="247"/>
      <c r="CC72" s="247"/>
      <c r="CD72" s="247"/>
      <c r="CE72" s="247"/>
      <c r="CF72" s="247"/>
      <c r="CG72" s="247"/>
      <c r="CH72" s="247"/>
      <c r="CI72" s="247"/>
      <c r="CJ72" s="247"/>
      <c r="CK72" s="247"/>
      <c r="CL72" s="247"/>
      <c r="CM72" s="247"/>
      <c r="CN72" s="247"/>
      <c r="CO72" s="247"/>
      <c r="CP72" s="247"/>
      <c r="CQ72" s="247"/>
      <c r="CR72" s="247"/>
      <c r="CS72" s="247"/>
      <c r="CT72" s="247"/>
      <c r="CU72" s="247"/>
      <c r="CV72" s="247"/>
      <c r="CW72" s="247"/>
      <c r="CX72" s="247"/>
      <c r="CY72" s="247"/>
      <c r="CZ72" s="247"/>
      <c r="DA72" s="247"/>
      <c r="DB72" s="247"/>
      <c r="DC72" s="247"/>
      <c r="DD72" s="247"/>
      <c r="DE72" s="247"/>
      <c r="DF72" s="247"/>
      <c r="DG72" s="247"/>
      <c r="DH72" s="247"/>
      <c r="DI72" s="247"/>
      <c r="DJ72" s="247"/>
      <c r="DK72" s="247"/>
      <c r="DL72" s="247"/>
      <c r="DM72" s="247"/>
      <c r="DN72" s="247"/>
      <c r="DO72" s="247"/>
      <c r="DP72" s="247"/>
      <c r="DQ72" s="247"/>
      <c r="DR72" s="247"/>
      <c r="DS72" s="247"/>
      <c r="DT72" s="247"/>
      <c r="DU72" s="247"/>
      <c r="DV72" s="247"/>
      <c r="DW72" s="247"/>
      <c r="DX72" s="247"/>
      <c r="DY72" s="247"/>
      <c r="DZ72" s="247"/>
      <c r="EA72" s="247"/>
      <c r="EB72" s="247"/>
      <c r="EC72" s="247"/>
      <c r="ED72" s="247"/>
      <c r="EE72" s="247"/>
      <c r="EF72" s="247"/>
      <c r="EG72" s="247"/>
      <c r="EH72" s="247"/>
      <c r="EI72" s="247"/>
      <c r="EJ72" s="247"/>
      <c r="EK72" s="247"/>
      <c r="EL72" s="247"/>
      <c r="EM72" s="247"/>
      <c r="EN72" s="247"/>
      <c r="EO72" s="247"/>
      <c r="EP72" s="247"/>
      <c r="EQ72" s="247"/>
      <c r="ER72" s="247"/>
      <c r="ES72" s="247"/>
      <c r="ET72" s="247"/>
      <c r="EU72" s="247"/>
      <c r="EV72" s="247"/>
      <c r="EW72" s="247"/>
      <c r="EX72" s="247"/>
      <c r="EY72" s="247"/>
      <c r="EZ72" s="247"/>
      <c r="FA72" s="247"/>
      <c r="FB72" s="247"/>
      <c r="FC72" s="247"/>
      <c r="FD72" s="247"/>
      <c r="FE72" s="247"/>
      <c r="FF72" s="247"/>
      <c r="FG72" s="247"/>
      <c r="FH72" s="247"/>
      <c r="FI72" s="247"/>
      <c r="FJ72" s="247"/>
      <c r="FK72" s="247"/>
      <c r="FL72" s="247"/>
      <c r="FM72" s="247"/>
      <c r="FN72" s="247"/>
      <c r="FO72" s="247"/>
      <c r="FP72" s="247"/>
      <c r="FQ72" s="247"/>
      <c r="FR72" s="247"/>
      <c r="FS72" s="247"/>
      <c r="FT72" s="247"/>
      <c r="FU72" s="247"/>
      <c r="FV72" s="247"/>
      <c r="FW72" s="247"/>
      <c r="FX72" s="247"/>
      <c r="FY72" s="247"/>
      <c r="FZ72" s="247"/>
      <c r="GA72" s="247"/>
      <c r="GB72" s="247"/>
      <c r="GC72" s="247"/>
      <c r="GD72" s="247"/>
      <c r="GE72" s="247"/>
      <c r="GF72" s="247"/>
      <c r="GG72" s="247"/>
      <c r="GH72" s="247"/>
      <c r="GI72" s="247"/>
      <c r="GJ72" s="247"/>
      <c r="GK72" s="247"/>
      <c r="GL72" s="247"/>
      <c r="GM72" s="247"/>
      <c r="GN72" s="247"/>
      <c r="GO72" s="247"/>
      <c r="GP72" s="247"/>
      <c r="GQ72" s="247"/>
      <c r="GR72" s="247"/>
      <c r="GS72" s="247"/>
      <c r="GT72" s="247"/>
      <c r="GU72" s="247"/>
      <c r="GV72" s="247"/>
      <c r="GW72" s="247"/>
      <c r="GX72" s="247"/>
      <c r="GY72" s="247"/>
      <c r="GZ72" s="247"/>
      <c r="HA72" s="247"/>
      <c r="HB72" s="247"/>
      <c r="HC72" s="247"/>
      <c r="HD72" s="247"/>
      <c r="HE72" s="247"/>
      <c r="HF72" s="247"/>
      <c r="HG72" s="247"/>
      <c r="HH72" s="247"/>
      <c r="HI72" s="247"/>
      <c r="HJ72" s="247"/>
      <c r="HK72" s="247"/>
      <c r="HL72" s="247"/>
      <c r="HM72" s="247"/>
      <c r="HN72" s="247"/>
      <c r="HO72" s="247"/>
      <c r="HP72" s="247"/>
      <c r="HQ72" s="247"/>
      <c r="HR72" s="247"/>
      <c r="HS72" s="247"/>
      <c r="HT72" s="247"/>
      <c r="HU72" s="247"/>
      <c r="HV72" s="247"/>
      <c r="HW72" s="247"/>
      <c r="HX72" s="247"/>
      <c r="HY72" s="247"/>
      <c r="HZ72" s="247"/>
      <c r="IA72" s="247"/>
      <c r="IB72" s="247"/>
      <c r="IC72" s="247"/>
      <c r="ID72" s="247"/>
      <c r="IE72" s="247"/>
      <c r="IF72" s="247"/>
      <c r="IG72" s="247"/>
      <c r="IH72" s="247"/>
      <c r="II72" s="247"/>
      <c r="IJ72" s="247"/>
      <c r="IK72" s="247"/>
      <c r="IL72" s="247"/>
      <c r="IM72" s="247"/>
      <c r="IN72" s="247"/>
      <c r="IO72" s="247"/>
      <c r="IP72" s="247"/>
      <c r="IQ72" s="247"/>
      <c r="IR72" s="247"/>
      <c r="IS72" s="247"/>
      <c r="IT72" s="247"/>
      <c r="IU72" s="247"/>
      <c r="IV72" s="247"/>
      <c r="IW72" s="247"/>
      <c r="IX72" s="247"/>
      <c r="JA72" s="253"/>
      <c r="JB72" s="253"/>
      <c r="JC72" s="253"/>
      <c r="JD72" s="254">
        <f>SUM((TEXT(JA72,"[M]")/60)*'Income Person-hours'!$D$3,(TEXT(JB72,"[M]")/60)*'Income Person-hours'!$D$4,(TEXT(JC72,"[M]")/60)*'Income Person-hours'!$D$5)</f>
        <v>0</v>
      </c>
    </row>
    <row r="73" spans="1:264" s="255" customFormat="1" ht="13.5">
      <c r="A73" s="256">
        <v>3.17</v>
      </c>
      <c r="B73" s="241" t="s">
        <v>133</v>
      </c>
      <c r="C73" s="228" t="s">
        <v>111</v>
      </c>
      <c r="D73" s="247" t="str">
        <f>IF(OR(j_WEEKDAY(J_ADDDAY(VLOOKUP(I73,A:F,6,FALSE),H73,1),0)=6,SUMIFS(Holieday[ok],Holieday[date],J_ADDDAY(VLOOKUP(I73,A:F,6,FALSE),H73,1)))=FALSE(),J_ADDDAY(VLOOKUP(I73,A:F,6,FALSE),H73,1),IF(OR(j_WEEKDAY(J_ADDDAY(VLOOKUP(I73,A:F,6,FALSE),H73+1,1),0)=6,SUMIFS(Holieday[ok],Holieday[date],J_ADDDAY(VLOOKUP(I73,A:F,6,FALSE),H73+1,1)))=FALSE(),J_ADDDAY(VLOOKUP(I73,A:F,6,FALSE),H73+1,1),IF(OR(j_WEEKDAY(J_ADDDAY(VLOOKUP(I73,A:F,6,FALSE),H73+2,1),0)=6,SUMIFS(Holieday[ok],Holieday[date],J_ADDDAY(VLOOKUP(I73,A:F,6,FALSE),H73+2,1)))=FALSE(),J_ADDDAY(VLOOKUP(I73,A:F,6,FALSE),H73+2,1),IF(OR(j_WEEKDAY(J_ADDDAY(VLOOKUP(I73,A:F,6,FALSE),H73+3,1),0)=6,SUMIFS(Holieday[ok],Holieday[date],J_ADDDAY(VLOOKUP(I73,A:F,6,FALSE),H73+3,1)))=FALSE(),J_ADDDAY(VLOOKUP(I73,A:F,6,FALSE),H73+3,1),IF(OR(j_WEEKDAY(J_ADDDAY(VLOOKUP(I73,A:F,6,FALSE),H73+4,1),0)=6,SUMIFS(Holieday[ok],Holieday[date],J_ADDDAY(VLOOKUP(I73,A:F,6,FALSE),H73+4,1)))=FALSE(),J_ADDDAY(VLOOKUP(I73,A:F,6,FALSE),H73+4,1),J_ADDDAY(VLOOKUP(I73,A:F,6,FALSE),H73+5,1))))))</f>
        <v>1398/07/29</v>
      </c>
      <c r="E73" s="1"/>
      <c r="F73" s="251" t="str">
        <f>IF(N73=0,J_SUBDAY(D73,1,1),IF((N73-(NETWORKDAYS.INTL(J_GregorianDate(D73,1),J_GregorianDate(J_SUBDAY(J_ADDDAY(D73,N73,1),1,1),1),16,1)))+SUMIFS(Holieday[ok],Holieday[date],CONCATENATE("&gt;","=",D73),Holieday[date],CONCATENATE("&lt;","=",J_SUBDAY(J_ADDDAY(D73,N73,1),1,1)))-SUMIFS(Holieday[Friday],Holieday[date],CONCATENATE("&gt;","=",D73),Holieday[date],CONCATENATE("&lt;","=",J_SUBDAY(J_ADDDAY(D73,N73,1),1,1)))=0,J_SUBDAY(J_ADDDAY(D73,N73,1),1,1),IF((N73+1-(NETWORKDAYS.INTL(J_GregorianDate(D73,1),J_GregorianDate(J_SUBDAY(J_ADDDAY(D73,N73+1,1),1,1),1),16,1)))+SUMIFS(Holieday[ok],Holieday[date],CONCATENATE("&gt;","=",D73),Holieday[date],CONCATENATE("&lt;","=",J_SUBDAY(J_ADDDAY(D73,N73+1,1),1,1)))-SUMIFS(Holieday[Friday],Holieday[date],CONCATENATE("&gt;","=",D73),Holieday[date],CONCATENATE("&lt;","=",J_SUBDAY(J_ADDDAY(D73,N73+1,1),1,1)))=1,J_SUBDAY(J_ADDDAY(D73,N73+1,1),1,1),IF((N73+2-(NETWORKDAYS.INTL(J_GregorianDate(D73,1),J_GregorianDate(J_SUBDAY(J_ADDDAY(D73,N73+2,1),1,1),1),16,1)))+SUMIFS(Holieday[ok],Holieday[date],CONCATENATE("&gt;","=",D73),Holieday[date],CONCATENATE("&lt;","=",J_SUBDAY(J_ADDDAY(D73,N73+2,1),1,1)))-SUMIFS(Holieday[Friday],Holieday[date],CONCATENATE("&gt;","=",D73),Holieday[date],CONCATENATE("&lt;","=",J_SUBDAY(J_ADDDAY(D73,N73+2,1),1,1)))=2,J_SUBDAY(J_ADDDAY(D73,N73+2,1),1,1),IF((N73+3-(NETWORKDAYS.INTL(J_GregorianDate(D73,1),J_GregorianDate(J_SUBDAY(J_ADDDAY(D73,N73+3,1),1,1),1),16,1)))+SUMIFS(Holieday[ok],Holieday[date],CONCATENATE("&gt;","=",D73),Holieday[date],CONCATENATE("&lt;","=",J_SUBDAY(J_ADDDAY(D73,N73+3,1),1,1)))-SUMIFS(Holieday[Friday],Holieday[date],CONCATENATE("&gt;","=",D73),Holieday[date],CONCATENATE("&lt;","=",J_SUBDAY(J_ADDDAY(D73,N73+3,1),1,1)))=3,J_SUBDAY(J_ADDDAY(D73,N73+3,1),1,1),IF((N73+4-(NETWORKDAYS.INTL(J_GregorianDate(D73,1),J_GregorianDate(J_SUBDAY(J_ADDDAY(D73,N73+4,1),1,1),1),16,1)))+SUMIFS(Holieday[ok],Holieday[date],CONCATENATE("&gt;","=",D73),Holieday[date],CONCATENATE("&lt;","=",J_SUBDAY(J_ADDDAY(D73,N73+4,1),1,1)))-SUMIFS(Holieday[Friday],Holieday[date],CONCATENATE("&gt;","=",D73),Holieday[date],CONCATENATE("&lt;","=",J_SUBDAY(J_ADDDAY(D73,N73+4,1),1,1)))=4,J_SUBDAY(J_ADDDAY(D73,N73+4,1),1,1),IF((N73+5-(NETWORKDAYS.INTL(J_GregorianDate(D73,1),J_GregorianDate(J_SUBDAY(J_ADDDAY(D73,N73+5,1),1,1),1),16,1)))+SUMIFS(Holieday[ok],Holieday[date],CONCATENATE("&gt;","=",D73),Holieday[date],CONCATENATE("&lt;","=",J_SUBDAY(J_ADDDAY(D73,N73+5,1),1,1)))-SUMIFS(Holieday[Friday],Holieday[date],CONCATENATE("&gt;","=",D73),Holieday[date],CONCATENATE("&lt;","=",J_SUBDAY(J_ADDDAY(D73,N73+5,1),1,1)))=5,J_SUBDAY(J_ADDDAY(D73,N73+5,1),1,1),J_SUBDAY(J_ADDDAY(D73,N73+6,1),1,1))))))))</f>
        <v>1398/07/30</v>
      </c>
      <c r="G73" s="2"/>
      <c r="H73" s="230">
        <v>1</v>
      </c>
      <c r="I73" s="231">
        <v>3.6</v>
      </c>
      <c r="J73" s="245">
        <f>j_WEEKDAY(D73,2)</f>
        <v>2</v>
      </c>
      <c r="K73" s="21"/>
      <c r="L73" s="246">
        <f t="shared" si="19"/>
        <v>2</v>
      </c>
      <c r="M73" s="233">
        <v>0</v>
      </c>
      <c r="N73" s="234">
        <v>2</v>
      </c>
      <c r="O73" s="10"/>
      <c r="P73" s="10"/>
      <c r="Q73" s="9"/>
      <c r="R73" s="247"/>
      <c r="S73" s="247"/>
      <c r="T73" s="247"/>
      <c r="U73" s="247"/>
      <c r="V73" s="247"/>
      <c r="W73" s="247"/>
      <c r="X73" s="247"/>
      <c r="Y73" s="247"/>
      <c r="Z73" s="247"/>
      <c r="AA73" s="247"/>
      <c r="AB73" s="247"/>
      <c r="AC73" s="247"/>
      <c r="AD73" s="247"/>
      <c r="AE73" s="247"/>
      <c r="AF73" s="247"/>
      <c r="AG73" s="247"/>
      <c r="AH73" s="247"/>
      <c r="AI73" s="247"/>
      <c r="AJ73" s="247"/>
      <c r="AK73" s="247"/>
      <c r="AL73" s="247"/>
      <c r="AM73" s="247"/>
      <c r="AN73" s="247"/>
      <c r="AO73" s="247"/>
      <c r="AP73" s="247"/>
      <c r="AQ73" s="247"/>
      <c r="AR73" s="247"/>
      <c r="AS73" s="247"/>
      <c r="AT73" s="247"/>
      <c r="AU73" s="247"/>
      <c r="AV73" s="247"/>
      <c r="AW73" s="247"/>
      <c r="AX73" s="247"/>
      <c r="AY73" s="247"/>
      <c r="AZ73" s="247"/>
      <c r="BA73" s="247"/>
      <c r="BB73" s="247"/>
      <c r="BC73" s="247"/>
      <c r="BD73" s="247"/>
      <c r="BE73" s="247"/>
      <c r="BF73" s="247"/>
      <c r="BG73" s="247"/>
      <c r="BH73" s="247"/>
      <c r="BI73" s="247"/>
      <c r="BJ73" s="247"/>
      <c r="BK73" s="247"/>
      <c r="BL73" s="247"/>
      <c r="BM73" s="247"/>
      <c r="BN73" s="247"/>
      <c r="BO73" s="247"/>
      <c r="BP73" s="247"/>
      <c r="BQ73" s="247"/>
      <c r="BR73" s="247"/>
      <c r="BS73" s="247"/>
      <c r="BT73" s="247"/>
      <c r="BU73" s="247"/>
      <c r="BV73" s="247"/>
      <c r="BW73" s="247"/>
      <c r="BX73" s="247"/>
      <c r="BY73" s="247"/>
      <c r="BZ73" s="247"/>
      <c r="CA73" s="247"/>
      <c r="CB73" s="247"/>
      <c r="CC73" s="247"/>
      <c r="CD73" s="247"/>
      <c r="CE73" s="247"/>
      <c r="CF73" s="247"/>
      <c r="CG73" s="247"/>
      <c r="CH73" s="247"/>
      <c r="CI73" s="247"/>
      <c r="CJ73" s="247"/>
      <c r="CK73" s="247"/>
      <c r="CL73" s="247"/>
      <c r="CM73" s="247"/>
      <c r="CN73" s="247"/>
      <c r="CO73" s="247"/>
      <c r="CP73" s="247"/>
      <c r="CQ73" s="247"/>
      <c r="CR73" s="247"/>
      <c r="CS73" s="247"/>
      <c r="CT73" s="247"/>
      <c r="CU73" s="247"/>
      <c r="CV73" s="247"/>
      <c r="CW73" s="247"/>
      <c r="CX73" s="247"/>
      <c r="CY73" s="247"/>
      <c r="CZ73" s="247"/>
      <c r="DA73" s="247"/>
      <c r="DB73" s="247"/>
      <c r="DC73" s="247"/>
      <c r="DD73" s="247"/>
      <c r="DE73" s="247"/>
      <c r="DF73" s="247"/>
      <c r="DG73" s="247"/>
      <c r="DH73" s="247"/>
      <c r="DI73" s="247"/>
      <c r="DJ73" s="247"/>
      <c r="DK73" s="247"/>
      <c r="DL73" s="247"/>
      <c r="DM73" s="247"/>
      <c r="DN73" s="247"/>
      <c r="DO73" s="247"/>
      <c r="DP73" s="247"/>
      <c r="DQ73" s="247"/>
      <c r="DR73" s="247"/>
      <c r="DS73" s="247"/>
      <c r="DT73" s="247"/>
      <c r="DU73" s="247"/>
      <c r="DV73" s="247"/>
      <c r="DW73" s="247"/>
      <c r="DX73" s="247"/>
      <c r="DY73" s="247"/>
      <c r="DZ73" s="247"/>
      <c r="EA73" s="247"/>
      <c r="EB73" s="247"/>
      <c r="EC73" s="247"/>
      <c r="ED73" s="247"/>
      <c r="EE73" s="247"/>
      <c r="EF73" s="247"/>
      <c r="EG73" s="247"/>
      <c r="EH73" s="247"/>
      <c r="EI73" s="247"/>
      <c r="EJ73" s="247"/>
      <c r="EK73" s="247"/>
      <c r="EL73" s="247"/>
      <c r="EM73" s="247"/>
      <c r="EN73" s="247"/>
      <c r="EO73" s="247"/>
      <c r="EP73" s="247"/>
      <c r="EQ73" s="247"/>
      <c r="ER73" s="247"/>
      <c r="ES73" s="247"/>
      <c r="ET73" s="247"/>
      <c r="EU73" s="247"/>
      <c r="EV73" s="247"/>
      <c r="EW73" s="247"/>
      <c r="EX73" s="247"/>
      <c r="EY73" s="247"/>
      <c r="EZ73" s="247"/>
      <c r="FA73" s="247"/>
      <c r="FB73" s="247"/>
      <c r="FC73" s="247"/>
      <c r="FD73" s="247"/>
      <c r="FE73" s="247"/>
      <c r="FF73" s="247"/>
      <c r="FG73" s="247"/>
      <c r="FH73" s="247"/>
      <c r="FI73" s="247"/>
      <c r="FJ73" s="247"/>
      <c r="FK73" s="247"/>
      <c r="FL73" s="247"/>
      <c r="FM73" s="247"/>
      <c r="FN73" s="247"/>
      <c r="FO73" s="247"/>
      <c r="FP73" s="247"/>
      <c r="FQ73" s="247"/>
      <c r="FR73" s="247"/>
      <c r="FS73" s="247"/>
      <c r="FT73" s="247"/>
      <c r="FU73" s="247"/>
      <c r="FV73" s="247"/>
      <c r="FW73" s="247"/>
      <c r="FX73" s="247"/>
      <c r="FY73" s="247"/>
      <c r="FZ73" s="247"/>
      <c r="GA73" s="247"/>
      <c r="GB73" s="247"/>
      <c r="GC73" s="247"/>
      <c r="GD73" s="247"/>
      <c r="GE73" s="247"/>
      <c r="GF73" s="247"/>
      <c r="GG73" s="247"/>
      <c r="GH73" s="247"/>
      <c r="GI73" s="247"/>
      <c r="GJ73" s="247"/>
      <c r="GK73" s="247"/>
      <c r="GL73" s="247"/>
      <c r="GM73" s="247"/>
      <c r="GN73" s="247"/>
      <c r="GO73" s="247"/>
      <c r="GP73" s="247"/>
      <c r="GQ73" s="247"/>
      <c r="GR73" s="247"/>
      <c r="GS73" s="247"/>
      <c r="GT73" s="247"/>
      <c r="GU73" s="247"/>
      <c r="GV73" s="247"/>
      <c r="GW73" s="247"/>
      <c r="GX73" s="247"/>
      <c r="GY73" s="247"/>
      <c r="GZ73" s="247"/>
      <c r="HA73" s="247"/>
      <c r="HB73" s="247"/>
      <c r="HC73" s="247"/>
      <c r="HD73" s="247"/>
      <c r="HE73" s="247"/>
      <c r="HF73" s="247"/>
      <c r="HG73" s="247"/>
      <c r="HH73" s="247"/>
      <c r="HI73" s="247"/>
      <c r="HJ73" s="247"/>
      <c r="HK73" s="247"/>
      <c r="HL73" s="247"/>
      <c r="HM73" s="247"/>
      <c r="HN73" s="247"/>
      <c r="HO73" s="247"/>
      <c r="HP73" s="247"/>
      <c r="HQ73" s="247"/>
      <c r="HR73" s="247"/>
      <c r="HS73" s="247"/>
      <c r="HT73" s="247"/>
      <c r="HU73" s="247"/>
      <c r="HV73" s="247"/>
      <c r="HW73" s="247"/>
      <c r="HX73" s="247"/>
      <c r="HY73" s="247"/>
      <c r="HZ73" s="247"/>
      <c r="IA73" s="247"/>
      <c r="IB73" s="247"/>
      <c r="IC73" s="247"/>
      <c r="ID73" s="247"/>
      <c r="IE73" s="247"/>
      <c r="IF73" s="247"/>
      <c r="IG73" s="247"/>
      <c r="IH73" s="247"/>
      <c r="II73" s="247"/>
      <c r="IJ73" s="247"/>
      <c r="IK73" s="247"/>
      <c r="IL73" s="247"/>
      <c r="IM73" s="247"/>
      <c r="IN73" s="247"/>
      <c r="IO73" s="247"/>
      <c r="IP73" s="247"/>
      <c r="IQ73" s="247"/>
      <c r="IR73" s="247"/>
      <c r="IS73" s="247"/>
      <c r="IT73" s="247"/>
      <c r="IU73" s="247"/>
      <c r="IV73" s="247"/>
      <c r="IW73" s="247"/>
      <c r="IX73" s="247"/>
      <c r="JA73" s="253"/>
      <c r="JB73" s="253"/>
      <c r="JC73" s="253"/>
      <c r="JD73" s="254"/>
    </row>
    <row r="74" spans="1:264" s="255" customFormat="1" ht="13.5">
      <c r="A74" s="256">
        <v>3.18</v>
      </c>
      <c r="B74" s="241" t="s">
        <v>176</v>
      </c>
      <c r="C74" s="228" t="s">
        <v>110</v>
      </c>
      <c r="D74" s="247" t="str">
        <f>IF(OR(j_WEEKDAY(J_ADDDAY(VLOOKUP(I74,A:F,6,FALSE),H74,1),0)=6,SUMIFS(Holieday[ok],Holieday[date],J_ADDDAY(VLOOKUP(I74,A:F,6,FALSE),H74,1)))=FALSE(),J_ADDDAY(VLOOKUP(I74,A:F,6,FALSE),H74,1),IF(OR(j_WEEKDAY(J_ADDDAY(VLOOKUP(I74,A:F,6,FALSE),H74+1,1),0)=6,SUMIFS(Holieday[ok],Holieday[date],J_ADDDAY(VLOOKUP(I74,A:F,6,FALSE),H74+1,1)))=FALSE(),J_ADDDAY(VLOOKUP(I74,A:F,6,FALSE),H74+1,1),IF(OR(j_WEEKDAY(J_ADDDAY(VLOOKUP(I74,A:F,6,FALSE),H74+2,1),0)=6,SUMIFS(Holieday[ok],Holieday[date],J_ADDDAY(VLOOKUP(I74,A:F,6,FALSE),H74+2,1)))=FALSE(),J_ADDDAY(VLOOKUP(I74,A:F,6,FALSE),H74+2,1),IF(OR(j_WEEKDAY(J_ADDDAY(VLOOKUP(I74,A:F,6,FALSE),H74+3,1),0)=6,SUMIFS(Holieday[ok],Holieday[date],J_ADDDAY(VLOOKUP(I74,A:F,6,FALSE),H74+3,1)))=FALSE(),J_ADDDAY(VLOOKUP(I74,A:F,6,FALSE),H74+3,1),IF(OR(j_WEEKDAY(J_ADDDAY(VLOOKUP(I74,A:F,6,FALSE),H74+4,1),0)=6,SUMIFS(Holieday[ok],Holieday[date],J_ADDDAY(VLOOKUP(I74,A:F,6,FALSE),H74+4,1)))=FALSE(),J_ADDDAY(VLOOKUP(I74,A:F,6,FALSE),H74+4,1),J_ADDDAY(VLOOKUP(I74,A:F,6,FALSE),H74+5,1))))))</f>
        <v>1398/08/01</v>
      </c>
      <c r="E74" s="1"/>
      <c r="F74" s="251" t="str">
        <f>IF(N74=0,J_SUBDAY(D74,1,1),IF((N74-(NETWORKDAYS.INTL(J_GregorianDate(D74,1),J_GregorianDate(J_SUBDAY(J_ADDDAY(D74,N74,1),1,1),1),16,1)))+SUMIFS(Holieday[ok],Holieday[date],CONCATENATE("&gt;","=",D74),Holieday[date],CONCATENATE("&lt;","=",J_SUBDAY(J_ADDDAY(D74,N74,1),1,1)))-SUMIFS(Holieday[Friday],Holieday[date],CONCATENATE("&gt;","=",D74),Holieday[date],CONCATENATE("&lt;","=",J_SUBDAY(J_ADDDAY(D74,N74,1),1,1)))=0,J_SUBDAY(J_ADDDAY(D74,N74,1),1,1),IF((N74+1-(NETWORKDAYS.INTL(J_GregorianDate(D74,1),J_GregorianDate(J_SUBDAY(J_ADDDAY(D74,N74+1,1),1,1),1),16,1)))+SUMIFS(Holieday[ok],Holieday[date],CONCATENATE("&gt;","=",D74),Holieday[date],CONCATENATE("&lt;","=",J_SUBDAY(J_ADDDAY(D74,N74+1,1),1,1)))-SUMIFS(Holieday[Friday],Holieday[date],CONCATENATE("&gt;","=",D74),Holieday[date],CONCATENATE("&lt;","=",J_SUBDAY(J_ADDDAY(D74,N74+1,1),1,1)))=1,J_SUBDAY(J_ADDDAY(D74,N74+1,1),1,1),IF((N74+2-(NETWORKDAYS.INTL(J_GregorianDate(D74,1),J_GregorianDate(J_SUBDAY(J_ADDDAY(D74,N74+2,1),1,1),1),16,1)))+SUMIFS(Holieday[ok],Holieday[date],CONCATENATE("&gt;","=",D74),Holieday[date],CONCATENATE("&lt;","=",J_SUBDAY(J_ADDDAY(D74,N74+2,1),1,1)))-SUMIFS(Holieday[Friday],Holieday[date],CONCATENATE("&gt;","=",D74),Holieday[date],CONCATENATE("&lt;","=",J_SUBDAY(J_ADDDAY(D74,N74+2,1),1,1)))=2,J_SUBDAY(J_ADDDAY(D74,N74+2,1),1,1),IF((N74+3-(NETWORKDAYS.INTL(J_GregorianDate(D74,1),J_GregorianDate(J_SUBDAY(J_ADDDAY(D74,N74+3,1),1,1),1),16,1)))+SUMIFS(Holieday[ok],Holieday[date],CONCATENATE("&gt;","=",D74),Holieday[date],CONCATENATE("&lt;","=",J_SUBDAY(J_ADDDAY(D74,N74+3,1),1,1)))-SUMIFS(Holieday[Friday],Holieday[date],CONCATENATE("&gt;","=",D74),Holieday[date],CONCATENATE("&lt;","=",J_SUBDAY(J_ADDDAY(D74,N74+3,1),1,1)))=3,J_SUBDAY(J_ADDDAY(D74,N74+3,1),1,1),IF((N74+4-(NETWORKDAYS.INTL(J_GregorianDate(D74,1),J_GregorianDate(J_SUBDAY(J_ADDDAY(D74,N74+4,1),1,1),1),16,1)))+SUMIFS(Holieday[ok],Holieday[date],CONCATENATE("&gt;","=",D74),Holieday[date],CONCATENATE("&lt;","=",J_SUBDAY(J_ADDDAY(D74,N74+4,1),1,1)))-SUMIFS(Holieday[Friday],Holieday[date],CONCATENATE("&gt;","=",D74),Holieday[date],CONCATENATE("&lt;","=",J_SUBDAY(J_ADDDAY(D74,N74+4,1),1,1)))=4,J_SUBDAY(J_ADDDAY(D74,N74+4,1),1,1),IF((N74+5-(NETWORKDAYS.INTL(J_GregorianDate(D74,1),J_GregorianDate(J_SUBDAY(J_ADDDAY(D74,N74+5,1),1,1),1),16,1)))+SUMIFS(Holieday[ok],Holieday[date],CONCATENATE("&gt;","=",D74),Holieday[date],CONCATENATE("&lt;","=",J_SUBDAY(J_ADDDAY(D74,N74+5,1),1,1)))-SUMIFS(Holieday[Friday],Holieday[date],CONCATENATE("&gt;","=",D74),Holieday[date],CONCATENATE("&lt;","=",J_SUBDAY(J_ADDDAY(D74,N74+5,1),1,1)))=5,J_SUBDAY(J_ADDDAY(D74,N74+5,1),1,1),J_SUBDAY(J_ADDDAY(D74,N74+6,1),1,1))))))))</f>
        <v>1398/08/04</v>
      </c>
      <c r="G74" s="2"/>
      <c r="H74" s="230">
        <v>1</v>
      </c>
      <c r="I74" s="231">
        <v>3.17</v>
      </c>
      <c r="J74" s="245">
        <f>j_WEEKDAY(D74,2)</f>
        <v>4</v>
      </c>
      <c r="K74" s="21"/>
      <c r="L74" s="246">
        <f t="shared" si="19"/>
        <v>4</v>
      </c>
      <c r="M74" s="233">
        <v>0</v>
      </c>
      <c r="N74" s="234">
        <v>3</v>
      </c>
      <c r="O74" s="10"/>
      <c r="P74" s="10"/>
      <c r="Q74" s="9"/>
      <c r="R74" s="247"/>
      <c r="S74" s="247"/>
      <c r="T74" s="247"/>
      <c r="U74" s="247"/>
      <c r="V74" s="247"/>
      <c r="W74" s="247"/>
      <c r="X74" s="247"/>
      <c r="Y74" s="247"/>
      <c r="Z74" s="247"/>
      <c r="AA74" s="247"/>
      <c r="AB74" s="247"/>
      <c r="AC74" s="247"/>
      <c r="AD74" s="247"/>
      <c r="AE74" s="247"/>
      <c r="AF74" s="247"/>
      <c r="AG74" s="247"/>
      <c r="AH74" s="247"/>
      <c r="AI74" s="247"/>
      <c r="AJ74" s="247"/>
      <c r="AK74" s="247"/>
      <c r="AL74" s="247"/>
      <c r="AM74" s="247"/>
      <c r="AN74" s="247"/>
      <c r="AO74" s="247"/>
      <c r="AP74" s="247"/>
      <c r="AQ74" s="247"/>
      <c r="AR74" s="247"/>
      <c r="AS74" s="247"/>
      <c r="AT74" s="247"/>
      <c r="AU74" s="247"/>
      <c r="AV74" s="247"/>
      <c r="AW74" s="247"/>
      <c r="AX74" s="247"/>
      <c r="AY74" s="247"/>
      <c r="AZ74" s="247"/>
      <c r="BA74" s="247"/>
      <c r="BB74" s="247"/>
      <c r="BC74" s="247"/>
      <c r="BD74" s="247"/>
      <c r="BE74" s="247"/>
      <c r="BF74" s="247"/>
      <c r="BG74" s="247"/>
      <c r="BH74" s="247"/>
      <c r="BI74" s="247"/>
      <c r="BJ74" s="247"/>
      <c r="BK74" s="247"/>
      <c r="BL74" s="247"/>
      <c r="BM74" s="247"/>
      <c r="BN74" s="247"/>
      <c r="BO74" s="247"/>
      <c r="BP74" s="247"/>
      <c r="BQ74" s="247"/>
      <c r="BR74" s="247"/>
      <c r="BS74" s="247"/>
      <c r="BT74" s="247"/>
      <c r="BU74" s="247"/>
      <c r="BV74" s="247"/>
      <c r="BW74" s="247"/>
      <c r="BX74" s="247"/>
      <c r="BY74" s="247"/>
      <c r="BZ74" s="247"/>
      <c r="CA74" s="247"/>
      <c r="CB74" s="247"/>
      <c r="CC74" s="247"/>
      <c r="CD74" s="247"/>
      <c r="CE74" s="247"/>
      <c r="CF74" s="247"/>
      <c r="CG74" s="247"/>
      <c r="CH74" s="247"/>
      <c r="CI74" s="247"/>
      <c r="CJ74" s="247"/>
      <c r="CK74" s="247"/>
      <c r="CL74" s="247"/>
      <c r="CM74" s="247"/>
      <c r="CN74" s="247"/>
      <c r="CO74" s="247"/>
      <c r="CP74" s="247"/>
      <c r="CQ74" s="247"/>
      <c r="CR74" s="247"/>
      <c r="CS74" s="247"/>
      <c r="CT74" s="247"/>
      <c r="CU74" s="247"/>
      <c r="CV74" s="247"/>
      <c r="CW74" s="247"/>
      <c r="CX74" s="247"/>
      <c r="CY74" s="247"/>
      <c r="CZ74" s="247"/>
      <c r="DA74" s="247"/>
      <c r="DB74" s="247"/>
      <c r="DC74" s="247"/>
      <c r="DD74" s="247"/>
      <c r="DE74" s="247"/>
      <c r="DF74" s="247"/>
      <c r="DG74" s="247"/>
      <c r="DH74" s="247"/>
      <c r="DI74" s="247"/>
      <c r="DJ74" s="247"/>
      <c r="DK74" s="247"/>
      <c r="DL74" s="247"/>
      <c r="DM74" s="247"/>
      <c r="DN74" s="247"/>
      <c r="DO74" s="247"/>
      <c r="DP74" s="247"/>
      <c r="DQ74" s="247"/>
      <c r="DR74" s="247"/>
      <c r="DS74" s="247"/>
      <c r="DT74" s="247"/>
      <c r="DU74" s="247"/>
      <c r="DV74" s="247"/>
      <c r="DW74" s="247"/>
      <c r="DX74" s="247"/>
      <c r="DY74" s="247"/>
      <c r="DZ74" s="247"/>
      <c r="EA74" s="247"/>
      <c r="EB74" s="247"/>
      <c r="EC74" s="247"/>
      <c r="ED74" s="247"/>
      <c r="EE74" s="247"/>
      <c r="EF74" s="247"/>
      <c r="EG74" s="247"/>
      <c r="EH74" s="247"/>
      <c r="EI74" s="247"/>
      <c r="EJ74" s="247"/>
      <c r="EK74" s="247"/>
      <c r="EL74" s="247"/>
      <c r="EM74" s="247"/>
      <c r="EN74" s="247"/>
      <c r="EO74" s="247"/>
      <c r="EP74" s="247"/>
      <c r="EQ74" s="247"/>
      <c r="ER74" s="247"/>
      <c r="ES74" s="247"/>
      <c r="ET74" s="247"/>
      <c r="EU74" s="247"/>
      <c r="EV74" s="247"/>
      <c r="EW74" s="247"/>
      <c r="EX74" s="247"/>
      <c r="EY74" s="247"/>
      <c r="EZ74" s="247"/>
      <c r="FA74" s="247"/>
      <c r="FB74" s="247"/>
      <c r="FC74" s="247"/>
      <c r="FD74" s="247"/>
      <c r="FE74" s="247"/>
      <c r="FF74" s="247"/>
      <c r="FG74" s="247"/>
      <c r="FH74" s="247"/>
      <c r="FI74" s="247"/>
      <c r="FJ74" s="247"/>
      <c r="FK74" s="247"/>
      <c r="FL74" s="247"/>
      <c r="FM74" s="247"/>
      <c r="FN74" s="247"/>
      <c r="FO74" s="247"/>
      <c r="FP74" s="247"/>
      <c r="FQ74" s="247"/>
      <c r="FR74" s="247"/>
      <c r="FS74" s="247"/>
      <c r="FT74" s="247"/>
      <c r="FU74" s="247"/>
      <c r="FV74" s="247"/>
      <c r="FW74" s="247"/>
      <c r="FX74" s="247"/>
      <c r="FY74" s="247"/>
      <c r="FZ74" s="247"/>
      <c r="GA74" s="247"/>
      <c r="GB74" s="247"/>
      <c r="GC74" s="247"/>
      <c r="GD74" s="247"/>
      <c r="GE74" s="247"/>
      <c r="GF74" s="247"/>
      <c r="GG74" s="247"/>
      <c r="GH74" s="247"/>
      <c r="GI74" s="247"/>
      <c r="GJ74" s="247"/>
      <c r="GK74" s="247"/>
      <c r="GL74" s="247"/>
      <c r="GM74" s="247"/>
      <c r="GN74" s="247"/>
      <c r="GO74" s="247"/>
      <c r="GP74" s="247"/>
      <c r="GQ74" s="247"/>
      <c r="GR74" s="247"/>
      <c r="GS74" s="247"/>
      <c r="GT74" s="247"/>
      <c r="GU74" s="247"/>
      <c r="GV74" s="247"/>
      <c r="GW74" s="247"/>
      <c r="GX74" s="247"/>
      <c r="GY74" s="247"/>
      <c r="GZ74" s="247"/>
      <c r="HA74" s="247"/>
      <c r="HB74" s="247"/>
      <c r="HC74" s="247"/>
      <c r="HD74" s="247"/>
      <c r="HE74" s="247"/>
      <c r="HF74" s="247"/>
      <c r="HG74" s="247"/>
      <c r="HH74" s="247"/>
      <c r="HI74" s="247"/>
      <c r="HJ74" s="247"/>
      <c r="HK74" s="247"/>
      <c r="HL74" s="247"/>
      <c r="HM74" s="247"/>
      <c r="HN74" s="247"/>
      <c r="HO74" s="247"/>
      <c r="HP74" s="247"/>
      <c r="HQ74" s="247"/>
      <c r="HR74" s="247"/>
      <c r="HS74" s="247"/>
      <c r="HT74" s="247"/>
      <c r="HU74" s="247"/>
      <c r="HV74" s="247"/>
      <c r="HW74" s="247"/>
      <c r="HX74" s="247"/>
      <c r="HY74" s="247"/>
      <c r="HZ74" s="247"/>
      <c r="IA74" s="247"/>
      <c r="IB74" s="247"/>
      <c r="IC74" s="247"/>
      <c r="ID74" s="247"/>
      <c r="IE74" s="247"/>
      <c r="IF74" s="247"/>
      <c r="IG74" s="247"/>
      <c r="IH74" s="247"/>
      <c r="II74" s="247"/>
      <c r="IJ74" s="247"/>
      <c r="IK74" s="247"/>
      <c r="IL74" s="247"/>
      <c r="IM74" s="247"/>
      <c r="IN74" s="247"/>
      <c r="IO74" s="247"/>
      <c r="IP74" s="247"/>
      <c r="IQ74" s="247"/>
      <c r="IR74" s="247"/>
      <c r="IS74" s="247"/>
      <c r="IT74" s="247"/>
      <c r="IU74" s="247"/>
      <c r="IV74" s="247"/>
      <c r="IW74" s="247"/>
      <c r="IX74" s="247"/>
      <c r="JA74" s="253"/>
      <c r="JB74" s="253"/>
      <c r="JC74" s="253"/>
      <c r="JD74" s="254"/>
    </row>
    <row r="75" spans="1:264" s="255" customFormat="1" ht="13.5">
      <c r="A75" s="256">
        <v>3.19</v>
      </c>
      <c r="B75" s="241" t="s">
        <v>151</v>
      </c>
      <c r="C75" s="228" t="s">
        <v>111</v>
      </c>
      <c r="D75" s="247" t="str">
        <f>IF(OR(j_WEEKDAY(J_ADDDAY(VLOOKUP(I75,A:F,6,FALSE),H75,1),0)=6,SUMIFS(Holieday[ok],Holieday[date],J_ADDDAY(VLOOKUP(I75,A:F,6,FALSE),H75,1)))=FALSE(),J_ADDDAY(VLOOKUP(I75,A:F,6,FALSE),H75,1),IF(OR(j_WEEKDAY(J_ADDDAY(VLOOKUP(I75,A:F,6,FALSE),H75+1,1),0)=6,SUMIFS(Holieday[ok],Holieday[date],J_ADDDAY(VLOOKUP(I75,A:F,6,FALSE),H75+1,1)))=FALSE(),J_ADDDAY(VLOOKUP(I75,A:F,6,FALSE),H75+1,1),IF(OR(j_WEEKDAY(J_ADDDAY(VLOOKUP(I75,A:F,6,FALSE),H75+2,1),0)=6,SUMIFS(Holieday[ok],Holieday[date],J_ADDDAY(VLOOKUP(I75,A:F,6,FALSE),H75+2,1)))=FALSE(),J_ADDDAY(VLOOKUP(I75,A:F,6,FALSE),H75+2,1),IF(OR(j_WEEKDAY(J_ADDDAY(VLOOKUP(I75,A:F,6,FALSE),H75+3,1),0)=6,SUMIFS(Holieday[ok],Holieday[date],J_ADDDAY(VLOOKUP(I75,A:F,6,FALSE),H75+3,1)))=FALSE(),J_ADDDAY(VLOOKUP(I75,A:F,6,FALSE),H75+3,1),IF(OR(j_WEEKDAY(J_ADDDAY(VLOOKUP(I75,A:F,6,FALSE),H75+4,1),0)=6,SUMIFS(Holieday[ok],Holieday[date],J_ADDDAY(VLOOKUP(I75,A:F,6,FALSE),H75+4,1)))=FALSE(),J_ADDDAY(VLOOKUP(I75,A:F,6,FALSE),H75+4,1),J_ADDDAY(VLOOKUP(I75,A:F,6,FALSE),H75+5,1))))))</f>
        <v>1398/08/04</v>
      </c>
      <c r="E75" s="1">
        <f t="shared" ref="E75:E83" si="20">VALUE(J_normdate(D75))</f>
        <v>13980804</v>
      </c>
      <c r="F75" s="251" t="str">
        <f>IF(N75=0,J_SUBDAY(D75,1,1),IF((N75-(NETWORKDAYS.INTL(J_GregorianDate(D75,1),J_GregorianDate(J_SUBDAY(J_ADDDAY(D75,N75,1),1,1),1),16,1)))+SUMIFS(Holieday[ok],Holieday[date],CONCATENATE("&gt;","=",D75),Holieday[date],CONCATENATE("&lt;","=",J_SUBDAY(J_ADDDAY(D75,N75,1),1,1)))-SUMIFS(Holieday[Friday],Holieday[date],CONCATENATE("&gt;","=",D75),Holieday[date],CONCATENATE("&lt;","=",J_SUBDAY(J_ADDDAY(D75,N75,1),1,1)))=0,J_SUBDAY(J_ADDDAY(D75,N75,1),1,1),IF((N75+1-(NETWORKDAYS.INTL(J_GregorianDate(D75,1),J_GregorianDate(J_SUBDAY(J_ADDDAY(D75,N75+1,1),1,1),1),16,1)))+SUMIFS(Holieday[ok],Holieday[date],CONCATENATE("&gt;","=",D75),Holieday[date],CONCATENATE("&lt;","=",J_SUBDAY(J_ADDDAY(D75,N75+1,1),1,1)))-SUMIFS(Holieday[Friday],Holieday[date],CONCATENATE("&gt;","=",D75),Holieday[date],CONCATENATE("&lt;","=",J_SUBDAY(J_ADDDAY(D75,N75+1,1),1,1)))=1,J_SUBDAY(J_ADDDAY(D75,N75+1,1),1,1),IF((N75+2-(NETWORKDAYS.INTL(J_GregorianDate(D75,1),J_GregorianDate(J_SUBDAY(J_ADDDAY(D75,N75+2,1),1,1),1),16,1)))+SUMIFS(Holieday[ok],Holieday[date],CONCATENATE("&gt;","=",D75),Holieday[date],CONCATENATE("&lt;","=",J_SUBDAY(J_ADDDAY(D75,N75+2,1),1,1)))-SUMIFS(Holieday[Friday],Holieday[date],CONCATENATE("&gt;","=",D75),Holieday[date],CONCATENATE("&lt;","=",J_SUBDAY(J_ADDDAY(D75,N75+2,1),1,1)))=2,J_SUBDAY(J_ADDDAY(D75,N75+2,1),1,1),IF((N75+3-(NETWORKDAYS.INTL(J_GregorianDate(D75,1),J_GregorianDate(J_SUBDAY(J_ADDDAY(D75,N75+3,1),1,1),1),16,1)))+SUMIFS(Holieday[ok],Holieday[date],CONCATENATE("&gt;","=",D75),Holieday[date],CONCATENATE("&lt;","=",J_SUBDAY(J_ADDDAY(D75,N75+3,1),1,1)))-SUMIFS(Holieday[Friday],Holieday[date],CONCATENATE("&gt;","=",D75),Holieday[date],CONCATENATE("&lt;","=",J_SUBDAY(J_ADDDAY(D75,N75+3,1),1,1)))=3,J_SUBDAY(J_ADDDAY(D75,N75+3,1),1,1),IF((N75+4-(NETWORKDAYS.INTL(J_GregorianDate(D75,1),J_GregorianDate(J_SUBDAY(J_ADDDAY(D75,N75+4,1),1,1),1),16,1)))+SUMIFS(Holieday[ok],Holieday[date],CONCATENATE("&gt;","=",D75),Holieday[date],CONCATENATE("&lt;","=",J_SUBDAY(J_ADDDAY(D75,N75+4,1),1,1)))-SUMIFS(Holieday[Friday],Holieday[date],CONCATENATE("&gt;","=",D75),Holieday[date],CONCATENATE("&lt;","=",J_SUBDAY(J_ADDDAY(D75,N75+4,1),1,1)))=4,J_SUBDAY(J_ADDDAY(D75,N75+4,1),1,1),IF((N75+5-(NETWORKDAYS.INTL(J_GregorianDate(D75,1),J_GregorianDate(J_SUBDAY(J_ADDDAY(D75,N75+5,1),1,1),1),16,1)))+SUMIFS(Holieday[ok],Holieday[date],CONCATENATE("&gt;","=",D75),Holieday[date],CONCATENATE("&lt;","=",J_SUBDAY(J_ADDDAY(D75,N75+5,1),1,1)))-SUMIFS(Holieday[Friday],Holieday[date],CONCATENATE("&gt;","=",D75),Holieday[date],CONCATENATE("&lt;","=",J_SUBDAY(J_ADDDAY(D75,N75+5,1),1,1)))=5,J_SUBDAY(J_ADDDAY(D75,N75+5,1),1,1),J_SUBDAY(J_ADDDAY(D75,N75+6,1),1,1))))))))</f>
        <v>1398/08/06</v>
      </c>
      <c r="G75" s="2">
        <f t="shared" ref="G75:G83" si="21">VALUE(J_normdate(F75))</f>
        <v>13980806</v>
      </c>
      <c r="H75" s="230">
        <v>2</v>
      </c>
      <c r="I75" s="231">
        <v>3.7</v>
      </c>
      <c r="J75" s="245">
        <f>j_WEEKDAY(D75,2)</f>
        <v>0</v>
      </c>
      <c r="K75" s="21">
        <f t="shared" si="18"/>
        <v>0</v>
      </c>
      <c r="L75" s="246">
        <f t="shared" si="19"/>
        <v>3</v>
      </c>
      <c r="M75" s="233">
        <v>0</v>
      </c>
      <c r="N75" s="234">
        <v>2</v>
      </c>
      <c r="O75" s="10">
        <f t="shared" ref="O75:O83" si="22">ROUNDDOWN(M75*L75,0)</f>
        <v>0</v>
      </c>
      <c r="P75" s="10">
        <f>VALUE(J_normdate(J_ADDDAY($D75,$O75,1)))</f>
        <v>13980804</v>
      </c>
      <c r="Q75" s="9">
        <f t="shared" si="14"/>
        <v>3</v>
      </c>
      <c r="R75" s="247"/>
      <c r="S75" s="247"/>
      <c r="T75" s="247"/>
      <c r="U75" s="247"/>
      <c r="V75" s="247"/>
      <c r="W75" s="247"/>
      <c r="X75" s="247"/>
      <c r="Y75" s="247"/>
      <c r="Z75" s="247"/>
      <c r="AA75" s="247"/>
      <c r="AB75" s="247"/>
      <c r="AC75" s="247"/>
      <c r="AD75" s="247"/>
      <c r="AE75" s="247"/>
      <c r="AF75" s="247"/>
      <c r="AG75" s="247"/>
      <c r="AH75" s="247"/>
      <c r="AI75" s="247"/>
      <c r="AJ75" s="247"/>
      <c r="AK75" s="247"/>
      <c r="AL75" s="247"/>
      <c r="AM75" s="247"/>
      <c r="AN75" s="247"/>
      <c r="AO75" s="247"/>
      <c r="AP75" s="247"/>
      <c r="AQ75" s="247"/>
      <c r="AR75" s="247"/>
      <c r="AS75" s="247"/>
      <c r="AT75" s="247"/>
      <c r="AU75" s="247"/>
      <c r="AV75" s="247"/>
      <c r="AW75" s="247"/>
      <c r="AX75" s="247"/>
      <c r="AY75" s="247"/>
      <c r="AZ75" s="247"/>
      <c r="BA75" s="247"/>
      <c r="BB75" s="247"/>
      <c r="BC75" s="247"/>
      <c r="BD75" s="247"/>
      <c r="BE75" s="247"/>
      <c r="BF75" s="247"/>
      <c r="BG75" s="247"/>
      <c r="BH75" s="247"/>
      <c r="BI75" s="247"/>
      <c r="BJ75" s="247"/>
      <c r="BK75" s="247"/>
      <c r="BL75" s="247"/>
      <c r="BM75" s="247"/>
      <c r="BN75" s="247"/>
      <c r="BO75" s="247"/>
      <c r="BP75" s="247"/>
      <c r="BQ75" s="247"/>
      <c r="BR75" s="247"/>
      <c r="BS75" s="247"/>
      <c r="BT75" s="247"/>
      <c r="BU75" s="247"/>
      <c r="BV75" s="247"/>
      <c r="BW75" s="247"/>
      <c r="BX75" s="247"/>
      <c r="BY75" s="247"/>
      <c r="BZ75" s="247"/>
      <c r="CA75" s="247"/>
      <c r="CB75" s="247"/>
      <c r="CC75" s="247"/>
      <c r="CD75" s="247"/>
      <c r="CE75" s="247"/>
      <c r="CF75" s="247"/>
      <c r="CG75" s="247"/>
      <c r="CH75" s="247"/>
      <c r="CI75" s="247"/>
      <c r="CJ75" s="247"/>
      <c r="CK75" s="247"/>
      <c r="CL75" s="247"/>
      <c r="CM75" s="247"/>
      <c r="CN75" s="247"/>
      <c r="CO75" s="247"/>
      <c r="CP75" s="247"/>
      <c r="CQ75" s="247"/>
      <c r="CR75" s="247"/>
      <c r="CS75" s="247"/>
      <c r="CT75" s="247"/>
      <c r="CU75" s="247"/>
      <c r="CV75" s="247"/>
      <c r="CW75" s="247"/>
      <c r="CX75" s="247"/>
      <c r="CY75" s="247"/>
      <c r="CZ75" s="247"/>
      <c r="DA75" s="247"/>
      <c r="DB75" s="247"/>
      <c r="DC75" s="247"/>
      <c r="DD75" s="247"/>
      <c r="DE75" s="247"/>
      <c r="DF75" s="247"/>
      <c r="DG75" s="247"/>
      <c r="DH75" s="247"/>
      <c r="DI75" s="247"/>
      <c r="DJ75" s="247"/>
      <c r="DK75" s="247"/>
      <c r="DL75" s="247"/>
      <c r="DM75" s="247"/>
      <c r="DN75" s="247"/>
      <c r="DO75" s="247"/>
      <c r="DP75" s="247"/>
      <c r="DQ75" s="247"/>
      <c r="DR75" s="247"/>
      <c r="DS75" s="247"/>
      <c r="DT75" s="247"/>
      <c r="DU75" s="247"/>
      <c r="DV75" s="247"/>
      <c r="DW75" s="247"/>
      <c r="DX75" s="247"/>
      <c r="DY75" s="247"/>
      <c r="DZ75" s="247"/>
      <c r="EA75" s="247"/>
      <c r="EB75" s="247"/>
      <c r="EC75" s="247"/>
      <c r="ED75" s="247"/>
      <c r="EE75" s="247"/>
      <c r="EF75" s="247"/>
      <c r="EG75" s="247"/>
      <c r="EH75" s="247"/>
      <c r="EI75" s="247"/>
      <c r="EJ75" s="247"/>
      <c r="EK75" s="247"/>
      <c r="EL75" s="247"/>
      <c r="EM75" s="247"/>
      <c r="EN75" s="247"/>
      <c r="EO75" s="247"/>
      <c r="EP75" s="247"/>
      <c r="EQ75" s="247"/>
      <c r="ER75" s="247"/>
      <c r="ES75" s="247"/>
      <c r="ET75" s="247"/>
      <c r="EU75" s="247"/>
      <c r="EV75" s="247"/>
      <c r="EW75" s="247"/>
      <c r="EX75" s="247"/>
      <c r="EY75" s="247"/>
      <c r="EZ75" s="247"/>
      <c r="FA75" s="247"/>
      <c r="FB75" s="247"/>
      <c r="FC75" s="247"/>
      <c r="FD75" s="247"/>
      <c r="FE75" s="247"/>
      <c r="FF75" s="247"/>
      <c r="FG75" s="247"/>
      <c r="FH75" s="247"/>
      <c r="FI75" s="247"/>
      <c r="FJ75" s="247"/>
      <c r="FK75" s="247"/>
      <c r="FL75" s="247"/>
      <c r="FM75" s="247"/>
      <c r="FN75" s="247"/>
      <c r="FO75" s="247"/>
      <c r="FP75" s="247"/>
      <c r="FQ75" s="247"/>
      <c r="FR75" s="247"/>
      <c r="FS75" s="247"/>
      <c r="FT75" s="247"/>
      <c r="FU75" s="247"/>
      <c r="FV75" s="247"/>
      <c r="FW75" s="247"/>
      <c r="FX75" s="247"/>
      <c r="FY75" s="247"/>
      <c r="FZ75" s="247"/>
      <c r="GA75" s="247"/>
      <c r="GB75" s="247"/>
      <c r="GC75" s="247"/>
      <c r="GD75" s="247"/>
      <c r="GE75" s="247"/>
      <c r="GF75" s="247"/>
      <c r="GG75" s="247"/>
      <c r="GH75" s="247"/>
      <c r="GI75" s="247"/>
      <c r="GJ75" s="247"/>
      <c r="GK75" s="247"/>
      <c r="GL75" s="247"/>
      <c r="GM75" s="247"/>
      <c r="GN75" s="247"/>
      <c r="GO75" s="247"/>
      <c r="GP75" s="247"/>
      <c r="GQ75" s="247"/>
      <c r="GR75" s="247"/>
      <c r="GS75" s="247"/>
      <c r="GT75" s="247"/>
      <c r="GU75" s="247"/>
      <c r="GV75" s="247"/>
      <c r="GW75" s="247"/>
      <c r="GX75" s="247"/>
      <c r="GY75" s="247"/>
      <c r="GZ75" s="247"/>
      <c r="HA75" s="247"/>
      <c r="HB75" s="247"/>
      <c r="HC75" s="247"/>
      <c r="HD75" s="247"/>
      <c r="HE75" s="247"/>
      <c r="HF75" s="247"/>
      <c r="HG75" s="247"/>
      <c r="HH75" s="247"/>
      <c r="HI75" s="247"/>
      <c r="HJ75" s="247"/>
      <c r="HK75" s="247"/>
      <c r="HL75" s="247"/>
      <c r="HM75" s="247"/>
      <c r="HN75" s="247"/>
      <c r="HO75" s="247"/>
      <c r="HP75" s="247"/>
      <c r="HQ75" s="247"/>
      <c r="HR75" s="247"/>
      <c r="HS75" s="247"/>
      <c r="HT75" s="247"/>
      <c r="HU75" s="247"/>
      <c r="HV75" s="247"/>
      <c r="HW75" s="247"/>
      <c r="HX75" s="247"/>
      <c r="HY75" s="247"/>
      <c r="HZ75" s="247"/>
      <c r="IA75" s="247"/>
      <c r="IB75" s="247"/>
      <c r="IC75" s="247"/>
      <c r="ID75" s="247"/>
      <c r="IE75" s="247"/>
      <c r="IF75" s="247"/>
      <c r="IG75" s="247"/>
      <c r="IH75" s="247"/>
      <c r="II75" s="247"/>
      <c r="IJ75" s="247"/>
      <c r="IK75" s="247"/>
      <c r="IL75" s="247"/>
      <c r="IM75" s="247"/>
      <c r="IN75" s="247"/>
      <c r="IO75" s="247"/>
      <c r="IP75" s="247"/>
      <c r="IQ75" s="247"/>
      <c r="IR75" s="247"/>
      <c r="IS75" s="247"/>
      <c r="IT75" s="247"/>
      <c r="IU75" s="247"/>
      <c r="IV75" s="247"/>
      <c r="IW75" s="247"/>
      <c r="IX75" s="247"/>
      <c r="JA75" s="253"/>
      <c r="JB75" s="253"/>
      <c r="JC75" s="253"/>
      <c r="JD75" s="254">
        <f>SUM((TEXT(JA75,"[M]")/60)*'Income Person-hours'!$D$3,(TEXT(JB75,"[M]")/60)*'Income Person-hours'!$D$4,(TEXT(JC75,"[M]")/60)*'Income Person-hours'!$D$5)</f>
        <v>0</v>
      </c>
    </row>
    <row r="76" spans="1:264" s="255" customFormat="1" ht="17.25" customHeight="1">
      <c r="A76" s="256">
        <v>3.21</v>
      </c>
      <c r="B76" s="241" t="s">
        <v>155</v>
      </c>
      <c r="C76" s="228" t="s">
        <v>110</v>
      </c>
      <c r="D76" s="247" t="str">
        <f>IF(OR(j_WEEKDAY(J_ADDDAY(VLOOKUP(I76,A:F,6,FALSE),H76,1),0)=6,SUMIFS(Holieday[ok],Holieday[date],J_ADDDAY(VLOOKUP(I76,A:F,6,FALSE),H76,1)))=FALSE(),J_ADDDAY(VLOOKUP(I76,A:F,6,FALSE),H76,1),IF(OR(j_WEEKDAY(J_ADDDAY(VLOOKUP(I76,A:F,6,FALSE),H76+1,1),0)=6,SUMIFS(Holieday[ok],Holieday[date],J_ADDDAY(VLOOKUP(I76,A:F,6,FALSE),H76+1,1)))=FALSE(),J_ADDDAY(VLOOKUP(I76,A:F,6,FALSE),H76+1,1),IF(OR(j_WEEKDAY(J_ADDDAY(VLOOKUP(I76,A:F,6,FALSE),H76+2,1),0)=6,SUMIFS(Holieday[ok],Holieday[date],J_ADDDAY(VLOOKUP(I76,A:F,6,FALSE),H76+2,1)))=FALSE(),J_ADDDAY(VLOOKUP(I76,A:F,6,FALSE),H76+2,1),IF(OR(j_WEEKDAY(J_ADDDAY(VLOOKUP(I76,A:F,6,FALSE),H76+3,1),0)=6,SUMIFS(Holieday[ok],Holieday[date],J_ADDDAY(VLOOKUP(I76,A:F,6,FALSE),H76+3,1)))=FALSE(),J_ADDDAY(VLOOKUP(I76,A:F,6,FALSE),H76+3,1),IF(OR(j_WEEKDAY(J_ADDDAY(VLOOKUP(I76,A:F,6,FALSE),H76+4,1),0)=6,SUMIFS(Holieday[ok],Holieday[date],J_ADDDAY(VLOOKUP(I76,A:F,6,FALSE),H76+4,1)))=FALSE(),J_ADDDAY(VLOOKUP(I76,A:F,6,FALSE),H76+4,1),J_ADDDAY(VLOOKUP(I76,A:F,6,FALSE),H76+5,1))))))</f>
        <v>1398/08/08</v>
      </c>
      <c r="E76" s="1">
        <f t="shared" si="20"/>
        <v>13980808</v>
      </c>
      <c r="F76" s="251" t="str">
        <f>IF(N76=0,J_SUBDAY(D76,1,1),IF((N76-(NETWORKDAYS.INTL(J_GregorianDate(D76,1),J_GregorianDate(J_SUBDAY(J_ADDDAY(D76,N76,1),1,1),1),16,1)))+SUMIFS(Holieday[ok],Holieday[date],CONCATENATE("&gt;","=",D76),Holieday[date],CONCATENATE("&lt;","=",J_SUBDAY(J_ADDDAY(D76,N76,1),1,1)))-SUMIFS(Holieday[Friday],Holieday[date],CONCATENATE("&gt;","=",D76),Holieday[date],CONCATENATE("&lt;","=",J_SUBDAY(J_ADDDAY(D76,N76,1),1,1)))=0,J_SUBDAY(J_ADDDAY(D76,N76,1),1,1),IF((N76+1-(NETWORKDAYS.INTL(J_GregorianDate(D76,1),J_GregorianDate(J_SUBDAY(J_ADDDAY(D76,N76+1,1),1,1),1),16,1)))+SUMIFS(Holieday[ok],Holieday[date],CONCATENATE("&gt;","=",D76),Holieday[date],CONCATENATE("&lt;","=",J_SUBDAY(J_ADDDAY(D76,N76+1,1),1,1)))-SUMIFS(Holieday[Friday],Holieday[date],CONCATENATE("&gt;","=",D76),Holieday[date],CONCATENATE("&lt;","=",J_SUBDAY(J_ADDDAY(D76,N76+1,1),1,1)))=1,J_SUBDAY(J_ADDDAY(D76,N76+1,1),1,1),IF((N76+2-(NETWORKDAYS.INTL(J_GregorianDate(D76,1),J_GregorianDate(J_SUBDAY(J_ADDDAY(D76,N76+2,1),1,1),1),16,1)))+SUMIFS(Holieday[ok],Holieday[date],CONCATENATE("&gt;","=",D76),Holieday[date],CONCATENATE("&lt;","=",J_SUBDAY(J_ADDDAY(D76,N76+2,1),1,1)))-SUMIFS(Holieday[Friday],Holieday[date],CONCATENATE("&gt;","=",D76),Holieday[date],CONCATENATE("&lt;","=",J_SUBDAY(J_ADDDAY(D76,N76+2,1),1,1)))=2,J_SUBDAY(J_ADDDAY(D76,N76+2,1),1,1),IF((N76+3-(NETWORKDAYS.INTL(J_GregorianDate(D76,1),J_GregorianDate(J_SUBDAY(J_ADDDAY(D76,N76+3,1),1,1),1),16,1)))+SUMIFS(Holieday[ok],Holieday[date],CONCATENATE("&gt;","=",D76),Holieday[date],CONCATENATE("&lt;","=",J_SUBDAY(J_ADDDAY(D76,N76+3,1),1,1)))-SUMIFS(Holieday[Friday],Holieday[date],CONCATENATE("&gt;","=",D76),Holieday[date],CONCATENATE("&lt;","=",J_SUBDAY(J_ADDDAY(D76,N76+3,1),1,1)))=3,J_SUBDAY(J_ADDDAY(D76,N76+3,1),1,1),IF((N76+4-(NETWORKDAYS.INTL(J_GregorianDate(D76,1),J_GregorianDate(J_SUBDAY(J_ADDDAY(D76,N76+4,1),1,1),1),16,1)))+SUMIFS(Holieday[ok],Holieday[date],CONCATENATE("&gt;","=",D76),Holieday[date],CONCATENATE("&lt;","=",J_SUBDAY(J_ADDDAY(D76,N76+4,1),1,1)))-SUMIFS(Holieday[Friday],Holieday[date],CONCATENATE("&gt;","=",D76),Holieday[date],CONCATENATE("&lt;","=",J_SUBDAY(J_ADDDAY(D76,N76+4,1),1,1)))=4,J_SUBDAY(J_ADDDAY(D76,N76+4,1),1,1),IF((N76+5-(NETWORKDAYS.INTL(J_GregorianDate(D76,1),J_GregorianDate(J_SUBDAY(J_ADDDAY(D76,N76+5,1),1,1),1),16,1)))+SUMIFS(Holieday[ok],Holieday[date],CONCATENATE("&gt;","=",D76),Holieday[date],CONCATENATE("&lt;","=",J_SUBDAY(J_ADDDAY(D76,N76+5,1),1,1)))-SUMIFS(Holieday[Friday],Holieday[date],CONCATENATE("&gt;","=",D76),Holieday[date],CONCATENATE("&lt;","=",J_SUBDAY(J_ADDDAY(D76,N76+5,1),1,1)))=5,J_SUBDAY(J_ADDDAY(D76,N76+5,1),1,1),J_SUBDAY(J_ADDDAY(D76,N76+6,1),1,1))))))))</f>
        <v>1398/08/12</v>
      </c>
      <c r="G76" s="2">
        <f t="shared" si="21"/>
        <v>13980812</v>
      </c>
      <c r="H76" s="230">
        <v>1</v>
      </c>
      <c r="I76" s="231">
        <v>3.19</v>
      </c>
      <c r="J76" s="245">
        <f>j_WEEKDAY(D76,2)</f>
        <v>4</v>
      </c>
      <c r="K76" s="21">
        <f t="shared" si="18"/>
        <v>0</v>
      </c>
      <c r="L76" s="246">
        <f t="shared" si="19"/>
        <v>5</v>
      </c>
      <c r="M76" s="233">
        <v>0</v>
      </c>
      <c r="N76" s="234">
        <v>4</v>
      </c>
      <c r="O76" s="10">
        <f t="shared" si="22"/>
        <v>0</v>
      </c>
      <c r="P76" s="10">
        <f>VALUE(J_normdate(J_ADDDAY($D76,$O76,1)))</f>
        <v>13980808</v>
      </c>
      <c r="Q76" s="9">
        <f t="shared" si="14"/>
        <v>5</v>
      </c>
      <c r="R76" s="247"/>
      <c r="S76" s="247"/>
      <c r="T76" s="247"/>
      <c r="U76" s="247"/>
      <c r="V76" s="247"/>
      <c r="W76" s="247"/>
      <c r="X76" s="247"/>
      <c r="Y76" s="247"/>
      <c r="Z76" s="247"/>
      <c r="AA76" s="247"/>
      <c r="AB76" s="247"/>
      <c r="AC76" s="247"/>
      <c r="AD76" s="247"/>
      <c r="AE76" s="247"/>
      <c r="AF76" s="247"/>
      <c r="AG76" s="247"/>
      <c r="AH76" s="247"/>
      <c r="AI76" s="247"/>
      <c r="AJ76" s="247"/>
      <c r="AK76" s="247"/>
      <c r="AL76" s="247"/>
      <c r="AM76" s="247"/>
      <c r="AN76" s="247"/>
      <c r="AO76" s="247"/>
      <c r="AP76" s="247"/>
      <c r="AQ76" s="247"/>
      <c r="AR76" s="247"/>
      <c r="AS76" s="247"/>
      <c r="AT76" s="247"/>
      <c r="AU76" s="247"/>
      <c r="AV76" s="247"/>
      <c r="AW76" s="247"/>
      <c r="AX76" s="247"/>
      <c r="AY76" s="247"/>
      <c r="AZ76" s="247"/>
      <c r="BA76" s="247"/>
      <c r="BB76" s="247"/>
      <c r="BC76" s="247"/>
      <c r="BD76" s="247"/>
      <c r="BE76" s="247"/>
      <c r="BF76" s="247"/>
      <c r="BG76" s="247"/>
      <c r="BH76" s="247"/>
      <c r="BI76" s="247"/>
      <c r="BJ76" s="247"/>
      <c r="BK76" s="247"/>
      <c r="BL76" s="247"/>
      <c r="BM76" s="247"/>
      <c r="BN76" s="247"/>
      <c r="BO76" s="247"/>
      <c r="BP76" s="247"/>
      <c r="BQ76" s="247"/>
      <c r="BR76" s="247"/>
      <c r="BS76" s="247"/>
      <c r="BT76" s="247"/>
      <c r="BU76" s="247"/>
      <c r="BV76" s="247"/>
      <c r="BW76" s="247"/>
      <c r="BX76" s="247"/>
      <c r="BY76" s="247"/>
      <c r="BZ76" s="247"/>
      <c r="CA76" s="247"/>
      <c r="CB76" s="247"/>
      <c r="CC76" s="247"/>
      <c r="CD76" s="247"/>
      <c r="CE76" s="247"/>
      <c r="CF76" s="247"/>
      <c r="CG76" s="247"/>
      <c r="CH76" s="247"/>
      <c r="CI76" s="247"/>
      <c r="CJ76" s="247"/>
      <c r="CK76" s="247"/>
      <c r="CL76" s="247"/>
      <c r="CM76" s="247"/>
      <c r="CN76" s="247"/>
      <c r="CO76" s="247"/>
      <c r="CP76" s="247"/>
      <c r="CQ76" s="247"/>
      <c r="CR76" s="247"/>
      <c r="CS76" s="247"/>
      <c r="CT76" s="247"/>
      <c r="CU76" s="247"/>
      <c r="CV76" s="247"/>
      <c r="CW76" s="247"/>
      <c r="CX76" s="247"/>
      <c r="CY76" s="247"/>
      <c r="CZ76" s="247"/>
      <c r="DA76" s="247"/>
      <c r="DB76" s="247"/>
      <c r="DC76" s="247"/>
      <c r="DD76" s="247"/>
      <c r="DE76" s="247"/>
      <c r="DF76" s="247"/>
      <c r="DG76" s="247"/>
      <c r="DH76" s="247"/>
      <c r="DI76" s="247"/>
      <c r="DJ76" s="247"/>
      <c r="DK76" s="247"/>
      <c r="DL76" s="247"/>
      <c r="DM76" s="247"/>
      <c r="DN76" s="247"/>
      <c r="DO76" s="247"/>
      <c r="DP76" s="247"/>
      <c r="DQ76" s="247"/>
      <c r="DR76" s="247"/>
      <c r="DS76" s="247"/>
      <c r="DT76" s="247"/>
      <c r="DU76" s="247"/>
      <c r="DV76" s="247"/>
      <c r="DW76" s="247"/>
      <c r="DX76" s="247"/>
      <c r="DY76" s="247"/>
      <c r="DZ76" s="247"/>
      <c r="EA76" s="247"/>
      <c r="EB76" s="247"/>
      <c r="EC76" s="247"/>
      <c r="ED76" s="247"/>
      <c r="EE76" s="247"/>
      <c r="EF76" s="247"/>
      <c r="EG76" s="247"/>
      <c r="EH76" s="247"/>
      <c r="EI76" s="247"/>
      <c r="EJ76" s="247"/>
      <c r="EK76" s="247"/>
      <c r="EL76" s="247"/>
      <c r="EM76" s="247"/>
      <c r="EN76" s="247"/>
      <c r="EO76" s="247"/>
      <c r="EP76" s="247"/>
      <c r="EQ76" s="247"/>
      <c r="ER76" s="247"/>
      <c r="ES76" s="247"/>
      <c r="ET76" s="247"/>
      <c r="EU76" s="247"/>
      <c r="EV76" s="247"/>
      <c r="EW76" s="247"/>
      <c r="EX76" s="247"/>
      <c r="EY76" s="247"/>
      <c r="EZ76" s="247"/>
      <c r="FA76" s="247"/>
      <c r="FB76" s="247"/>
      <c r="FC76" s="247"/>
      <c r="FD76" s="247"/>
      <c r="FE76" s="247"/>
      <c r="FF76" s="247"/>
      <c r="FG76" s="247"/>
      <c r="FH76" s="247"/>
      <c r="FI76" s="247"/>
      <c r="FJ76" s="247"/>
      <c r="FK76" s="247"/>
      <c r="FL76" s="247"/>
      <c r="FM76" s="247"/>
      <c r="FN76" s="247"/>
      <c r="FO76" s="247"/>
      <c r="FP76" s="247"/>
      <c r="FQ76" s="247"/>
      <c r="FR76" s="247"/>
      <c r="FS76" s="247"/>
      <c r="FT76" s="247"/>
      <c r="FU76" s="247"/>
      <c r="FV76" s="247"/>
      <c r="FW76" s="247"/>
      <c r="FX76" s="247"/>
      <c r="FY76" s="247"/>
      <c r="FZ76" s="247"/>
      <c r="GA76" s="247"/>
      <c r="GB76" s="247"/>
      <c r="GC76" s="247"/>
      <c r="GD76" s="247"/>
      <c r="GE76" s="247"/>
      <c r="GF76" s="247"/>
      <c r="GG76" s="247"/>
      <c r="GH76" s="247"/>
      <c r="GI76" s="247"/>
      <c r="GJ76" s="247"/>
      <c r="GK76" s="247"/>
      <c r="GL76" s="247"/>
      <c r="GM76" s="247"/>
      <c r="GN76" s="247"/>
      <c r="GO76" s="247"/>
      <c r="GP76" s="247"/>
      <c r="GQ76" s="247"/>
      <c r="GR76" s="247"/>
      <c r="GS76" s="247"/>
      <c r="GT76" s="247"/>
      <c r="GU76" s="247"/>
      <c r="GV76" s="247"/>
      <c r="GW76" s="247"/>
      <c r="GX76" s="247"/>
      <c r="GY76" s="247"/>
      <c r="GZ76" s="247"/>
      <c r="HA76" s="247"/>
      <c r="HB76" s="247"/>
      <c r="HC76" s="247"/>
      <c r="HD76" s="247"/>
      <c r="HE76" s="247"/>
      <c r="HF76" s="247"/>
      <c r="HG76" s="247"/>
      <c r="HH76" s="247"/>
      <c r="HI76" s="247"/>
      <c r="HJ76" s="247"/>
      <c r="HK76" s="247"/>
      <c r="HL76" s="247"/>
      <c r="HM76" s="247"/>
      <c r="HN76" s="247"/>
      <c r="HO76" s="247"/>
      <c r="HP76" s="247"/>
      <c r="HQ76" s="247"/>
      <c r="HR76" s="247"/>
      <c r="HS76" s="247"/>
      <c r="HT76" s="247"/>
      <c r="HU76" s="247"/>
      <c r="HV76" s="247"/>
      <c r="HW76" s="247"/>
      <c r="HX76" s="247"/>
      <c r="HY76" s="247"/>
      <c r="HZ76" s="247"/>
      <c r="IA76" s="247"/>
      <c r="IB76" s="247"/>
      <c r="IC76" s="247"/>
      <c r="ID76" s="247"/>
      <c r="IE76" s="247"/>
      <c r="IF76" s="247"/>
      <c r="IG76" s="247"/>
      <c r="IH76" s="247"/>
      <c r="II76" s="247"/>
      <c r="IJ76" s="247"/>
      <c r="IK76" s="247"/>
      <c r="IL76" s="247"/>
      <c r="IM76" s="247"/>
      <c r="IN76" s="247"/>
      <c r="IO76" s="247"/>
      <c r="IP76" s="247"/>
      <c r="IQ76" s="247"/>
      <c r="IR76" s="247"/>
      <c r="IS76" s="247"/>
      <c r="IT76" s="247"/>
      <c r="IU76" s="247"/>
      <c r="IV76" s="247"/>
      <c r="IW76" s="247"/>
      <c r="IX76" s="247"/>
      <c r="JA76" s="253"/>
      <c r="JB76" s="253"/>
      <c r="JC76" s="253"/>
      <c r="JD76" s="254">
        <f>SUM((TEXT(JA76,"[M]")/60)*'Income Person-hours'!$D$3,(TEXT(JB76,"[M]")/60)*'Income Person-hours'!$D$4,(TEXT(JC76,"[M]")/60)*'Income Person-hours'!$D$5)</f>
        <v>0</v>
      </c>
    </row>
    <row r="77" spans="1:264" s="247" customFormat="1" ht="13.5">
      <c r="A77" s="257">
        <v>3.22</v>
      </c>
      <c r="B77" s="241" t="s">
        <v>122</v>
      </c>
      <c r="C77" s="228" t="s">
        <v>111</v>
      </c>
      <c r="D77" s="247" t="str">
        <f>IF(OR(j_WEEKDAY(J_ADDDAY(VLOOKUP(I77,A:F,6,FALSE),H77,1),0)=6,SUMIFS(Holieday[ok],Holieday[date],J_ADDDAY(VLOOKUP(I77,A:F,6,FALSE),H77,1)))=FALSE(),J_ADDDAY(VLOOKUP(I77,A:F,6,FALSE),H77,1),IF(OR(j_WEEKDAY(J_ADDDAY(VLOOKUP(I77,A:F,6,FALSE),H77+1,1),0)=6,SUMIFS(Holieday[ok],Holieday[date],J_ADDDAY(VLOOKUP(I77,A:F,6,FALSE),H77+1,1)))=FALSE(),J_ADDDAY(VLOOKUP(I77,A:F,6,FALSE),H77+1,1),IF(OR(j_WEEKDAY(J_ADDDAY(VLOOKUP(I77,A:F,6,FALSE),H77+2,1),0)=6,SUMIFS(Holieday[ok],Holieday[date],J_ADDDAY(VLOOKUP(I77,A:F,6,FALSE),H77+2,1)))=FALSE(),J_ADDDAY(VLOOKUP(I77,A:F,6,FALSE),H77+2,1),IF(OR(j_WEEKDAY(J_ADDDAY(VLOOKUP(I77,A:F,6,FALSE),H77+3,1),0)=6,SUMIFS(Holieday[ok],Holieday[date],J_ADDDAY(VLOOKUP(I77,A:F,6,FALSE),H77+3,1)))=FALSE(),J_ADDDAY(VLOOKUP(I77,A:F,6,FALSE),H77+3,1),IF(OR(j_WEEKDAY(J_ADDDAY(VLOOKUP(I77,A:F,6,FALSE),H77+4,1),0)=6,SUMIFS(Holieday[ok],Holieday[date],J_ADDDAY(VLOOKUP(I77,A:F,6,FALSE),H77+4,1)))=FALSE(),J_ADDDAY(VLOOKUP(I77,A:F,6,FALSE),H77+4,1),J_ADDDAY(VLOOKUP(I77,A:F,6,FALSE),H77+5,1))))))</f>
        <v>1398/08/13</v>
      </c>
      <c r="E77" s="1">
        <f t="shared" si="20"/>
        <v>13980813</v>
      </c>
      <c r="F77" s="251" t="str">
        <f>IF(N77=0,J_SUBDAY(D77,1,1),IF((N77-(NETWORKDAYS.INTL(J_GregorianDate(D77,1),J_GregorianDate(J_SUBDAY(J_ADDDAY(D77,N77,1),1,1),1),16,1)))+SUMIFS(Holieday[ok],Holieday[date],CONCATENATE("&gt;","=",D77),Holieday[date],CONCATENATE("&lt;","=",J_SUBDAY(J_ADDDAY(D77,N77,1),1,1)))-SUMIFS(Holieday[Friday],Holieday[date],CONCATENATE("&gt;","=",D77),Holieday[date],CONCATENATE("&lt;","=",J_SUBDAY(J_ADDDAY(D77,N77,1),1,1)))=0,J_SUBDAY(J_ADDDAY(D77,N77,1),1,1),IF((N77+1-(NETWORKDAYS.INTL(J_GregorianDate(D77,1),J_GregorianDate(J_SUBDAY(J_ADDDAY(D77,N77+1,1),1,1),1),16,1)))+SUMIFS(Holieday[ok],Holieday[date],CONCATENATE("&gt;","=",D77),Holieday[date],CONCATENATE("&lt;","=",J_SUBDAY(J_ADDDAY(D77,N77+1,1),1,1)))-SUMIFS(Holieday[Friday],Holieday[date],CONCATENATE("&gt;","=",D77),Holieday[date],CONCATENATE("&lt;","=",J_SUBDAY(J_ADDDAY(D77,N77+1,1),1,1)))=1,J_SUBDAY(J_ADDDAY(D77,N77+1,1),1,1),IF((N77+2-(NETWORKDAYS.INTL(J_GregorianDate(D77,1),J_GregorianDate(J_SUBDAY(J_ADDDAY(D77,N77+2,1),1,1),1),16,1)))+SUMIFS(Holieday[ok],Holieday[date],CONCATENATE("&gt;","=",D77),Holieday[date],CONCATENATE("&lt;","=",J_SUBDAY(J_ADDDAY(D77,N77+2,1),1,1)))-SUMIFS(Holieday[Friday],Holieday[date],CONCATENATE("&gt;","=",D77),Holieday[date],CONCATENATE("&lt;","=",J_SUBDAY(J_ADDDAY(D77,N77+2,1),1,1)))=2,J_SUBDAY(J_ADDDAY(D77,N77+2,1),1,1),IF((N77+3-(NETWORKDAYS.INTL(J_GregorianDate(D77,1),J_GregorianDate(J_SUBDAY(J_ADDDAY(D77,N77+3,1),1,1),1),16,1)))+SUMIFS(Holieday[ok],Holieday[date],CONCATENATE("&gt;","=",D77),Holieday[date],CONCATENATE("&lt;","=",J_SUBDAY(J_ADDDAY(D77,N77+3,1),1,1)))-SUMIFS(Holieday[Friday],Holieday[date],CONCATENATE("&gt;","=",D77),Holieday[date],CONCATENATE("&lt;","=",J_SUBDAY(J_ADDDAY(D77,N77+3,1),1,1)))=3,J_SUBDAY(J_ADDDAY(D77,N77+3,1),1,1),IF((N77+4-(NETWORKDAYS.INTL(J_GregorianDate(D77,1),J_GregorianDate(J_SUBDAY(J_ADDDAY(D77,N77+4,1),1,1),1),16,1)))+SUMIFS(Holieday[ok],Holieday[date],CONCATENATE("&gt;","=",D77),Holieday[date],CONCATENATE("&lt;","=",J_SUBDAY(J_ADDDAY(D77,N77+4,1),1,1)))-SUMIFS(Holieday[Friday],Holieday[date],CONCATENATE("&gt;","=",D77),Holieday[date],CONCATENATE("&lt;","=",J_SUBDAY(J_ADDDAY(D77,N77+4,1),1,1)))=4,J_SUBDAY(J_ADDDAY(D77,N77+4,1),1,1),IF((N77+5-(NETWORKDAYS.INTL(J_GregorianDate(D77,1),J_GregorianDate(J_SUBDAY(J_ADDDAY(D77,N77+5,1),1,1),1),16,1)))+SUMIFS(Holieday[ok],Holieday[date],CONCATENATE("&gt;","=",D77),Holieday[date],CONCATENATE("&lt;","=",J_SUBDAY(J_ADDDAY(D77,N77+5,1),1,1)))-SUMIFS(Holieday[Friday],Holieday[date],CONCATENATE("&gt;","=",D77),Holieday[date],CONCATENATE("&lt;","=",J_SUBDAY(J_ADDDAY(D77,N77+5,1),1,1)))=5,J_SUBDAY(J_ADDDAY(D77,N77+5,1),1,1),J_SUBDAY(J_ADDDAY(D77,N77+6,1),1,1))))))))</f>
        <v>1398/08/22</v>
      </c>
      <c r="G77" s="2">
        <f t="shared" si="21"/>
        <v>13980822</v>
      </c>
      <c r="H77" s="230">
        <v>1</v>
      </c>
      <c r="I77" s="231">
        <v>3.21</v>
      </c>
      <c r="J77" s="245">
        <f>j_WEEKDAY(D77,2)</f>
        <v>2</v>
      </c>
      <c r="K77" s="21">
        <f t="shared" si="18"/>
        <v>0</v>
      </c>
      <c r="L77" s="258">
        <f t="shared" si="19"/>
        <v>10</v>
      </c>
      <c r="M77" s="233">
        <v>0</v>
      </c>
      <c r="N77" s="234">
        <v>8</v>
      </c>
      <c r="O77" s="10">
        <f t="shared" si="22"/>
        <v>0</v>
      </c>
      <c r="P77" s="10">
        <f>VALUE(J_normdate(J_ADDDAY($D77,$O77,1)))</f>
        <v>13980813</v>
      </c>
      <c r="Q77" s="9">
        <f t="shared" si="14"/>
        <v>10</v>
      </c>
      <c r="JA77" s="228"/>
      <c r="JB77" s="228"/>
      <c r="JC77" s="228"/>
      <c r="JD77" s="250">
        <f>SUM((TEXT(JA77,"[M]")/60)*'Income Person-hours'!$D$3,(TEXT(JB77,"[M]")/60)*'Income Person-hours'!$D$4,(TEXT(JC77,"[M]")/60)*'Income Person-hours'!$D$5)</f>
        <v>0</v>
      </c>
    </row>
    <row r="78" spans="1:264" s="255" customFormat="1" ht="13.5">
      <c r="A78" s="256">
        <v>3.23</v>
      </c>
      <c r="B78" s="241" t="s">
        <v>150</v>
      </c>
      <c r="C78" s="228" t="s">
        <v>110</v>
      </c>
      <c r="D78" s="247" t="str">
        <f>IF(OR(j_WEEKDAY(J_ADDDAY(VLOOKUP(I78,A:F,6,FALSE),H78,1),0)=6,SUMIFS(Holieday[ok],Holieday[date],J_ADDDAY(VLOOKUP(I78,A:F,6,FALSE),H78,1)))=FALSE(),J_ADDDAY(VLOOKUP(I78,A:F,6,FALSE),H78,1),IF(OR(j_WEEKDAY(J_ADDDAY(VLOOKUP(I78,A:F,6,FALSE),H78+1,1),0)=6,SUMIFS(Holieday[ok],Holieday[date],J_ADDDAY(VLOOKUP(I78,A:F,6,FALSE),H78+1,1)))=FALSE(),J_ADDDAY(VLOOKUP(I78,A:F,6,FALSE),H78+1,1),IF(OR(j_WEEKDAY(J_ADDDAY(VLOOKUP(I78,A:F,6,FALSE),H78+2,1),0)=6,SUMIFS(Holieday[ok],Holieday[date],J_ADDDAY(VLOOKUP(I78,A:F,6,FALSE),H78+2,1)))=FALSE(),J_ADDDAY(VLOOKUP(I78,A:F,6,FALSE),H78+2,1),IF(OR(j_WEEKDAY(J_ADDDAY(VLOOKUP(I78,A:F,6,FALSE),H78+3,1),0)=6,SUMIFS(Holieday[ok],Holieday[date],J_ADDDAY(VLOOKUP(I78,A:F,6,FALSE),H78+3,1)))=FALSE(),J_ADDDAY(VLOOKUP(I78,A:F,6,FALSE),H78+3,1),IF(OR(j_WEEKDAY(J_ADDDAY(VLOOKUP(I78,A:F,6,FALSE),H78+4,1),0)=6,SUMIFS(Holieday[ok],Holieday[date],J_ADDDAY(VLOOKUP(I78,A:F,6,FALSE),H78+4,1)))=FALSE(),J_ADDDAY(VLOOKUP(I78,A:F,6,FALSE),H78+4,1),J_ADDDAY(VLOOKUP(I78,A:F,6,FALSE),H78+5,1))))))</f>
        <v>1398/08/25</v>
      </c>
      <c r="E78" s="1">
        <f t="shared" si="20"/>
        <v>13980825</v>
      </c>
      <c r="F78" s="251" t="str">
        <f>IF(N78=0,J_SUBDAY(D78,1,1),IF((N78-(NETWORKDAYS.INTL(J_GregorianDate(D78,1),J_GregorianDate(J_SUBDAY(J_ADDDAY(D78,N78,1),1,1),1),16,1)))+SUMIFS(Holieday[ok],Holieday[date],CONCATENATE("&gt;","=",D78),Holieday[date],CONCATENATE("&lt;","=",J_SUBDAY(J_ADDDAY(D78,N78,1),1,1)))-SUMIFS(Holieday[Friday],Holieday[date],CONCATENATE("&gt;","=",D78),Holieday[date],CONCATENATE("&lt;","=",J_SUBDAY(J_ADDDAY(D78,N78,1),1,1)))=0,J_SUBDAY(J_ADDDAY(D78,N78,1),1,1),IF((N78+1-(NETWORKDAYS.INTL(J_GregorianDate(D78,1),J_GregorianDate(J_SUBDAY(J_ADDDAY(D78,N78+1,1),1,1),1),16,1)))+SUMIFS(Holieday[ok],Holieday[date],CONCATENATE("&gt;","=",D78),Holieday[date],CONCATENATE("&lt;","=",J_SUBDAY(J_ADDDAY(D78,N78+1,1),1,1)))-SUMIFS(Holieday[Friday],Holieday[date],CONCATENATE("&gt;","=",D78),Holieday[date],CONCATENATE("&lt;","=",J_SUBDAY(J_ADDDAY(D78,N78+1,1),1,1)))=1,J_SUBDAY(J_ADDDAY(D78,N78+1,1),1,1),IF((N78+2-(NETWORKDAYS.INTL(J_GregorianDate(D78,1),J_GregorianDate(J_SUBDAY(J_ADDDAY(D78,N78+2,1),1,1),1),16,1)))+SUMIFS(Holieday[ok],Holieday[date],CONCATENATE("&gt;","=",D78),Holieday[date],CONCATENATE("&lt;","=",J_SUBDAY(J_ADDDAY(D78,N78+2,1),1,1)))-SUMIFS(Holieday[Friday],Holieday[date],CONCATENATE("&gt;","=",D78),Holieday[date],CONCATENATE("&lt;","=",J_SUBDAY(J_ADDDAY(D78,N78+2,1),1,1)))=2,J_SUBDAY(J_ADDDAY(D78,N78+2,1),1,1),IF((N78+3-(NETWORKDAYS.INTL(J_GregorianDate(D78,1),J_GregorianDate(J_SUBDAY(J_ADDDAY(D78,N78+3,1),1,1),1),16,1)))+SUMIFS(Holieday[ok],Holieday[date],CONCATENATE("&gt;","=",D78),Holieday[date],CONCATENATE("&lt;","=",J_SUBDAY(J_ADDDAY(D78,N78+3,1),1,1)))-SUMIFS(Holieday[Friday],Holieday[date],CONCATENATE("&gt;","=",D78),Holieday[date],CONCATENATE("&lt;","=",J_SUBDAY(J_ADDDAY(D78,N78+3,1),1,1)))=3,J_SUBDAY(J_ADDDAY(D78,N78+3,1),1,1),IF((N78+4-(NETWORKDAYS.INTL(J_GregorianDate(D78,1),J_GregorianDate(J_SUBDAY(J_ADDDAY(D78,N78+4,1),1,1),1),16,1)))+SUMIFS(Holieday[ok],Holieday[date],CONCATENATE("&gt;","=",D78),Holieday[date],CONCATENATE("&lt;","=",J_SUBDAY(J_ADDDAY(D78,N78+4,1),1,1)))-SUMIFS(Holieday[Friday],Holieday[date],CONCATENATE("&gt;","=",D78),Holieday[date],CONCATENATE("&lt;","=",J_SUBDAY(J_ADDDAY(D78,N78+4,1),1,1)))=4,J_SUBDAY(J_ADDDAY(D78,N78+4,1),1,1),IF((N78+5-(NETWORKDAYS.INTL(J_GregorianDate(D78,1),J_GregorianDate(J_SUBDAY(J_ADDDAY(D78,N78+5,1),1,1),1),16,1)))+SUMIFS(Holieday[ok],Holieday[date],CONCATENATE("&gt;","=",D78),Holieday[date],CONCATENATE("&lt;","=",J_SUBDAY(J_ADDDAY(D78,N78+5,1),1,1)))-SUMIFS(Holieday[Friday],Holieday[date],CONCATENATE("&gt;","=",D78),Holieday[date],CONCATENATE("&lt;","=",J_SUBDAY(J_ADDDAY(D78,N78+5,1),1,1)))=5,J_SUBDAY(J_ADDDAY(D78,N78+5,1),1,1),J_SUBDAY(J_ADDDAY(D78,N78+6,1),1,1))))))))</f>
        <v>1398/08/27</v>
      </c>
      <c r="G78" s="2">
        <f t="shared" si="21"/>
        <v>13980827</v>
      </c>
      <c r="H78" s="230">
        <v>2</v>
      </c>
      <c r="I78" s="231">
        <v>3.22</v>
      </c>
      <c r="J78" s="245">
        <f>j_WEEKDAY(D78,2)</f>
        <v>0</v>
      </c>
      <c r="K78" s="21">
        <f t="shared" si="18"/>
        <v>0</v>
      </c>
      <c r="L78" s="246">
        <f t="shared" si="19"/>
        <v>3</v>
      </c>
      <c r="M78" s="233">
        <v>0</v>
      </c>
      <c r="N78" s="234">
        <v>3</v>
      </c>
      <c r="O78" s="10">
        <f t="shared" si="22"/>
        <v>0</v>
      </c>
      <c r="P78" s="10">
        <f>VALUE(J_normdate(J_ADDDAY($D78,$O78,1)))</f>
        <v>13980825</v>
      </c>
      <c r="Q78" s="9">
        <f t="shared" si="14"/>
        <v>3</v>
      </c>
      <c r="R78" s="247"/>
      <c r="S78" s="247"/>
      <c r="T78" s="247"/>
      <c r="U78" s="247"/>
      <c r="V78" s="247"/>
      <c r="W78" s="247"/>
      <c r="X78" s="247"/>
      <c r="Y78" s="247"/>
      <c r="Z78" s="247"/>
      <c r="AA78" s="247"/>
      <c r="AB78" s="247"/>
      <c r="AC78" s="247"/>
      <c r="AD78" s="247"/>
      <c r="AE78" s="247"/>
      <c r="AF78" s="247"/>
      <c r="AG78" s="247"/>
      <c r="AH78" s="247"/>
      <c r="AI78" s="247"/>
      <c r="AJ78" s="247"/>
      <c r="AK78" s="247"/>
      <c r="AL78" s="247"/>
      <c r="AM78" s="247"/>
      <c r="AN78" s="247"/>
      <c r="AO78" s="247"/>
      <c r="AP78" s="247"/>
      <c r="AQ78" s="247"/>
      <c r="AR78" s="247"/>
      <c r="AS78" s="247"/>
      <c r="AT78" s="247"/>
      <c r="AU78" s="247"/>
      <c r="AV78" s="247"/>
      <c r="AW78" s="247"/>
      <c r="AX78" s="247"/>
      <c r="AY78" s="247"/>
      <c r="AZ78" s="247"/>
      <c r="BA78" s="247"/>
      <c r="BB78" s="247"/>
      <c r="BC78" s="247"/>
      <c r="BD78" s="247"/>
      <c r="BE78" s="247"/>
      <c r="BF78" s="247"/>
      <c r="BG78" s="247"/>
      <c r="BH78" s="247"/>
      <c r="BI78" s="247"/>
      <c r="BJ78" s="247"/>
      <c r="BK78" s="247"/>
      <c r="BL78" s="247"/>
      <c r="BM78" s="247"/>
      <c r="BN78" s="247"/>
      <c r="BO78" s="247"/>
      <c r="BP78" s="247"/>
      <c r="BQ78" s="247"/>
      <c r="BR78" s="247"/>
      <c r="BS78" s="247"/>
      <c r="BT78" s="247"/>
      <c r="BU78" s="247"/>
      <c r="BV78" s="247"/>
      <c r="BW78" s="247"/>
      <c r="BX78" s="247"/>
      <c r="BY78" s="247"/>
      <c r="BZ78" s="247"/>
      <c r="CA78" s="247"/>
      <c r="CB78" s="247"/>
      <c r="CC78" s="247"/>
      <c r="CD78" s="247"/>
      <c r="CE78" s="247"/>
      <c r="CF78" s="247"/>
      <c r="CG78" s="247"/>
      <c r="CH78" s="247"/>
      <c r="CI78" s="247"/>
      <c r="CJ78" s="247"/>
      <c r="CK78" s="247"/>
      <c r="CL78" s="247"/>
      <c r="CM78" s="247"/>
      <c r="CN78" s="247"/>
      <c r="CO78" s="247"/>
      <c r="CP78" s="247"/>
      <c r="CQ78" s="247"/>
      <c r="CR78" s="247"/>
      <c r="CS78" s="247"/>
      <c r="CT78" s="247"/>
      <c r="CU78" s="247"/>
      <c r="CV78" s="247"/>
      <c r="CW78" s="247"/>
      <c r="CX78" s="247"/>
      <c r="CY78" s="247"/>
      <c r="CZ78" s="247"/>
      <c r="DA78" s="247"/>
      <c r="DB78" s="247"/>
      <c r="DC78" s="247"/>
      <c r="DD78" s="247"/>
      <c r="DE78" s="247"/>
      <c r="DF78" s="247"/>
      <c r="DG78" s="247"/>
      <c r="DH78" s="247"/>
      <c r="DI78" s="247"/>
      <c r="DJ78" s="247"/>
      <c r="DK78" s="247"/>
      <c r="DL78" s="247"/>
      <c r="DM78" s="247"/>
      <c r="DN78" s="247"/>
      <c r="DO78" s="247"/>
      <c r="DP78" s="247"/>
      <c r="DQ78" s="247"/>
      <c r="DR78" s="247"/>
      <c r="DS78" s="247"/>
      <c r="DT78" s="247"/>
      <c r="DU78" s="247"/>
      <c r="DV78" s="247"/>
      <c r="DW78" s="247"/>
      <c r="DX78" s="247"/>
      <c r="DY78" s="247"/>
      <c r="DZ78" s="247"/>
      <c r="EA78" s="247"/>
      <c r="EB78" s="247"/>
      <c r="EC78" s="247"/>
      <c r="ED78" s="247"/>
      <c r="EE78" s="247"/>
      <c r="EF78" s="247"/>
      <c r="EG78" s="247"/>
      <c r="EH78" s="247"/>
      <c r="EI78" s="247"/>
      <c r="EJ78" s="247"/>
      <c r="EK78" s="247"/>
      <c r="EL78" s="247"/>
      <c r="EM78" s="247"/>
      <c r="EN78" s="247"/>
      <c r="EO78" s="247"/>
      <c r="EP78" s="247"/>
      <c r="EQ78" s="247"/>
      <c r="ER78" s="247"/>
      <c r="ES78" s="247"/>
      <c r="ET78" s="247"/>
      <c r="EU78" s="247"/>
      <c r="EV78" s="247"/>
      <c r="EW78" s="247"/>
      <c r="EX78" s="247"/>
      <c r="EY78" s="247"/>
      <c r="EZ78" s="247"/>
      <c r="FA78" s="247"/>
      <c r="FB78" s="247"/>
      <c r="FC78" s="247"/>
      <c r="FD78" s="247"/>
      <c r="FE78" s="247"/>
      <c r="FF78" s="247"/>
      <c r="FG78" s="247"/>
      <c r="FH78" s="247"/>
      <c r="FI78" s="247"/>
      <c r="FJ78" s="247"/>
      <c r="FK78" s="247"/>
      <c r="FL78" s="247"/>
      <c r="FM78" s="247"/>
      <c r="FN78" s="247"/>
      <c r="FO78" s="247"/>
      <c r="FP78" s="247"/>
      <c r="FQ78" s="247"/>
      <c r="FR78" s="247"/>
      <c r="FS78" s="247"/>
      <c r="FT78" s="247"/>
      <c r="FU78" s="247"/>
      <c r="FV78" s="247"/>
      <c r="FW78" s="247"/>
      <c r="FX78" s="247"/>
      <c r="FY78" s="247"/>
      <c r="FZ78" s="247"/>
      <c r="GA78" s="247"/>
      <c r="GB78" s="247"/>
      <c r="GC78" s="247"/>
      <c r="GD78" s="247"/>
      <c r="GE78" s="247"/>
      <c r="GF78" s="247"/>
      <c r="GG78" s="247"/>
      <c r="GH78" s="247"/>
      <c r="GI78" s="247"/>
      <c r="GJ78" s="247"/>
      <c r="GK78" s="247"/>
      <c r="GL78" s="247"/>
      <c r="GM78" s="247"/>
      <c r="GN78" s="247"/>
      <c r="GO78" s="247"/>
      <c r="GP78" s="247"/>
      <c r="GQ78" s="247"/>
      <c r="GR78" s="247"/>
      <c r="GS78" s="247"/>
      <c r="GT78" s="247"/>
      <c r="GU78" s="247"/>
      <c r="GV78" s="247"/>
      <c r="GW78" s="247"/>
      <c r="GX78" s="247"/>
      <c r="GY78" s="247"/>
      <c r="GZ78" s="247"/>
      <c r="HA78" s="247"/>
      <c r="HB78" s="247"/>
      <c r="HC78" s="247"/>
      <c r="HD78" s="247"/>
      <c r="HE78" s="247"/>
      <c r="HF78" s="247"/>
      <c r="HG78" s="247"/>
      <c r="HH78" s="247"/>
      <c r="HI78" s="247"/>
      <c r="HJ78" s="247"/>
      <c r="HK78" s="247"/>
      <c r="HL78" s="247"/>
      <c r="HM78" s="247"/>
      <c r="HN78" s="247"/>
      <c r="HO78" s="247"/>
      <c r="HP78" s="247"/>
      <c r="HQ78" s="247"/>
      <c r="HR78" s="247"/>
      <c r="HS78" s="247"/>
      <c r="HT78" s="247"/>
      <c r="HU78" s="247"/>
      <c r="HV78" s="247"/>
      <c r="HW78" s="247"/>
      <c r="HX78" s="247"/>
      <c r="HY78" s="247"/>
      <c r="HZ78" s="247"/>
      <c r="IA78" s="247"/>
      <c r="IB78" s="247"/>
      <c r="IC78" s="247"/>
      <c r="ID78" s="247"/>
      <c r="IE78" s="247"/>
      <c r="IF78" s="247"/>
      <c r="IG78" s="247"/>
      <c r="IH78" s="247"/>
      <c r="II78" s="247"/>
      <c r="IJ78" s="247"/>
      <c r="IK78" s="247"/>
      <c r="IL78" s="247"/>
      <c r="IM78" s="247"/>
      <c r="IN78" s="247"/>
      <c r="IO78" s="247"/>
      <c r="IP78" s="247"/>
      <c r="IQ78" s="247"/>
      <c r="IR78" s="247"/>
      <c r="IS78" s="247"/>
      <c r="IT78" s="247"/>
      <c r="IU78" s="247"/>
      <c r="IV78" s="247"/>
      <c r="IW78" s="247"/>
      <c r="IX78" s="247"/>
      <c r="JA78" s="253"/>
      <c r="JB78" s="253"/>
      <c r="JC78" s="253"/>
      <c r="JD78" s="254">
        <f>SUM((TEXT(JA78,"[M]")/60)*'Income Person-hours'!$D$3,(TEXT(JB78,"[M]")/60)*'Income Person-hours'!$D$4,(TEXT(JC78,"[M]")/60)*'Income Person-hours'!$D$5)</f>
        <v>0</v>
      </c>
    </row>
    <row r="79" spans="1:264" s="255" customFormat="1" ht="13.5">
      <c r="A79" s="256">
        <v>3.24</v>
      </c>
      <c r="B79" s="241" t="s">
        <v>159</v>
      </c>
      <c r="C79" s="228" t="s">
        <v>111</v>
      </c>
      <c r="D79" s="247" t="str">
        <f>IF(OR(j_WEEKDAY(J_ADDDAY(VLOOKUP(I79,A:F,6,FALSE),H79,1),0)=6,SUMIFS(Holieday[ok],Holieday[date],J_ADDDAY(VLOOKUP(I79,A:F,6,FALSE),H79,1)))=FALSE(),J_ADDDAY(VLOOKUP(I79,A:F,6,FALSE),H79,1),IF(OR(j_WEEKDAY(J_ADDDAY(VLOOKUP(I79,A:F,6,FALSE),H79+1,1),0)=6,SUMIFS(Holieday[ok],Holieday[date],J_ADDDAY(VLOOKUP(I79,A:F,6,FALSE),H79+1,1)))=FALSE(),J_ADDDAY(VLOOKUP(I79,A:F,6,FALSE),H79+1,1),IF(OR(j_WEEKDAY(J_ADDDAY(VLOOKUP(I79,A:F,6,FALSE),H79+2,1),0)=6,SUMIFS(Holieday[ok],Holieday[date],J_ADDDAY(VLOOKUP(I79,A:F,6,FALSE),H79+2,1)))=FALSE(),J_ADDDAY(VLOOKUP(I79,A:F,6,FALSE),H79+2,1),IF(OR(j_WEEKDAY(J_ADDDAY(VLOOKUP(I79,A:F,6,FALSE),H79+3,1),0)=6,SUMIFS(Holieday[ok],Holieday[date],J_ADDDAY(VLOOKUP(I79,A:F,6,FALSE),H79+3,1)))=FALSE(),J_ADDDAY(VLOOKUP(I79,A:F,6,FALSE),H79+3,1),IF(OR(j_WEEKDAY(J_ADDDAY(VLOOKUP(I79,A:F,6,FALSE),H79+4,1),0)=6,SUMIFS(Holieday[ok],Holieday[date],J_ADDDAY(VLOOKUP(I79,A:F,6,FALSE),H79+4,1)))=FALSE(),J_ADDDAY(VLOOKUP(I79,A:F,6,FALSE),H79+4,1),J_ADDDAY(VLOOKUP(I79,A:F,6,FALSE),H79+5,1))))))</f>
        <v>1398/08/28</v>
      </c>
      <c r="E79" s="1">
        <f t="shared" si="20"/>
        <v>13980828</v>
      </c>
      <c r="F79" s="251" t="str">
        <f>IF(N79=0,J_SUBDAY(D79,1,1),IF((N79-(NETWORKDAYS.INTL(J_GregorianDate(D79,1),J_GregorianDate(J_SUBDAY(J_ADDDAY(D79,N79,1),1,1),1),16,1)))+SUMIFS(Holieday[ok],Holieday[date],CONCATENATE("&gt;","=",D79),Holieday[date],CONCATENATE("&lt;","=",J_SUBDAY(J_ADDDAY(D79,N79,1),1,1)))-SUMIFS(Holieday[Friday],Holieday[date],CONCATENATE("&gt;","=",D79),Holieday[date],CONCATENATE("&lt;","=",J_SUBDAY(J_ADDDAY(D79,N79,1),1,1)))=0,J_SUBDAY(J_ADDDAY(D79,N79,1),1,1),IF((N79+1-(NETWORKDAYS.INTL(J_GregorianDate(D79,1),J_GregorianDate(J_SUBDAY(J_ADDDAY(D79,N79+1,1),1,1),1),16,1)))+SUMIFS(Holieday[ok],Holieday[date],CONCATENATE("&gt;","=",D79),Holieday[date],CONCATENATE("&lt;","=",J_SUBDAY(J_ADDDAY(D79,N79+1,1),1,1)))-SUMIFS(Holieday[Friday],Holieday[date],CONCATENATE("&gt;","=",D79),Holieday[date],CONCATENATE("&lt;","=",J_SUBDAY(J_ADDDAY(D79,N79+1,1),1,1)))=1,J_SUBDAY(J_ADDDAY(D79,N79+1,1),1,1),IF((N79+2-(NETWORKDAYS.INTL(J_GregorianDate(D79,1),J_GregorianDate(J_SUBDAY(J_ADDDAY(D79,N79+2,1),1,1),1),16,1)))+SUMIFS(Holieday[ok],Holieday[date],CONCATENATE("&gt;","=",D79),Holieday[date],CONCATENATE("&lt;","=",J_SUBDAY(J_ADDDAY(D79,N79+2,1),1,1)))-SUMIFS(Holieday[Friday],Holieday[date],CONCATENATE("&gt;","=",D79),Holieday[date],CONCATENATE("&lt;","=",J_SUBDAY(J_ADDDAY(D79,N79+2,1),1,1)))=2,J_SUBDAY(J_ADDDAY(D79,N79+2,1),1,1),IF((N79+3-(NETWORKDAYS.INTL(J_GregorianDate(D79,1),J_GregorianDate(J_SUBDAY(J_ADDDAY(D79,N79+3,1),1,1),1),16,1)))+SUMIFS(Holieday[ok],Holieday[date],CONCATENATE("&gt;","=",D79),Holieday[date],CONCATENATE("&lt;","=",J_SUBDAY(J_ADDDAY(D79,N79+3,1),1,1)))-SUMIFS(Holieday[Friday],Holieday[date],CONCATENATE("&gt;","=",D79),Holieday[date],CONCATENATE("&lt;","=",J_SUBDAY(J_ADDDAY(D79,N79+3,1),1,1)))=3,J_SUBDAY(J_ADDDAY(D79,N79+3,1),1,1),IF((N79+4-(NETWORKDAYS.INTL(J_GregorianDate(D79,1),J_GregorianDate(J_SUBDAY(J_ADDDAY(D79,N79+4,1),1,1),1),16,1)))+SUMIFS(Holieday[ok],Holieday[date],CONCATENATE("&gt;","=",D79),Holieday[date],CONCATENATE("&lt;","=",J_SUBDAY(J_ADDDAY(D79,N79+4,1),1,1)))-SUMIFS(Holieday[Friday],Holieday[date],CONCATENATE("&gt;","=",D79),Holieday[date],CONCATENATE("&lt;","=",J_SUBDAY(J_ADDDAY(D79,N79+4,1),1,1)))=4,J_SUBDAY(J_ADDDAY(D79,N79+4,1),1,1),IF((N79+5-(NETWORKDAYS.INTL(J_GregorianDate(D79,1),J_GregorianDate(J_SUBDAY(J_ADDDAY(D79,N79+5,1),1,1),1),16,1)))+SUMIFS(Holieday[ok],Holieday[date],CONCATENATE("&gt;","=",D79),Holieday[date],CONCATENATE("&lt;","=",J_SUBDAY(J_ADDDAY(D79,N79+5,1),1,1)))-SUMIFS(Holieday[Friday],Holieday[date],CONCATENATE("&gt;","=",D79),Holieday[date],CONCATENATE("&lt;","=",J_SUBDAY(J_ADDDAY(D79,N79+5,1),1,1)))=5,J_SUBDAY(J_ADDDAY(D79,N79+5,1),1,1),J_SUBDAY(J_ADDDAY(D79,N79+6,1),1,1))))))))</f>
        <v>1398/09/02</v>
      </c>
      <c r="G79" s="2">
        <f t="shared" si="21"/>
        <v>13980902</v>
      </c>
      <c r="H79" s="230">
        <v>1</v>
      </c>
      <c r="I79" s="231">
        <v>3.23</v>
      </c>
      <c r="J79" s="245">
        <f>j_WEEKDAY(D79,2)</f>
        <v>3</v>
      </c>
      <c r="K79" s="21">
        <f t="shared" si="18"/>
        <v>0</v>
      </c>
      <c r="L79" s="246">
        <f t="shared" si="19"/>
        <v>5</v>
      </c>
      <c r="M79" s="233">
        <v>0</v>
      </c>
      <c r="N79" s="234">
        <v>4</v>
      </c>
      <c r="O79" s="10">
        <f t="shared" si="22"/>
        <v>0</v>
      </c>
      <c r="P79" s="10">
        <f>VALUE(J_normdate(J_ADDDAY($D79,$O79,1)))</f>
        <v>13980828</v>
      </c>
      <c r="Q79" s="9">
        <f t="shared" si="14"/>
        <v>5</v>
      </c>
      <c r="R79" s="247"/>
      <c r="S79" s="247"/>
      <c r="T79" s="247"/>
      <c r="U79" s="247"/>
      <c r="V79" s="247"/>
      <c r="W79" s="247"/>
      <c r="X79" s="247"/>
      <c r="Y79" s="247"/>
      <c r="Z79" s="247"/>
      <c r="AA79" s="247"/>
      <c r="AB79" s="247"/>
      <c r="AC79" s="247"/>
      <c r="AD79" s="247"/>
      <c r="AE79" s="247"/>
      <c r="AF79" s="247"/>
      <c r="AG79" s="247"/>
      <c r="AH79" s="247"/>
      <c r="AI79" s="247"/>
      <c r="AJ79" s="247"/>
      <c r="AK79" s="247"/>
      <c r="AL79" s="247"/>
      <c r="AM79" s="247"/>
      <c r="AN79" s="247"/>
      <c r="AO79" s="247"/>
      <c r="AP79" s="247"/>
      <c r="AQ79" s="247"/>
      <c r="AR79" s="247"/>
      <c r="AS79" s="247"/>
      <c r="AT79" s="247"/>
      <c r="AU79" s="247"/>
      <c r="AV79" s="247"/>
      <c r="AW79" s="247"/>
      <c r="AX79" s="247"/>
      <c r="AY79" s="247"/>
      <c r="AZ79" s="247"/>
      <c r="BA79" s="247"/>
      <c r="BB79" s="247"/>
      <c r="BC79" s="247"/>
      <c r="BD79" s="247"/>
      <c r="BE79" s="247"/>
      <c r="BF79" s="247"/>
      <c r="BG79" s="247"/>
      <c r="BH79" s="247"/>
      <c r="BI79" s="247"/>
      <c r="BJ79" s="247"/>
      <c r="BK79" s="247"/>
      <c r="BL79" s="247"/>
      <c r="BM79" s="247"/>
      <c r="BN79" s="247"/>
      <c r="BO79" s="247"/>
      <c r="BP79" s="247"/>
      <c r="BQ79" s="247"/>
      <c r="BR79" s="247"/>
      <c r="BS79" s="247"/>
      <c r="BT79" s="247"/>
      <c r="BU79" s="247"/>
      <c r="BV79" s="247"/>
      <c r="BW79" s="247"/>
      <c r="BX79" s="247"/>
      <c r="BY79" s="247"/>
      <c r="BZ79" s="247"/>
      <c r="CA79" s="247"/>
      <c r="CB79" s="247"/>
      <c r="CC79" s="247"/>
      <c r="CD79" s="247"/>
      <c r="CE79" s="247"/>
      <c r="CF79" s="247"/>
      <c r="CG79" s="247"/>
      <c r="CH79" s="247"/>
      <c r="CI79" s="247"/>
      <c r="CJ79" s="247"/>
      <c r="CK79" s="247"/>
      <c r="CL79" s="247"/>
      <c r="CM79" s="247"/>
      <c r="CN79" s="247"/>
      <c r="CO79" s="247"/>
      <c r="CP79" s="247"/>
      <c r="CQ79" s="247"/>
      <c r="CR79" s="247"/>
      <c r="CS79" s="247"/>
      <c r="CT79" s="247"/>
      <c r="CU79" s="247"/>
      <c r="CV79" s="247"/>
      <c r="CW79" s="247"/>
      <c r="CX79" s="247"/>
      <c r="CY79" s="247"/>
      <c r="CZ79" s="247"/>
      <c r="DA79" s="247"/>
      <c r="DB79" s="247"/>
      <c r="DC79" s="247"/>
      <c r="DD79" s="247"/>
      <c r="DE79" s="247"/>
      <c r="DF79" s="247"/>
      <c r="DG79" s="247"/>
      <c r="DH79" s="247"/>
      <c r="DI79" s="247"/>
      <c r="DJ79" s="247"/>
      <c r="DK79" s="247"/>
      <c r="DL79" s="247"/>
      <c r="DM79" s="247"/>
      <c r="DN79" s="247"/>
      <c r="DO79" s="247"/>
      <c r="DP79" s="247"/>
      <c r="DQ79" s="247"/>
      <c r="DR79" s="247"/>
      <c r="DS79" s="247"/>
      <c r="DT79" s="247"/>
      <c r="DU79" s="247"/>
      <c r="DV79" s="247"/>
      <c r="DW79" s="247"/>
      <c r="DX79" s="247"/>
      <c r="DY79" s="247"/>
      <c r="DZ79" s="247"/>
      <c r="EA79" s="247"/>
      <c r="EB79" s="247"/>
      <c r="EC79" s="247"/>
      <c r="ED79" s="247"/>
      <c r="EE79" s="247"/>
      <c r="EF79" s="247"/>
      <c r="EG79" s="247"/>
      <c r="EH79" s="247"/>
      <c r="EI79" s="247"/>
      <c r="EJ79" s="247"/>
      <c r="EK79" s="247"/>
      <c r="EL79" s="247"/>
      <c r="EM79" s="247"/>
      <c r="EN79" s="247"/>
      <c r="EO79" s="247"/>
      <c r="EP79" s="247"/>
      <c r="EQ79" s="247"/>
      <c r="ER79" s="247"/>
      <c r="ES79" s="247"/>
      <c r="ET79" s="247"/>
      <c r="EU79" s="247"/>
      <c r="EV79" s="247"/>
      <c r="EW79" s="247"/>
      <c r="EX79" s="247"/>
      <c r="EY79" s="247"/>
      <c r="EZ79" s="247"/>
      <c r="FA79" s="247"/>
      <c r="FB79" s="247"/>
      <c r="FC79" s="247"/>
      <c r="FD79" s="247"/>
      <c r="FE79" s="247"/>
      <c r="FF79" s="247"/>
      <c r="FG79" s="247"/>
      <c r="FH79" s="247"/>
      <c r="FI79" s="247"/>
      <c r="FJ79" s="247"/>
      <c r="FK79" s="247"/>
      <c r="FL79" s="247"/>
      <c r="FM79" s="247"/>
      <c r="FN79" s="247"/>
      <c r="FO79" s="247"/>
      <c r="FP79" s="247"/>
      <c r="FQ79" s="247"/>
      <c r="FR79" s="247"/>
      <c r="FS79" s="247"/>
      <c r="FT79" s="247"/>
      <c r="FU79" s="247"/>
      <c r="FV79" s="247"/>
      <c r="FW79" s="247"/>
      <c r="FX79" s="247"/>
      <c r="FY79" s="247"/>
      <c r="FZ79" s="247"/>
      <c r="GA79" s="247"/>
      <c r="GB79" s="247"/>
      <c r="GC79" s="247"/>
      <c r="GD79" s="247"/>
      <c r="GE79" s="247"/>
      <c r="GF79" s="247"/>
      <c r="GG79" s="247"/>
      <c r="GH79" s="247"/>
      <c r="GI79" s="247"/>
      <c r="GJ79" s="247"/>
      <c r="GK79" s="247"/>
      <c r="GL79" s="247"/>
      <c r="GM79" s="247"/>
      <c r="GN79" s="247"/>
      <c r="GO79" s="247"/>
      <c r="GP79" s="247"/>
      <c r="GQ79" s="247"/>
      <c r="GR79" s="247"/>
      <c r="GS79" s="247"/>
      <c r="GT79" s="247"/>
      <c r="GU79" s="247"/>
      <c r="GV79" s="247"/>
      <c r="GW79" s="247"/>
      <c r="GX79" s="247"/>
      <c r="GY79" s="247"/>
      <c r="GZ79" s="247"/>
      <c r="HA79" s="247"/>
      <c r="HB79" s="247"/>
      <c r="HC79" s="247"/>
      <c r="HD79" s="247"/>
      <c r="HE79" s="247"/>
      <c r="HF79" s="247"/>
      <c r="HG79" s="247"/>
      <c r="HH79" s="247"/>
      <c r="HI79" s="247"/>
      <c r="HJ79" s="247"/>
      <c r="HK79" s="247"/>
      <c r="HL79" s="247"/>
      <c r="HM79" s="247"/>
      <c r="HN79" s="247"/>
      <c r="HO79" s="247"/>
      <c r="HP79" s="247"/>
      <c r="HQ79" s="247"/>
      <c r="HR79" s="247"/>
      <c r="HS79" s="247"/>
      <c r="HT79" s="247"/>
      <c r="HU79" s="247"/>
      <c r="HV79" s="247"/>
      <c r="HW79" s="247"/>
      <c r="HX79" s="247"/>
      <c r="HY79" s="247"/>
      <c r="HZ79" s="247"/>
      <c r="IA79" s="247"/>
      <c r="IB79" s="247"/>
      <c r="IC79" s="247"/>
      <c r="ID79" s="247"/>
      <c r="IE79" s="247"/>
      <c r="IF79" s="247"/>
      <c r="IG79" s="247"/>
      <c r="IH79" s="247"/>
      <c r="II79" s="247"/>
      <c r="IJ79" s="247"/>
      <c r="IK79" s="247"/>
      <c r="IL79" s="247"/>
      <c r="IM79" s="247"/>
      <c r="IN79" s="247"/>
      <c r="IO79" s="247"/>
      <c r="IP79" s="247"/>
      <c r="IQ79" s="247"/>
      <c r="IR79" s="247"/>
      <c r="IS79" s="247"/>
      <c r="IT79" s="247"/>
      <c r="IU79" s="247"/>
      <c r="IV79" s="247"/>
      <c r="IW79" s="247"/>
      <c r="IX79" s="247"/>
      <c r="JA79" s="253"/>
      <c r="JB79" s="253"/>
      <c r="JC79" s="253"/>
      <c r="JD79" s="254">
        <f>SUM((TEXT(JA79,"[M]")/60)*'Income Person-hours'!$D$3,(TEXT(JB79,"[M]")/60)*'Income Person-hours'!$D$4,(TEXT(JC79,"[M]")/60)*'Income Person-hours'!$D$5)</f>
        <v>0</v>
      </c>
    </row>
    <row r="80" spans="1:264" s="255" customFormat="1" ht="13.5">
      <c r="A80" s="256">
        <v>3.25</v>
      </c>
      <c r="B80" s="241" t="s">
        <v>160</v>
      </c>
      <c r="C80" s="228" t="s">
        <v>110</v>
      </c>
      <c r="D80" s="247" t="str">
        <f>IF(OR(j_WEEKDAY(J_ADDDAY(VLOOKUP(I80,A:F,6,FALSE),H80,1),0)=6,SUMIFS(Holieday[ok],Holieday[date],J_ADDDAY(VLOOKUP(I80,A:F,6,FALSE),H80,1)))=FALSE(),J_ADDDAY(VLOOKUP(I80,A:F,6,FALSE),H80,1),IF(OR(j_WEEKDAY(J_ADDDAY(VLOOKUP(I80,A:F,6,FALSE),H80+1,1),0)=6,SUMIFS(Holieday[ok],Holieday[date],J_ADDDAY(VLOOKUP(I80,A:F,6,FALSE),H80+1,1)))=FALSE(),J_ADDDAY(VLOOKUP(I80,A:F,6,FALSE),H80+1,1),IF(OR(j_WEEKDAY(J_ADDDAY(VLOOKUP(I80,A:F,6,FALSE),H80+2,1),0)=6,SUMIFS(Holieday[ok],Holieday[date],J_ADDDAY(VLOOKUP(I80,A:F,6,FALSE),H80+2,1)))=FALSE(),J_ADDDAY(VLOOKUP(I80,A:F,6,FALSE),H80+2,1),IF(OR(j_WEEKDAY(J_ADDDAY(VLOOKUP(I80,A:F,6,FALSE),H80+3,1),0)=6,SUMIFS(Holieday[ok],Holieday[date],J_ADDDAY(VLOOKUP(I80,A:F,6,FALSE),H80+3,1)))=FALSE(),J_ADDDAY(VLOOKUP(I80,A:F,6,FALSE),H80+3,1),IF(OR(j_WEEKDAY(J_ADDDAY(VLOOKUP(I80,A:F,6,FALSE),H80+4,1),0)=6,SUMIFS(Holieday[ok],Holieday[date],J_ADDDAY(VLOOKUP(I80,A:F,6,FALSE),H80+4,1)))=FALSE(),J_ADDDAY(VLOOKUP(I80,A:F,6,FALSE),H80+4,1),J_ADDDAY(VLOOKUP(I80,A:F,6,FALSE),H80+5,1))))))</f>
        <v>1398/09/03</v>
      </c>
      <c r="E80" s="1">
        <f t="shared" si="20"/>
        <v>13980903</v>
      </c>
      <c r="F80" s="251" t="str">
        <f>IF(N80=0,J_SUBDAY(D80,1,1),IF((N80-(NETWORKDAYS.INTL(J_GregorianDate(D80,1),J_GregorianDate(J_SUBDAY(J_ADDDAY(D80,N80,1),1,1),1),16,1)))+SUMIFS(Holieday[ok],Holieday[date],CONCATENATE("&gt;","=",D80),Holieday[date],CONCATENATE("&lt;","=",J_SUBDAY(J_ADDDAY(D80,N80,1),1,1)))-SUMIFS(Holieday[Friday],Holieday[date],CONCATENATE("&gt;","=",D80),Holieday[date],CONCATENATE("&lt;","=",J_SUBDAY(J_ADDDAY(D80,N80,1),1,1)))=0,J_SUBDAY(J_ADDDAY(D80,N80,1),1,1),IF((N80+1-(NETWORKDAYS.INTL(J_GregorianDate(D80,1),J_GregorianDate(J_SUBDAY(J_ADDDAY(D80,N80+1,1),1,1),1),16,1)))+SUMIFS(Holieday[ok],Holieday[date],CONCATENATE("&gt;","=",D80),Holieday[date],CONCATENATE("&lt;","=",J_SUBDAY(J_ADDDAY(D80,N80+1,1),1,1)))-SUMIFS(Holieday[Friday],Holieday[date],CONCATENATE("&gt;","=",D80),Holieday[date],CONCATENATE("&lt;","=",J_SUBDAY(J_ADDDAY(D80,N80+1,1),1,1)))=1,J_SUBDAY(J_ADDDAY(D80,N80+1,1),1,1),IF((N80+2-(NETWORKDAYS.INTL(J_GregorianDate(D80,1),J_GregorianDate(J_SUBDAY(J_ADDDAY(D80,N80+2,1),1,1),1),16,1)))+SUMIFS(Holieday[ok],Holieday[date],CONCATENATE("&gt;","=",D80),Holieday[date],CONCATENATE("&lt;","=",J_SUBDAY(J_ADDDAY(D80,N80+2,1),1,1)))-SUMIFS(Holieday[Friday],Holieday[date],CONCATENATE("&gt;","=",D80),Holieday[date],CONCATENATE("&lt;","=",J_SUBDAY(J_ADDDAY(D80,N80+2,1),1,1)))=2,J_SUBDAY(J_ADDDAY(D80,N80+2,1),1,1),IF((N80+3-(NETWORKDAYS.INTL(J_GregorianDate(D80,1),J_GregorianDate(J_SUBDAY(J_ADDDAY(D80,N80+3,1),1,1),1),16,1)))+SUMIFS(Holieday[ok],Holieday[date],CONCATENATE("&gt;","=",D80),Holieday[date],CONCATENATE("&lt;","=",J_SUBDAY(J_ADDDAY(D80,N80+3,1),1,1)))-SUMIFS(Holieday[Friday],Holieday[date],CONCATENATE("&gt;","=",D80),Holieday[date],CONCATENATE("&lt;","=",J_SUBDAY(J_ADDDAY(D80,N80+3,1),1,1)))=3,J_SUBDAY(J_ADDDAY(D80,N80+3,1),1,1),IF((N80+4-(NETWORKDAYS.INTL(J_GregorianDate(D80,1),J_GregorianDate(J_SUBDAY(J_ADDDAY(D80,N80+4,1),1,1),1),16,1)))+SUMIFS(Holieday[ok],Holieday[date],CONCATENATE("&gt;","=",D80),Holieday[date],CONCATENATE("&lt;","=",J_SUBDAY(J_ADDDAY(D80,N80+4,1),1,1)))-SUMIFS(Holieday[Friday],Holieday[date],CONCATENATE("&gt;","=",D80),Holieday[date],CONCATENATE("&lt;","=",J_SUBDAY(J_ADDDAY(D80,N80+4,1),1,1)))=4,J_SUBDAY(J_ADDDAY(D80,N80+4,1),1,1),IF((N80+5-(NETWORKDAYS.INTL(J_GregorianDate(D80,1),J_GregorianDate(J_SUBDAY(J_ADDDAY(D80,N80+5,1),1,1),1),16,1)))+SUMIFS(Holieday[ok],Holieday[date],CONCATENATE("&gt;","=",D80),Holieday[date],CONCATENATE("&lt;","=",J_SUBDAY(J_ADDDAY(D80,N80+5,1),1,1)))-SUMIFS(Holieday[Friday],Holieday[date],CONCATENATE("&gt;","=",D80),Holieday[date],CONCATENATE("&lt;","=",J_SUBDAY(J_ADDDAY(D80,N80+5,1),1,1)))=5,J_SUBDAY(J_ADDDAY(D80,N80+5,1),1,1),J_SUBDAY(J_ADDDAY(D80,N80+6,1),1,1))))))))</f>
        <v>1398/09/05</v>
      </c>
      <c r="G80" s="2">
        <f t="shared" si="21"/>
        <v>13980905</v>
      </c>
      <c r="H80" s="230">
        <v>1</v>
      </c>
      <c r="I80" s="231">
        <v>3.24</v>
      </c>
      <c r="J80" s="245">
        <f>j_WEEKDAY(D80,2)</f>
        <v>1</v>
      </c>
      <c r="K80" s="21">
        <f t="shared" si="18"/>
        <v>0</v>
      </c>
      <c r="L80" s="246">
        <f t="shared" si="19"/>
        <v>3</v>
      </c>
      <c r="M80" s="233">
        <v>0</v>
      </c>
      <c r="N80" s="234">
        <v>3</v>
      </c>
      <c r="O80" s="10">
        <f t="shared" si="22"/>
        <v>0</v>
      </c>
      <c r="P80" s="10">
        <f>VALUE(J_normdate(J_ADDDAY($D80,$O80,1)))</f>
        <v>13980903</v>
      </c>
      <c r="Q80" s="9">
        <f t="shared" si="14"/>
        <v>3</v>
      </c>
      <c r="R80" s="247"/>
      <c r="S80" s="247"/>
      <c r="T80" s="247"/>
      <c r="U80" s="247"/>
      <c r="V80" s="247"/>
      <c r="W80" s="247"/>
      <c r="X80" s="247"/>
      <c r="Y80" s="247"/>
      <c r="Z80" s="247"/>
      <c r="AA80" s="247"/>
      <c r="AB80" s="247"/>
      <c r="AC80" s="247"/>
      <c r="AD80" s="247"/>
      <c r="AE80" s="247"/>
      <c r="AF80" s="247"/>
      <c r="AG80" s="247"/>
      <c r="AH80" s="247"/>
      <c r="AI80" s="247"/>
      <c r="AJ80" s="247"/>
      <c r="AK80" s="247"/>
      <c r="AL80" s="247"/>
      <c r="AM80" s="247"/>
      <c r="AN80" s="247"/>
      <c r="AO80" s="247"/>
      <c r="AP80" s="247"/>
      <c r="AQ80" s="247"/>
      <c r="AR80" s="247"/>
      <c r="AS80" s="247"/>
      <c r="AT80" s="247"/>
      <c r="AU80" s="247"/>
      <c r="AV80" s="247"/>
      <c r="AW80" s="247"/>
      <c r="AX80" s="247"/>
      <c r="AY80" s="247"/>
      <c r="AZ80" s="247"/>
      <c r="BA80" s="247"/>
      <c r="BB80" s="247"/>
      <c r="BC80" s="247"/>
      <c r="BD80" s="247"/>
      <c r="BE80" s="247"/>
      <c r="BF80" s="247"/>
      <c r="BG80" s="247"/>
      <c r="BH80" s="247"/>
      <c r="BI80" s="247"/>
      <c r="BJ80" s="247"/>
      <c r="BK80" s="247"/>
      <c r="BL80" s="247"/>
      <c r="BM80" s="247"/>
      <c r="BN80" s="247"/>
      <c r="BO80" s="247"/>
      <c r="BP80" s="247"/>
      <c r="BQ80" s="247"/>
      <c r="BR80" s="247"/>
      <c r="BS80" s="247"/>
      <c r="BT80" s="247"/>
      <c r="BU80" s="247"/>
      <c r="BV80" s="247"/>
      <c r="BW80" s="247"/>
      <c r="BX80" s="247"/>
      <c r="BY80" s="247"/>
      <c r="BZ80" s="247"/>
      <c r="CA80" s="247"/>
      <c r="CB80" s="247"/>
      <c r="CC80" s="247"/>
      <c r="CD80" s="247"/>
      <c r="CE80" s="247"/>
      <c r="CF80" s="247"/>
      <c r="CG80" s="247"/>
      <c r="CH80" s="247"/>
      <c r="CI80" s="247"/>
      <c r="CJ80" s="247"/>
      <c r="CK80" s="247"/>
      <c r="CL80" s="247"/>
      <c r="CM80" s="247"/>
      <c r="CN80" s="247"/>
      <c r="CO80" s="247"/>
      <c r="CP80" s="247"/>
      <c r="CQ80" s="247"/>
      <c r="CR80" s="247"/>
      <c r="CS80" s="247"/>
      <c r="CT80" s="247"/>
      <c r="CU80" s="247"/>
      <c r="CV80" s="247"/>
      <c r="CW80" s="247"/>
      <c r="CX80" s="247"/>
      <c r="CY80" s="247"/>
      <c r="CZ80" s="247"/>
      <c r="DA80" s="247"/>
      <c r="DB80" s="247"/>
      <c r="DC80" s="247"/>
      <c r="DD80" s="247"/>
      <c r="DE80" s="247"/>
      <c r="DF80" s="247"/>
      <c r="DG80" s="247"/>
      <c r="DH80" s="247"/>
      <c r="DI80" s="247"/>
      <c r="DJ80" s="247"/>
      <c r="DK80" s="247"/>
      <c r="DL80" s="247"/>
      <c r="DM80" s="247"/>
      <c r="DN80" s="247"/>
      <c r="DO80" s="247"/>
      <c r="DP80" s="247"/>
      <c r="DQ80" s="247"/>
      <c r="DR80" s="247"/>
      <c r="DS80" s="247"/>
      <c r="DT80" s="247"/>
      <c r="DU80" s="247"/>
      <c r="DV80" s="247"/>
      <c r="DW80" s="247"/>
      <c r="DX80" s="247"/>
      <c r="DY80" s="247"/>
      <c r="DZ80" s="247"/>
      <c r="EA80" s="247"/>
      <c r="EB80" s="247"/>
      <c r="EC80" s="247"/>
      <c r="ED80" s="247"/>
      <c r="EE80" s="247"/>
      <c r="EF80" s="247"/>
      <c r="EG80" s="247"/>
      <c r="EH80" s="247"/>
      <c r="EI80" s="247"/>
      <c r="EJ80" s="247"/>
      <c r="EK80" s="247"/>
      <c r="EL80" s="247"/>
      <c r="EM80" s="247"/>
      <c r="EN80" s="247"/>
      <c r="EO80" s="247"/>
      <c r="EP80" s="247"/>
      <c r="EQ80" s="247"/>
      <c r="ER80" s="247"/>
      <c r="ES80" s="247"/>
      <c r="ET80" s="247"/>
      <c r="EU80" s="247"/>
      <c r="EV80" s="247"/>
      <c r="EW80" s="247"/>
      <c r="EX80" s="247"/>
      <c r="EY80" s="247"/>
      <c r="EZ80" s="247"/>
      <c r="FA80" s="247"/>
      <c r="FB80" s="247"/>
      <c r="FC80" s="247"/>
      <c r="FD80" s="247"/>
      <c r="FE80" s="247"/>
      <c r="FF80" s="247"/>
      <c r="FG80" s="247"/>
      <c r="FH80" s="247"/>
      <c r="FI80" s="247"/>
      <c r="FJ80" s="247"/>
      <c r="FK80" s="247"/>
      <c r="FL80" s="247"/>
      <c r="FM80" s="247"/>
      <c r="FN80" s="247"/>
      <c r="FO80" s="247"/>
      <c r="FP80" s="247"/>
      <c r="FQ80" s="247"/>
      <c r="FR80" s="247"/>
      <c r="FS80" s="247"/>
      <c r="FT80" s="247"/>
      <c r="FU80" s="247"/>
      <c r="FV80" s="247"/>
      <c r="FW80" s="247"/>
      <c r="FX80" s="247"/>
      <c r="FY80" s="247"/>
      <c r="FZ80" s="247"/>
      <c r="GA80" s="247"/>
      <c r="GB80" s="247"/>
      <c r="GC80" s="247"/>
      <c r="GD80" s="247"/>
      <c r="GE80" s="247"/>
      <c r="GF80" s="247"/>
      <c r="GG80" s="247"/>
      <c r="GH80" s="247"/>
      <c r="GI80" s="247"/>
      <c r="GJ80" s="247"/>
      <c r="GK80" s="247"/>
      <c r="GL80" s="247"/>
      <c r="GM80" s="247"/>
      <c r="GN80" s="247"/>
      <c r="GO80" s="247"/>
      <c r="GP80" s="247"/>
      <c r="GQ80" s="247"/>
      <c r="GR80" s="247"/>
      <c r="GS80" s="247"/>
      <c r="GT80" s="247"/>
      <c r="GU80" s="247"/>
      <c r="GV80" s="247"/>
      <c r="GW80" s="247"/>
      <c r="GX80" s="247"/>
      <c r="GY80" s="247"/>
      <c r="GZ80" s="247"/>
      <c r="HA80" s="247"/>
      <c r="HB80" s="247"/>
      <c r="HC80" s="247"/>
      <c r="HD80" s="247"/>
      <c r="HE80" s="247"/>
      <c r="HF80" s="247"/>
      <c r="HG80" s="247"/>
      <c r="HH80" s="247"/>
      <c r="HI80" s="247"/>
      <c r="HJ80" s="247"/>
      <c r="HK80" s="247"/>
      <c r="HL80" s="247"/>
      <c r="HM80" s="247"/>
      <c r="HN80" s="247"/>
      <c r="HO80" s="247"/>
      <c r="HP80" s="247"/>
      <c r="HQ80" s="247"/>
      <c r="HR80" s="247"/>
      <c r="HS80" s="247"/>
      <c r="HT80" s="247"/>
      <c r="HU80" s="247"/>
      <c r="HV80" s="247"/>
      <c r="HW80" s="247"/>
      <c r="HX80" s="247"/>
      <c r="HY80" s="247"/>
      <c r="HZ80" s="247"/>
      <c r="IA80" s="247"/>
      <c r="IB80" s="247"/>
      <c r="IC80" s="247"/>
      <c r="ID80" s="247"/>
      <c r="IE80" s="247"/>
      <c r="IF80" s="247"/>
      <c r="IG80" s="247"/>
      <c r="IH80" s="247"/>
      <c r="II80" s="247"/>
      <c r="IJ80" s="247"/>
      <c r="IK80" s="247"/>
      <c r="IL80" s="247"/>
      <c r="IM80" s="247"/>
      <c r="IN80" s="247"/>
      <c r="IO80" s="247"/>
      <c r="IP80" s="247"/>
      <c r="IQ80" s="247"/>
      <c r="IR80" s="247"/>
      <c r="IS80" s="247"/>
      <c r="IT80" s="247"/>
      <c r="IU80" s="247"/>
      <c r="IV80" s="247"/>
      <c r="IW80" s="247"/>
      <c r="IX80" s="247"/>
      <c r="JA80" s="253"/>
      <c r="JB80" s="253"/>
      <c r="JC80" s="253"/>
      <c r="JD80" s="254">
        <f>SUM((TEXT(JA80,"[M]")/60)*'Income Person-hours'!$D$3,(TEXT(JB80,"[M]")/60)*'Income Person-hours'!$D$4,(TEXT(JC80,"[M]")/60)*'Income Person-hours'!$D$5)</f>
        <v>0</v>
      </c>
    </row>
    <row r="81" spans="1:264" s="247" customFormat="1" ht="13.5">
      <c r="A81" s="257">
        <v>3.26</v>
      </c>
      <c r="B81" s="241" t="s">
        <v>161</v>
      </c>
      <c r="C81" s="228" t="s">
        <v>111</v>
      </c>
      <c r="D81" s="247" t="str">
        <f>IF(OR(j_WEEKDAY(J_ADDDAY(VLOOKUP(I81,A:F,6,FALSE),H81,1),0)=6,SUMIFS(Holieday[ok],Holieday[date],J_ADDDAY(VLOOKUP(I81,A:F,6,FALSE),H81,1)))=FALSE(),J_ADDDAY(VLOOKUP(I81,A:F,6,FALSE),H81,1),IF(OR(j_WEEKDAY(J_ADDDAY(VLOOKUP(I81,A:F,6,FALSE),H81+1,1),0)=6,SUMIFS(Holieday[ok],Holieday[date],J_ADDDAY(VLOOKUP(I81,A:F,6,FALSE),H81+1,1)))=FALSE(),J_ADDDAY(VLOOKUP(I81,A:F,6,FALSE),H81+1,1),IF(OR(j_WEEKDAY(J_ADDDAY(VLOOKUP(I81,A:F,6,FALSE),H81+2,1),0)=6,SUMIFS(Holieday[ok],Holieday[date],J_ADDDAY(VLOOKUP(I81,A:F,6,FALSE),H81+2,1)))=FALSE(),J_ADDDAY(VLOOKUP(I81,A:F,6,FALSE),H81+2,1),IF(OR(j_WEEKDAY(J_ADDDAY(VLOOKUP(I81,A:F,6,FALSE),H81+3,1),0)=6,SUMIFS(Holieday[ok],Holieday[date],J_ADDDAY(VLOOKUP(I81,A:F,6,FALSE),H81+3,1)))=FALSE(),J_ADDDAY(VLOOKUP(I81,A:F,6,FALSE),H81+3,1),IF(OR(j_WEEKDAY(J_ADDDAY(VLOOKUP(I81,A:F,6,FALSE),H81+4,1),0)=6,SUMIFS(Holieday[ok],Holieday[date],J_ADDDAY(VLOOKUP(I81,A:F,6,FALSE),H81+4,1)))=FALSE(),J_ADDDAY(VLOOKUP(I81,A:F,6,FALSE),H81+4,1),J_ADDDAY(VLOOKUP(I81,A:F,6,FALSE),H81+5,1))))))</f>
        <v>1398/09/06</v>
      </c>
      <c r="E81" s="1">
        <f t="shared" si="20"/>
        <v>13980906</v>
      </c>
      <c r="F81" s="251" t="str">
        <f>IF(N81=0,J_SUBDAY(D81,1,1),IF((N81-(NETWORKDAYS.INTL(J_GregorianDate(D81,1),J_GregorianDate(J_SUBDAY(J_ADDDAY(D81,N81,1),1,1),1),16,1)))+SUMIFS(Holieday[ok],Holieday[date],CONCATENATE("&gt;","=",D81),Holieday[date],CONCATENATE("&lt;","=",J_SUBDAY(J_ADDDAY(D81,N81,1),1,1)))-SUMIFS(Holieday[Friday],Holieday[date],CONCATENATE("&gt;","=",D81),Holieday[date],CONCATENATE("&lt;","=",J_SUBDAY(J_ADDDAY(D81,N81,1),1,1)))=0,J_SUBDAY(J_ADDDAY(D81,N81,1),1,1),IF((N81+1-(NETWORKDAYS.INTL(J_GregorianDate(D81,1),J_GregorianDate(J_SUBDAY(J_ADDDAY(D81,N81+1,1),1,1),1),16,1)))+SUMIFS(Holieday[ok],Holieday[date],CONCATENATE("&gt;","=",D81),Holieday[date],CONCATENATE("&lt;","=",J_SUBDAY(J_ADDDAY(D81,N81+1,1),1,1)))-SUMIFS(Holieday[Friday],Holieday[date],CONCATENATE("&gt;","=",D81),Holieday[date],CONCATENATE("&lt;","=",J_SUBDAY(J_ADDDAY(D81,N81+1,1),1,1)))=1,J_SUBDAY(J_ADDDAY(D81,N81+1,1),1,1),IF((N81+2-(NETWORKDAYS.INTL(J_GregorianDate(D81,1),J_GregorianDate(J_SUBDAY(J_ADDDAY(D81,N81+2,1),1,1),1),16,1)))+SUMIFS(Holieday[ok],Holieday[date],CONCATENATE("&gt;","=",D81),Holieday[date],CONCATENATE("&lt;","=",J_SUBDAY(J_ADDDAY(D81,N81+2,1),1,1)))-SUMIFS(Holieday[Friday],Holieday[date],CONCATENATE("&gt;","=",D81),Holieday[date],CONCATENATE("&lt;","=",J_SUBDAY(J_ADDDAY(D81,N81+2,1),1,1)))=2,J_SUBDAY(J_ADDDAY(D81,N81+2,1),1,1),IF((N81+3-(NETWORKDAYS.INTL(J_GregorianDate(D81,1),J_GregorianDate(J_SUBDAY(J_ADDDAY(D81,N81+3,1),1,1),1),16,1)))+SUMIFS(Holieday[ok],Holieday[date],CONCATENATE("&gt;","=",D81),Holieday[date],CONCATENATE("&lt;","=",J_SUBDAY(J_ADDDAY(D81,N81+3,1),1,1)))-SUMIFS(Holieday[Friday],Holieday[date],CONCATENATE("&gt;","=",D81),Holieday[date],CONCATENATE("&lt;","=",J_SUBDAY(J_ADDDAY(D81,N81+3,1),1,1)))=3,J_SUBDAY(J_ADDDAY(D81,N81+3,1),1,1),IF((N81+4-(NETWORKDAYS.INTL(J_GregorianDate(D81,1),J_GregorianDate(J_SUBDAY(J_ADDDAY(D81,N81+4,1),1,1),1),16,1)))+SUMIFS(Holieday[ok],Holieday[date],CONCATENATE("&gt;","=",D81),Holieday[date],CONCATENATE("&lt;","=",J_SUBDAY(J_ADDDAY(D81,N81+4,1),1,1)))-SUMIFS(Holieday[Friday],Holieday[date],CONCATENATE("&gt;","=",D81),Holieday[date],CONCATENATE("&lt;","=",J_SUBDAY(J_ADDDAY(D81,N81+4,1),1,1)))=4,J_SUBDAY(J_ADDDAY(D81,N81+4,1),1,1),IF((N81+5-(NETWORKDAYS.INTL(J_GregorianDate(D81,1),J_GregorianDate(J_SUBDAY(J_ADDDAY(D81,N81+5,1),1,1),1),16,1)))+SUMIFS(Holieday[ok],Holieday[date],CONCATENATE("&gt;","=",D81),Holieday[date],CONCATENATE("&lt;","=",J_SUBDAY(J_ADDDAY(D81,N81+5,1),1,1)))-SUMIFS(Holieday[Friday],Holieday[date],CONCATENATE("&gt;","=",D81),Holieday[date],CONCATENATE("&lt;","=",J_SUBDAY(J_ADDDAY(D81,N81+5,1),1,1)))=5,J_SUBDAY(J_ADDDAY(D81,N81+5,1),1,1),J_SUBDAY(J_ADDDAY(D81,N81+6,1),1,1))))))))</f>
        <v>1398/09/10</v>
      </c>
      <c r="G81" s="2">
        <f t="shared" si="21"/>
        <v>13980910</v>
      </c>
      <c r="H81" s="230">
        <v>1</v>
      </c>
      <c r="I81" s="231">
        <v>3.25</v>
      </c>
      <c r="J81" s="245">
        <f>j_WEEKDAY(D81,2)</f>
        <v>4</v>
      </c>
      <c r="K81" s="21">
        <f t="shared" si="18"/>
        <v>0</v>
      </c>
      <c r="L81" s="246">
        <f t="shared" ref="L81" si="23">J_DIFF(D81,F81)+1</f>
        <v>5</v>
      </c>
      <c r="M81" s="233">
        <v>0</v>
      </c>
      <c r="N81" s="234">
        <v>4</v>
      </c>
      <c r="O81" s="10">
        <f t="shared" si="22"/>
        <v>0</v>
      </c>
      <c r="P81" s="10">
        <f>VALUE(J_normdate(J_ADDDAY($D81,$O81,1)))</f>
        <v>13980906</v>
      </c>
      <c r="Q81" s="9">
        <f t="shared" si="14"/>
        <v>5</v>
      </c>
      <c r="JA81" s="228"/>
      <c r="JB81" s="228"/>
      <c r="JC81" s="228"/>
      <c r="JD81" s="250">
        <f>SUM((TEXT(JA81,"[M]")/60)*'Income Person-hours'!$D$3,(TEXT(JB81,"[M]")/60)*'Income Person-hours'!$D$4,(TEXT(JC81,"[M]")/60)*'Income Person-hours'!$D$5)</f>
        <v>0</v>
      </c>
    </row>
    <row r="82" spans="1:264" s="247" customFormat="1" ht="16.5" customHeight="1">
      <c r="A82" s="257">
        <v>3.27</v>
      </c>
      <c r="B82" s="241" t="s">
        <v>162</v>
      </c>
      <c r="C82" s="228" t="s">
        <v>110</v>
      </c>
      <c r="D82" s="247" t="str">
        <f>IF(OR(j_WEEKDAY(J_ADDDAY(VLOOKUP(I82,A:F,6,FALSE),H82,1),0)=6,SUMIFS(Holieday[ok],Holieday[date],J_ADDDAY(VLOOKUP(I82,A:F,6,FALSE),H82,1)))=FALSE(),J_ADDDAY(VLOOKUP(I82,A:F,6,FALSE),H82,1),IF(OR(j_WEEKDAY(J_ADDDAY(VLOOKUP(I82,A:F,6,FALSE),H82+1,1),0)=6,SUMIFS(Holieday[ok],Holieday[date],J_ADDDAY(VLOOKUP(I82,A:F,6,FALSE),H82+1,1)))=FALSE(),J_ADDDAY(VLOOKUP(I82,A:F,6,FALSE),H82+1,1),IF(OR(j_WEEKDAY(J_ADDDAY(VLOOKUP(I82,A:F,6,FALSE),H82+2,1),0)=6,SUMIFS(Holieday[ok],Holieday[date],J_ADDDAY(VLOOKUP(I82,A:F,6,FALSE),H82+2,1)))=FALSE(),J_ADDDAY(VLOOKUP(I82,A:F,6,FALSE),H82+2,1),IF(OR(j_WEEKDAY(J_ADDDAY(VLOOKUP(I82,A:F,6,FALSE),H82+3,1),0)=6,SUMIFS(Holieday[ok],Holieday[date],J_ADDDAY(VLOOKUP(I82,A:F,6,FALSE),H82+3,1)))=FALSE(),J_ADDDAY(VLOOKUP(I82,A:F,6,FALSE),H82+3,1),IF(OR(j_WEEKDAY(J_ADDDAY(VLOOKUP(I82,A:F,6,FALSE),H82+4,1),0)=6,SUMIFS(Holieday[ok],Holieday[date],J_ADDDAY(VLOOKUP(I82,A:F,6,FALSE),H82+4,1)))=FALSE(),J_ADDDAY(VLOOKUP(I82,A:F,6,FALSE),H82+4,1),J_ADDDAY(VLOOKUP(I82,A:F,6,FALSE),H82+5,1))))))</f>
        <v>1398/09/11</v>
      </c>
      <c r="E82" s="1">
        <f t="shared" si="20"/>
        <v>13980911</v>
      </c>
      <c r="F82" s="251" t="str">
        <f>IF(N82=0,J_SUBDAY(D82,1,1),IF((N82-(NETWORKDAYS.INTL(J_GregorianDate(D82,1),J_GregorianDate(J_SUBDAY(J_ADDDAY(D82,N82,1),1,1),1),16,1)))+SUMIFS(Holieday[ok],Holieday[date],CONCATENATE("&gt;","=",D82),Holieday[date],CONCATENATE("&lt;","=",J_SUBDAY(J_ADDDAY(D82,N82,1),1,1)))-SUMIFS(Holieday[Friday],Holieday[date],CONCATENATE("&gt;","=",D82),Holieday[date],CONCATENATE("&lt;","=",J_SUBDAY(J_ADDDAY(D82,N82,1),1,1)))=0,J_SUBDAY(J_ADDDAY(D82,N82,1),1,1),IF((N82+1-(NETWORKDAYS.INTL(J_GregorianDate(D82,1),J_GregorianDate(J_SUBDAY(J_ADDDAY(D82,N82+1,1),1,1),1),16,1)))+SUMIFS(Holieday[ok],Holieday[date],CONCATENATE("&gt;","=",D82),Holieday[date],CONCATENATE("&lt;","=",J_SUBDAY(J_ADDDAY(D82,N82+1,1),1,1)))-SUMIFS(Holieday[Friday],Holieday[date],CONCATENATE("&gt;","=",D82),Holieday[date],CONCATENATE("&lt;","=",J_SUBDAY(J_ADDDAY(D82,N82+1,1),1,1)))=1,J_SUBDAY(J_ADDDAY(D82,N82+1,1),1,1),IF((N82+2-(NETWORKDAYS.INTL(J_GregorianDate(D82,1),J_GregorianDate(J_SUBDAY(J_ADDDAY(D82,N82+2,1),1,1),1),16,1)))+SUMIFS(Holieday[ok],Holieday[date],CONCATENATE("&gt;","=",D82),Holieday[date],CONCATENATE("&lt;","=",J_SUBDAY(J_ADDDAY(D82,N82+2,1),1,1)))-SUMIFS(Holieday[Friday],Holieday[date],CONCATENATE("&gt;","=",D82),Holieday[date],CONCATENATE("&lt;","=",J_SUBDAY(J_ADDDAY(D82,N82+2,1),1,1)))=2,J_SUBDAY(J_ADDDAY(D82,N82+2,1),1,1),IF((N82+3-(NETWORKDAYS.INTL(J_GregorianDate(D82,1),J_GregorianDate(J_SUBDAY(J_ADDDAY(D82,N82+3,1),1,1),1),16,1)))+SUMIFS(Holieday[ok],Holieday[date],CONCATENATE("&gt;","=",D82),Holieday[date],CONCATENATE("&lt;","=",J_SUBDAY(J_ADDDAY(D82,N82+3,1),1,1)))-SUMIFS(Holieday[Friday],Holieday[date],CONCATENATE("&gt;","=",D82),Holieday[date],CONCATENATE("&lt;","=",J_SUBDAY(J_ADDDAY(D82,N82+3,1),1,1)))=3,J_SUBDAY(J_ADDDAY(D82,N82+3,1),1,1),IF((N82+4-(NETWORKDAYS.INTL(J_GregorianDate(D82,1),J_GregorianDate(J_SUBDAY(J_ADDDAY(D82,N82+4,1),1,1),1),16,1)))+SUMIFS(Holieday[ok],Holieday[date],CONCATENATE("&gt;","=",D82),Holieday[date],CONCATENATE("&lt;","=",J_SUBDAY(J_ADDDAY(D82,N82+4,1),1,1)))-SUMIFS(Holieday[Friday],Holieday[date],CONCATENATE("&gt;","=",D82),Holieday[date],CONCATENATE("&lt;","=",J_SUBDAY(J_ADDDAY(D82,N82+4,1),1,1)))=4,J_SUBDAY(J_ADDDAY(D82,N82+4,1),1,1),IF((N82+5-(NETWORKDAYS.INTL(J_GregorianDate(D82,1),J_GregorianDate(J_SUBDAY(J_ADDDAY(D82,N82+5,1),1,1),1),16,1)))+SUMIFS(Holieday[ok],Holieday[date],CONCATENATE("&gt;","=",D82),Holieday[date],CONCATENATE("&lt;","=",J_SUBDAY(J_ADDDAY(D82,N82+5,1),1,1)))-SUMIFS(Holieday[Friday],Holieday[date],CONCATENATE("&gt;","=",D82),Holieday[date],CONCATENATE("&lt;","=",J_SUBDAY(J_ADDDAY(D82,N82+5,1),1,1)))=5,J_SUBDAY(J_ADDDAY(D82,N82+5,1),1,1),J_SUBDAY(J_ADDDAY(D82,N82+6,1),1,1))))))))</f>
        <v>1398/09/13</v>
      </c>
      <c r="G82" s="2">
        <f t="shared" si="21"/>
        <v>13980913</v>
      </c>
      <c r="H82" s="230">
        <v>1</v>
      </c>
      <c r="I82" s="231">
        <v>3.26</v>
      </c>
      <c r="J82" s="245">
        <f>j_WEEKDAY(D82,2)</f>
        <v>2</v>
      </c>
      <c r="K82" s="21">
        <f t="shared" si="18"/>
        <v>0</v>
      </c>
      <c r="L82" s="258">
        <f t="shared" si="19"/>
        <v>3</v>
      </c>
      <c r="M82" s="233">
        <v>0</v>
      </c>
      <c r="N82" s="234">
        <v>3</v>
      </c>
      <c r="O82" s="10">
        <f t="shared" si="22"/>
        <v>0</v>
      </c>
      <c r="P82" s="10">
        <f>VALUE(J_normdate(J_ADDDAY($D82,$O82,1)))</f>
        <v>13980911</v>
      </c>
      <c r="Q82" s="9">
        <f t="shared" si="14"/>
        <v>3</v>
      </c>
      <c r="JA82" s="228"/>
      <c r="JB82" s="228"/>
      <c r="JC82" s="228"/>
      <c r="JD82" s="250">
        <f>SUM((TEXT(JA82,"[M]")/60)*'Income Person-hours'!$D$3,(TEXT(JB82,"[M]")/60)*'Income Person-hours'!$D$4,(TEXT(JC82,"[M]")/60)*'Income Person-hours'!$D$5)</f>
        <v>0</v>
      </c>
    </row>
    <row r="83" spans="1:264" s="247" customFormat="1" ht="13.5">
      <c r="A83" s="257">
        <v>3.28</v>
      </c>
      <c r="B83" s="241" t="s">
        <v>163</v>
      </c>
      <c r="C83" s="228" t="s">
        <v>111</v>
      </c>
      <c r="D83" s="247" t="str">
        <f>IF(OR(j_WEEKDAY(J_ADDDAY(VLOOKUP(I83,A:F,6,FALSE),H83,1),0)=6,SUMIFS(Holieday[ok],Holieday[date],J_ADDDAY(VLOOKUP(I83,A:F,6,FALSE),H83,1)))=FALSE(),J_ADDDAY(VLOOKUP(I83,A:F,6,FALSE),H83,1),IF(OR(j_WEEKDAY(J_ADDDAY(VLOOKUP(I83,A:F,6,FALSE),H83+1,1),0)=6,SUMIFS(Holieday[ok],Holieday[date],J_ADDDAY(VLOOKUP(I83,A:F,6,FALSE),H83+1,1)))=FALSE(),J_ADDDAY(VLOOKUP(I83,A:F,6,FALSE),H83+1,1),IF(OR(j_WEEKDAY(J_ADDDAY(VLOOKUP(I83,A:F,6,FALSE),H83+2,1),0)=6,SUMIFS(Holieday[ok],Holieday[date],J_ADDDAY(VLOOKUP(I83,A:F,6,FALSE),H83+2,1)))=FALSE(),J_ADDDAY(VLOOKUP(I83,A:F,6,FALSE),H83+2,1),IF(OR(j_WEEKDAY(J_ADDDAY(VLOOKUP(I83,A:F,6,FALSE),H83+3,1),0)=6,SUMIFS(Holieday[ok],Holieday[date],J_ADDDAY(VLOOKUP(I83,A:F,6,FALSE),H83+3,1)))=FALSE(),J_ADDDAY(VLOOKUP(I83,A:F,6,FALSE),H83+3,1),IF(OR(j_WEEKDAY(J_ADDDAY(VLOOKUP(I83,A:F,6,FALSE),H83+4,1),0)=6,SUMIFS(Holieday[ok],Holieday[date],J_ADDDAY(VLOOKUP(I83,A:F,6,FALSE),H83+4,1)))=FALSE(),J_ADDDAY(VLOOKUP(I83,A:F,6,FALSE),H83+4,1),J_ADDDAY(VLOOKUP(I83,A:F,6,FALSE),H83+5,1))))))</f>
        <v>1398/09/16</v>
      </c>
      <c r="E83" s="1">
        <f t="shared" si="20"/>
        <v>13980916</v>
      </c>
      <c r="F83" s="251" t="str">
        <f>IF(N83=0,J_SUBDAY(D83,1,1),IF((N83-(NETWORKDAYS.INTL(J_GregorianDate(D83,1),J_GregorianDate(J_SUBDAY(J_ADDDAY(D83,N83,1),1,1),1),16,1)))+SUMIFS(Holieday[ok],Holieday[date],CONCATENATE("&gt;","=",D83),Holieday[date],CONCATENATE("&lt;","=",J_SUBDAY(J_ADDDAY(D83,N83,1),1,1)))-SUMIFS(Holieday[Friday],Holieday[date],CONCATENATE("&gt;","=",D83),Holieday[date],CONCATENATE("&lt;","=",J_SUBDAY(J_ADDDAY(D83,N83,1),1,1)))=0,J_SUBDAY(J_ADDDAY(D83,N83,1),1,1),IF((N83+1-(NETWORKDAYS.INTL(J_GregorianDate(D83,1),J_GregorianDate(J_SUBDAY(J_ADDDAY(D83,N83+1,1),1,1),1),16,1)))+SUMIFS(Holieday[ok],Holieday[date],CONCATENATE("&gt;","=",D83),Holieday[date],CONCATENATE("&lt;","=",J_SUBDAY(J_ADDDAY(D83,N83+1,1),1,1)))-SUMIFS(Holieday[Friday],Holieday[date],CONCATENATE("&gt;","=",D83),Holieday[date],CONCATENATE("&lt;","=",J_SUBDAY(J_ADDDAY(D83,N83+1,1),1,1)))=1,J_SUBDAY(J_ADDDAY(D83,N83+1,1),1,1),IF((N83+2-(NETWORKDAYS.INTL(J_GregorianDate(D83,1),J_GregorianDate(J_SUBDAY(J_ADDDAY(D83,N83+2,1),1,1),1),16,1)))+SUMIFS(Holieday[ok],Holieday[date],CONCATENATE("&gt;","=",D83),Holieday[date],CONCATENATE("&lt;","=",J_SUBDAY(J_ADDDAY(D83,N83+2,1),1,1)))-SUMIFS(Holieday[Friday],Holieday[date],CONCATENATE("&gt;","=",D83),Holieday[date],CONCATENATE("&lt;","=",J_SUBDAY(J_ADDDAY(D83,N83+2,1),1,1)))=2,J_SUBDAY(J_ADDDAY(D83,N83+2,1),1,1),IF((N83+3-(NETWORKDAYS.INTL(J_GregorianDate(D83,1),J_GregorianDate(J_SUBDAY(J_ADDDAY(D83,N83+3,1),1,1),1),16,1)))+SUMIFS(Holieday[ok],Holieday[date],CONCATENATE("&gt;","=",D83),Holieday[date],CONCATENATE("&lt;","=",J_SUBDAY(J_ADDDAY(D83,N83+3,1),1,1)))-SUMIFS(Holieday[Friday],Holieday[date],CONCATENATE("&gt;","=",D83),Holieday[date],CONCATENATE("&lt;","=",J_SUBDAY(J_ADDDAY(D83,N83+3,1),1,1)))=3,J_SUBDAY(J_ADDDAY(D83,N83+3,1),1,1),IF((N83+4-(NETWORKDAYS.INTL(J_GregorianDate(D83,1),J_GregorianDate(J_SUBDAY(J_ADDDAY(D83,N83+4,1),1,1),1),16,1)))+SUMIFS(Holieday[ok],Holieday[date],CONCATENATE("&gt;","=",D83),Holieday[date],CONCATENATE("&lt;","=",J_SUBDAY(J_ADDDAY(D83,N83+4,1),1,1)))-SUMIFS(Holieday[Friday],Holieday[date],CONCATENATE("&gt;","=",D83),Holieday[date],CONCATENATE("&lt;","=",J_SUBDAY(J_ADDDAY(D83,N83+4,1),1,1)))=4,J_SUBDAY(J_ADDDAY(D83,N83+4,1),1,1),IF((N83+5-(NETWORKDAYS.INTL(J_GregorianDate(D83,1),J_GregorianDate(J_SUBDAY(J_ADDDAY(D83,N83+5,1),1,1),1),16,1)))+SUMIFS(Holieday[ok],Holieday[date],CONCATENATE("&gt;","=",D83),Holieday[date],CONCATENATE("&lt;","=",J_SUBDAY(J_ADDDAY(D83,N83+5,1),1,1)))-SUMIFS(Holieday[Friday],Holieday[date],CONCATENATE("&gt;","=",D83),Holieday[date],CONCATENATE("&lt;","=",J_SUBDAY(J_ADDDAY(D83,N83+5,1),1,1)))=5,J_SUBDAY(J_ADDDAY(D83,N83+5,1),1,1),J_SUBDAY(J_ADDDAY(D83,N83+6,1),1,1))))))))</f>
        <v>1398/09/18</v>
      </c>
      <c r="G83" s="2">
        <f t="shared" si="21"/>
        <v>13980918</v>
      </c>
      <c r="H83" s="230">
        <v>2</v>
      </c>
      <c r="I83" s="231">
        <v>3.27</v>
      </c>
      <c r="J83" s="245">
        <f>j_WEEKDAY(D83,2)</f>
        <v>0</v>
      </c>
      <c r="K83" s="21">
        <f t="shared" si="18"/>
        <v>0</v>
      </c>
      <c r="L83" s="258">
        <f t="shared" si="19"/>
        <v>3</v>
      </c>
      <c r="M83" s="233">
        <v>0</v>
      </c>
      <c r="N83" s="234">
        <v>3</v>
      </c>
      <c r="O83" s="10">
        <f t="shared" si="22"/>
        <v>0</v>
      </c>
      <c r="P83" s="10">
        <f>VALUE(J_normdate(J_ADDDAY($D83,$O83,1)))</f>
        <v>13980916</v>
      </c>
      <c r="Q83" s="9">
        <f t="shared" si="14"/>
        <v>3</v>
      </c>
      <c r="JA83" s="228"/>
      <c r="JB83" s="228"/>
      <c r="JC83" s="228"/>
      <c r="JD83" s="250">
        <f>SUM((TEXT(JA83,"[M]")/60)*'Income Person-hours'!$D$3,(TEXT(JB83,"[M]")/60)*'Income Person-hours'!$D$4,(TEXT(JC83,"[M]")/60)*'Income Person-hours'!$D$5)</f>
        <v>0</v>
      </c>
    </row>
    <row r="84" spans="1:264" s="255" customFormat="1" ht="13.5">
      <c r="A84" s="256">
        <v>3.29</v>
      </c>
      <c r="B84" s="241" t="s">
        <v>164</v>
      </c>
      <c r="C84" s="228" t="s">
        <v>110</v>
      </c>
      <c r="D84" s="247" t="str">
        <f>IF(OR(j_WEEKDAY(J_ADDDAY(VLOOKUP(I84,A:F,6,FALSE),H84,1),0)=6,SUMIFS(Holieday[ok],Holieday[date],J_ADDDAY(VLOOKUP(I84,A:F,6,FALSE),H84,1)))=FALSE(),J_ADDDAY(VLOOKUP(I84,A:F,6,FALSE),H84,1),IF(OR(j_WEEKDAY(J_ADDDAY(VLOOKUP(I84,A:F,6,FALSE),H84+1,1),0)=6,SUMIFS(Holieday[ok],Holieday[date],J_ADDDAY(VLOOKUP(I84,A:F,6,FALSE),H84+1,1)))=FALSE(),J_ADDDAY(VLOOKUP(I84,A:F,6,FALSE),H84+1,1),IF(OR(j_WEEKDAY(J_ADDDAY(VLOOKUP(I84,A:F,6,FALSE),H84+2,1),0)=6,SUMIFS(Holieday[ok],Holieday[date],J_ADDDAY(VLOOKUP(I84,A:F,6,FALSE),H84+2,1)))=FALSE(),J_ADDDAY(VLOOKUP(I84,A:F,6,FALSE),H84+2,1),IF(OR(j_WEEKDAY(J_ADDDAY(VLOOKUP(I84,A:F,6,FALSE),H84+3,1),0)=6,SUMIFS(Holieday[ok],Holieday[date],J_ADDDAY(VLOOKUP(I84,A:F,6,FALSE),H84+3,1)))=FALSE(),J_ADDDAY(VLOOKUP(I84,A:F,6,FALSE),H84+3,1),IF(OR(j_WEEKDAY(J_ADDDAY(VLOOKUP(I84,A:F,6,FALSE),H84+4,1),0)=6,SUMIFS(Holieday[ok],Holieday[date],J_ADDDAY(VLOOKUP(I84,A:F,6,FALSE),H84+4,1)))=FALSE(),J_ADDDAY(VLOOKUP(I84,A:F,6,FALSE),H84+4,1),J_ADDDAY(VLOOKUP(I84,A:F,6,FALSE),H84+5,1))))))</f>
        <v>1398/09/19</v>
      </c>
      <c r="E84" s="1">
        <f t="shared" ref="E84:E94" si="24">VALUE(J_normdate(D84))</f>
        <v>13980919</v>
      </c>
      <c r="F84" s="251" t="str">
        <f>IF(N84=0,J_SUBDAY(D84,1,1),IF((N84-(NETWORKDAYS.INTL(J_GregorianDate(D84,1),J_GregorianDate(J_SUBDAY(J_ADDDAY(D84,N84,1),1,1),1),16,1)))+SUMIFS(Holieday[ok],Holieday[date],CONCATENATE("&gt;","=",D84),Holieday[date],CONCATENATE("&lt;","=",J_SUBDAY(J_ADDDAY(D84,N84,1),1,1)))-SUMIFS(Holieday[Friday],Holieday[date],CONCATENATE("&gt;","=",D84),Holieday[date],CONCATENATE("&lt;","=",J_SUBDAY(J_ADDDAY(D84,N84,1),1,1)))=0,J_SUBDAY(J_ADDDAY(D84,N84,1),1,1),IF((N84+1-(NETWORKDAYS.INTL(J_GregorianDate(D84,1),J_GregorianDate(J_SUBDAY(J_ADDDAY(D84,N84+1,1),1,1),1),16,1)))+SUMIFS(Holieday[ok],Holieday[date],CONCATENATE("&gt;","=",D84),Holieday[date],CONCATENATE("&lt;","=",J_SUBDAY(J_ADDDAY(D84,N84+1,1),1,1)))-SUMIFS(Holieday[Friday],Holieday[date],CONCATENATE("&gt;","=",D84),Holieday[date],CONCATENATE("&lt;","=",J_SUBDAY(J_ADDDAY(D84,N84+1,1),1,1)))=1,J_SUBDAY(J_ADDDAY(D84,N84+1,1),1,1),IF((N84+2-(NETWORKDAYS.INTL(J_GregorianDate(D84,1),J_GregorianDate(J_SUBDAY(J_ADDDAY(D84,N84+2,1),1,1),1),16,1)))+SUMIFS(Holieday[ok],Holieday[date],CONCATENATE("&gt;","=",D84),Holieday[date],CONCATENATE("&lt;","=",J_SUBDAY(J_ADDDAY(D84,N84+2,1),1,1)))-SUMIFS(Holieday[Friday],Holieday[date],CONCATENATE("&gt;","=",D84),Holieday[date],CONCATENATE("&lt;","=",J_SUBDAY(J_ADDDAY(D84,N84+2,1),1,1)))=2,J_SUBDAY(J_ADDDAY(D84,N84+2,1),1,1),IF((N84+3-(NETWORKDAYS.INTL(J_GregorianDate(D84,1),J_GregorianDate(J_SUBDAY(J_ADDDAY(D84,N84+3,1),1,1),1),16,1)))+SUMIFS(Holieday[ok],Holieday[date],CONCATENATE("&gt;","=",D84),Holieday[date],CONCATENATE("&lt;","=",J_SUBDAY(J_ADDDAY(D84,N84+3,1),1,1)))-SUMIFS(Holieday[Friday],Holieday[date],CONCATENATE("&gt;","=",D84),Holieday[date],CONCATENATE("&lt;","=",J_SUBDAY(J_ADDDAY(D84,N84+3,1),1,1)))=3,J_SUBDAY(J_ADDDAY(D84,N84+3,1),1,1),IF((N84+4-(NETWORKDAYS.INTL(J_GregorianDate(D84,1),J_GregorianDate(J_SUBDAY(J_ADDDAY(D84,N84+4,1),1,1),1),16,1)))+SUMIFS(Holieday[ok],Holieday[date],CONCATENATE("&gt;","=",D84),Holieday[date],CONCATENATE("&lt;","=",J_SUBDAY(J_ADDDAY(D84,N84+4,1),1,1)))-SUMIFS(Holieday[Friday],Holieday[date],CONCATENATE("&gt;","=",D84),Holieday[date],CONCATENATE("&lt;","=",J_SUBDAY(J_ADDDAY(D84,N84+4,1),1,1)))=4,J_SUBDAY(J_ADDDAY(D84,N84+4,1),1,1),IF((N84+5-(NETWORKDAYS.INTL(J_GregorianDate(D84,1),J_GregorianDate(J_SUBDAY(J_ADDDAY(D84,N84+5,1),1,1),1),16,1)))+SUMIFS(Holieday[ok],Holieday[date],CONCATENATE("&gt;","=",D84),Holieday[date],CONCATENATE("&lt;","=",J_SUBDAY(J_ADDDAY(D84,N84+5,1),1,1)))-SUMIFS(Holieday[Friday],Holieday[date],CONCATENATE("&gt;","=",D84),Holieday[date],CONCATENATE("&lt;","=",J_SUBDAY(J_ADDDAY(D84,N84+5,1),1,1)))=5,J_SUBDAY(J_ADDDAY(D84,N84+5,1),1,1),J_SUBDAY(J_ADDDAY(D84,N84+6,1),1,1))))))))</f>
        <v>1398/09/23</v>
      </c>
      <c r="G84" s="2">
        <f t="shared" ref="G84:G94" si="25">VALUE(J_normdate(F84))</f>
        <v>13980923</v>
      </c>
      <c r="H84" s="230">
        <v>1</v>
      </c>
      <c r="I84" s="231">
        <v>3.28</v>
      </c>
      <c r="J84" s="245">
        <f>j_WEEKDAY(D84,2)</f>
        <v>3</v>
      </c>
      <c r="K84" s="21">
        <f t="shared" ref="K84:K94" si="26">SUM(JA84:JC84)</f>
        <v>0</v>
      </c>
      <c r="L84" s="246">
        <f t="shared" ref="L84:L94" si="27">J_DIFF(D84,F84)+1</f>
        <v>5</v>
      </c>
      <c r="M84" s="233">
        <v>0</v>
      </c>
      <c r="N84" s="234">
        <v>4</v>
      </c>
      <c r="O84" s="10">
        <f t="shared" ref="O84:O94" si="28">ROUNDDOWN(M84*L84,0)</f>
        <v>0</v>
      </c>
      <c r="P84" s="10">
        <f>VALUE(J_normdate(J_ADDDAY($D84,$O84,1)))</f>
        <v>13980919</v>
      </c>
      <c r="Q84" s="9">
        <f t="shared" ref="Q84:Q94" si="29">L84-O84</f>
        <v>5</v>
      </c>
      <c r="R84" s="247"/>
      <c r="S84" s="247"/>
      <c r="T84" s="247"/>
      <c r="U84" s="247"/>
      <c r="V84" s="247"/>
      <c r="W84" s="247"/>
      <c r="X84" s="247"/>
      <c r="Y84" s="247"/>
      <c r="Z84" s="247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  <c r="AL84" s="247"/>
      <c r="AM84" s="247"/>
      <c r="AN84" s="247"/>
      <c r="AO84" s="247"/>
      <c r="AP84" s="247"/>
      <c r="AQ84" s="247"/>
      <c r="AR84" s="247"/>
      <c r="AS84" s="247"/>
      <c r="AT84" s="247"/>
      <c r="AU84" s="247"/>
      <c r="AV84" s="247"/>
      <c r="AW84" s="247"/>
      <c r="AX84" s="247"/>
      <c r="AY84" s="247"/>
      <c r="AZ84" s="247"/>
      <c r="BA84" s="247"/>
      <c r="BB84" s="247"/>
      <c r="BC84" s="247"/>
      <c r="BD84" s="247"/>
      <c r="BE84" s="247"/>
      <c r="BF84" s="247"/>
      <c r="BG84" s="247"/>
      <c r="BH84" s="247"/>
      <c r="BI84" s="247"/>
      <c r="BJ84" s="247"/>
      <c r="BK84" s="247"/>
      <c r="BL84" s="247"/>
      <c r="BM84" s="247"/>
      <c r="BN84" s="247"/>
      <c r="BO84" s="247"/>
      <c r="BP84" s="247"/>
      <c r="BQ84" s="247"/>
      <c r="BR84" s="247"/>
      <c r="BS84" s="247"/>
      <c r="BT84" s="247"/>
      <c r="BU84" s="247"/>
      <c r="BV84" s="247"/>
      <c r="BW84" s="247"/>
      <c r="BX84" s="247"/>
      <c r="BY84" s="247"/>
      <c r="BZ84" s="247"/>
      <c r="CA84" s="247"/>
      <c r="CB84" s="247"/>
      <c r="CC84" s="247"/>
      <c r="CD84" s="247"/>
      <c r="CE84" s="247"/>
      <c r="CF84" s="247"/>
      <c r="CG84" s="247"/>
      <c r="CH84" s="247"/>
      <c r="CI84" s="247"/>
      <c r="CJ84" s="247"/>
      <c r="CK84" s="247"/>
      <c r="CL84" s="247"/>
      <c r="CM84" s="247"/>
      <c r="CN84" s="247"/>
      <c r="CO84" s="247"/>
      <c r="CP84" s="247"/>
      <c r="CQ84" s="247"/>
      <c r="CR84" s="247"/>
      <c r="CS84" s="247"/>
      <c r="CT84" s="247"/>
      <c r="CU84" s="247"/>
      <c r="CV84" s="247"/>
      <c r="CW84" s="247"/>
      <c r="CX84" s="247"/>
      <c r="CY84" s="247"/>
      <c r="CZ84" s="247"/>
      <c r="DA84" s="247"/>
      <c r="DB84" s="247"/>
      <c r="DC84" s="247"/>
      <c r="DD84" s="247"/>
      <c r="DE84" s="247"/>
      <c r="DF84" s="247"/>
      <c r="DG84" s="247"/>
      <c r="DH84" s="247"/>
      <c r="DI84" s="247"/>
      <c r="DJ84" s="247"/>
      <c r="DK84" s="247"/>
      <c r="DL84" s="247"/>
      <c r="DM84" s="247"/>
      <c r="DN84" s="247"/>
      <c r="DO84" s="247"/>
      <c r="DP84" s="247"/>
      <c r="DQ84" s="247"/>
      <c r="DR84" s="247"/>
      <c r="DS84" s="247"/>
      <c r="DT84" s="247"/>
      <c r="DU84" s="247"/>
      <c r="DV84" s="247"/>
      <c r="DW84" s="247"/>
      <c r="DX84" s="247"/>
      <c r="DY84" s="247"/>
      <c r="DZ84" s="247"/>
      <c r="EA84" s="247"/>
      <c r="EB84" s="247"/>
      <c r="EC84" s="247"/>
      <c r="ED84" s="247"/>
      <c r="EE84" s="247"/>
      <c r="EF84" s="247"/>
      <c r="EG84" s="247"/>
      <c r="EH84" s="247"/>
      <c r="EI84" s="247"/>
      <c r="EJ84" s="247"/>
      <c r="EK84" s="247"/>
      <c r="EL84" s="247"/>
      <c r="EM84" s="247"/>
      <c r="EN84" s="247"/>
      <c r="EO84" s="247"/>
      <c r="EP84" s="247"/>
      <c r="EQ84" s="247"/>
      <c r="ER84" s="247"/>
      <c r="ES84" s="247"/>
      <c r="ET84" s="247"/>
      <c r="EU84" s="247"/>
      <c r="EV84" s="247"/>
      <c r="EW84" s="247"/>
      <c r="EX84" s="247"/>
      <c r="EY84" s="247"/>
      <c r="EZ84" s="247"/>
      <c r="FA84" s="247"/>
      <c r="FB84" s="247"/>
      <c r="FC84" s="247"/>
      <c r="FD84" s="247"/>
      <c r="FE84" s="247"/>
      <c r="FF84" s="247"/>
      <c r="FG84" s="247"/>
      <c r="FH84" s="247"/>
      <c r="FI84" s="247"/>
      <c r="FJ84" s="247"/>
      <c r="FK84" s="247"/>
      <c r="FL84" s="247"/>
      <c r="FM84" s="247"/>
      <c r="FN84" s="247"/>
      <c r="FO84" s="247"/>
      <c r="FP84" s="247"/>
      <c r="FQ84" s="247"/>
      <c r="FR84" s="247"/>
      <c r="FS84" s="247"/>
      <c r="FT84" s="247"/>
      <c r="FU84" s="247"/>
      <c r="FV84" s="247"/>
      <c r="FW84" s="247"/>
      <c r="FX84" s="247"/>
      <c r="FY84" s="247"/>
      <c r="FZ84" s="247"/>
      <c r="GA84" s="247"/>
      <c r="GB84" s="247"/>
      <c r="GC84" s="247"/>
      <c r="GD84" s="247"/>
      <c r="GE84" s="247"/>
      <c r="GF84" s="247"/>
      <c r="GG84" s="247"/>
      <c r="GH84" s="247"/>
      <c r="GI84" s="247"/>
      <c r="GJ84" s="247"/>
      <c r="GK84" s="247"/>
      <c r="GL84" s="247"/>
      <c r="GM84" s="247"/>
      <c r="GN84" s="247"/>
      <c r="GO84" s="247"/>
      <c r="GP84" s="247"/>
      <c r="GQ84" s="247"/>
      <c r="GR84" s="247"/>
      <c r="GS84" s="247"/>
      <c r="GT84" s="247"/>
      <c r="GU84" s="247"/>
      <c r="GV84" s="247"/>
      <c r="GW84" s="247"/>
      <c r="GX84" s="247"/>
      <c r="GY84" s="247"/>
      <c r="GZ84" s="247"/>
      <c r="HA84" s="247"/>
      <c r="HB84" s="247"/>
      <c r="HC84" s="247"/>
      <c r="HD84" s="247"/>
      <c r="HE84" s="247"/>
      <c r="HF84" s="247"/>
      <c r="HG84" s="247"/>
      <c r="HH84" s="247"/>
      <c r="HI84" s="247"/>
      <c r="HJ84" s="247"/>
      <c r="HK84" s="247"/>
      <c r="HL84" s="247"/>
      <c r="HM84" s="247"/>
      <c r="HN84" s="247"/>
      <c r="HO84" s="247"/>
      <c r="HP84" s="247"/>
      <c r="HQ84" s="247"/>
      <c r="HR84" s="247"/>
      <c r="HS84" s="247"/>
      <c r="HT84" s="247"/>
      <c r="HU84" s="247"/>
      <c r="HV84" s="247"/>
      <c r="HW84" s="247"/>
      <c r="HX84" s="247"/>
      <c r="HY84" s="247"/>
      <c r="HZ84" s="247"/>
      <c r="IA84" s="247"/>
      <c r="IB84" s="247"/>
      <c r="IC84" s="247"/>
      <c r="ID84" s="247"/>
      <c r="IE84" s="247"/>
      <c r="IF84" s="247"/>
      <c r="IG84" s="247"/>
      <c r="IH84" s="247"/>
      <c r="II84" s="247"/>
      <c r="IJ84" s="247"/>
      <c r="IK84" s="247"/>
      <c r="IL84" s="247"/>
      <c r="IM84" s="247"/>
      <c r="IN84" s="247"/>
      <c r="IO84" s="247"/>
      <c r="IP84" s="247"/>
      <c r="IQ84" s="247"/>
      <c r="IR84" s="247"/>
      <c r="IS84" s="247"/>
      <c r="IT84" s="247"/>
      <c r="IU84" s="247"/>
      <c r="IV84" s="247"/>
      <c r="IW84" s="247"/>
      <c r="IX84" s="247"/>
      <c r="JA84" s="253"/>
      <c r="JB84" s="253"/>
      <c r="JC84" s="253"/>
      <c r="JD84" s="254"/>
    </row>
    <row r="85" spans="1:264" s="255" customFormat="1" ht="13.5">
      <c r="A85" s="256">
        <v>3.31</v>
      </c>
      <c r="B85" s="241" t="s">
        <v>165</v>
      </c>
      <c r="C85" s="228" t="s">
        <v>111</v>
      </c>
      <c r="D85" s="247" t="str">
        <f>IF(OR(j_WEEKDAY(J_ADDDAY(VLOOKUP(I85,A:F,6,FALSE),H85,1),0)=6,SUMIFS(Holieday[ok],Holieday[date],J_ADDDAY(VLOOKUP(I85,A:F,6,FALSE),H85,1)))=FALSE(),J_ADDDAY(VLOOKUP(I85,A:F,6,FALSE),H85,1),IF(OR(j_WEEKDAY(J_ADDDAY(VLOOKUP(I85,A:F,6,FALSE),H85+1,1),0)=6,SUMIFS(Holieday[ok],Holieday[date],J_ADDDAY(VLOOKUP(I85,A:F,6,FALSE),H85+1,1)))=FALSE(),J_ADDDAY(VLOOKUP(I85,A:F,6,FALSE),H85+1,1),IF(OR(j_WEEKDAY(J_ADDDAY(VLOOKUP(I85,A:F,6,FALSE),H85+2,1),0)=6,SUMIFS(Holieday[ok],Holieday[date],J_ADDDAY(VLOOKUP(I85,A:F,6,FALSE),H85+2,1)))=FALSE(),J_ADDDAY(VLOOKUP(I85,A:F,6,FALSE),H85+2,1),IF(OR(j_WEEKDAY(J_ADDDAY(VLOOKUP(I85,A:F,6,FALSE),H85+3,1),0)=6,SUMIFS(Holieday[ok],Holieday[date],J_ADDDAY(VLOOKUP(I85,A:F,6,FALSE),H85+3,1)))=FALSE(),J_ADDDAY(VLOOKUP(I85,A:F,6,FALSE),H85+3,1),IF(OR(j_WEEKDAY(J_ADDDAY(VLOOKUP(I85,A:F,6,FALSE),H85+4,1),0)=6,SUMIFS(Holieday[ok],Holieday[date],J_ADDDAY(VLOOKUP(I85,A:F,6,FALSE),H85+4,1)))=FALSE(),J_ADDDAY(VLOOKUP(I85,A:F,6,FALSE),H85+4,1),J_ADDDAY(VLOOKUP(I85,A:F,6,FALSE),H85+5,1))))))</f>
        <v>1398/09/24</v>
      </c>
      <c r="E85" s="1">
        <f t="shared" si="24"/>
        <v>13980924</v>
      </c>
      <c r="F85" s="251" t="str">
        <f>IF(N85=0,J_SUBDAY(D85,1,1),IF((N85-(NETWORKDAYS.INTL(J_GregorianDate(D85,1),J_GregorianDate(J_SUBDAY(J_ADDDAY(D85,N85,1),1,1),1),16,1)))+SUMIFS(Holieday[ok],Holieday[date],CONCATENATE("&gt;","=",D85),Holieday[date],CONCATENATE("&lt;","=",J_SUBDAY(J_ADDDAY(D85,N85,1),1,1)))-SUMIFS(Holieday[Friday],Holieday[date],CONCATENATE("&gt;","=",D85),Holieday[date],CONCATENATE("&lt;","=",J_SUBDAY(J_ADDDAY(D85,N85,1),1,1)))=0,J_SUBDAY(J_ADDDAY(D85,N85,1),1,1),IF((N85+1-(NETWORKDAYS.INTL(J_GregorianDate(D85,1),J_GregorianDate(J_SUBDAY(J_ADDDAY(D85,N85+1,1),1,1),1),16,1)))+SUMIFS(Holieday[ok],Holieday[date],CONCATENATE("&gt;","=",D85),Holieday[date],CONCATENATE("&lt;","=",J_SUBDAY(J_ADDDAY(D85,N85+1,1),1,1)))-SUMIFS(Holieday[Friday],Holieday[date],CONCATENATE("&gt;","=",D85),Holieday[date],CONCATENATE("&lt;","=",J_SUBDAY(J_ADDDAY(D85,N85+1,1),1,1)))=1,J_SUBDAY(J_ADDDAY(D85,N85+1,1),1,1),IF((N85+2-(NETWORKDAYS.INTL(J_GregorianDate(D85,1),J_GregorianDate(J_SUBDAY(J_ADDDAY(D85,N85+2,1),1,1),1),16,1)))+SUMIFS(Holieday[ok],Holieday[date],CONCATENATE("&gt;","=",D85),Holieday[date],CONCATENATE("&lt;","=",J_SUBDAY(J_ADDDAY(D85,N85+2,1),1,1)))-SUMIFS(Holieday[Friday],Holieday[date],CONCATENATE("&gt;","=",D85),Holieday[date],CONCATENATE("&lt;","=",J_SUBDAY(J_ADDDAY(D85,N85+2,1),1,1)))=2,J_SUBDAY(J_ADDDAY(D85,N85+2,1),1,1),IF((N85+3-(NETWORKDAYS.INTL(J_GregorianDate(D85,1),J_GregorianDate(J_SUBDAY(J_ADDDAY(D85,N85+3,1),1,1),1),16,1)))+SUMIFS(Holieday[ok],Holieday[date],CONCATENATE("&gt;","=",D85),Holieday[date],CONCATENATE("&lt;","=",J_SUBDAY(J_ADDDAY(D85,N85+3,1),1,1)))-SUMIFS(Holieday[Friday],Holieday[date],CONCATENATE("&gt;","=",D85),Holieday[date],CONCATENATE("&lt;","=",J_SUBDAY(J_ADDDAY(D85,N85+3,1),1,1)))=3,J_SUBDAY(J_ADDDAY(D85,N85+3,1),1,1),IF((N85+4-(NETWORKDAYS.INTL(J_GregorianDate(D85,1),J_GregorianDate(J_SUBDAY(J_ADDDAY(D85,N85+4,1),1,1),1),16,1)))+SUMIFS(Holieday[ok],Holieday[date],CONCATENATE("&gt;","=",D85),Holieday[date],CONCATENATE("&lt;","=",J_SUBDAY(J_ADDDAY(D85,N85+4,1),1,1)))-SUMIFS(Holieday[Friday],Holieday[date],CONCATENATE("&gt;","=",D85),Holieday[date],CONCATENATE("&lt;","=",J_SUBDAY(J_ADDDAY(D85,N85+4,1),1,1)))=4,J_SUBDAY(J_ADDDAY(D85,N85+4,1),1,1),IF((N85+5-(NETWORKDAYS.INTL(J_GregorianDate(D85,1),J_GregorianDate(J_SUBDAY(J_ADDDAY(D85,N85+5,1),1,1),1),16,1)))+SUMIFS(Holieday[ok],Holieday[date],CONCATENATE("&gt;","=",D85),Holieday[date],CONCATENATE("&lt;","=",J_SUBDAY(J_ADDDAY(D85,N85+5,1),1,1)))-SUMIFS(Holieday[Friday],Holieday[date],CONCATENATE("&gt;","=",D85),Holieday[date],CONCATENATE("&lt;","=",J_SUBDAY(J_ADDDAY(D85,N85+5,1),1,1)))=5,J_SUBDAY(J_ADDDAY(D85,N85+5,1),1,1),J_SUBDAY(J_ADDDAY(D85,N85+6,1),1,1))))))))</f>
        <v>1398/09/26</v>
      </c>
      <c r="G85" s="2">
        <f t="shared" si="25"/>
        <v>13980926</v>
      </c>
      <c r="H85" s="230">
        <v>1</v>
      </c>
      <c r="I85" s="231">
        <v>3.29</v>
      </c>
      <c r="J85" s="245">
        <f>j_WEEKDAY(D85,2)</f>
        <v>1</v>
      </c>
      <c r="K85" s="21">
        <f t="shared" si="26"/>
        <v>0</v>
      </c>
      <c r="L85" s="246">
        <f t="shared" si="27"/>
        <v>3</v>
      </c>
      <c r="M85" s="233">
        <v>0</v>
      </c>
      <c r="N85" s="234">
        <v>3</v>
      </c>
      <c r="O85" s="10">
        <f t="shared" si="28"/>
        <v>0</v>
      </c>
      <c r="P85" s="10">
        <f>VALUE(J_normdate(J_ADDDAY($D85,$O85,1)))</f>
        <v>13980924</v>
      </c>
      <c r="Q85" s="9">
        <f t="shared" si="29"/>
        <v>3</v>
      </c>
      <c r="R85" s="247"/>
      <c r="S85" s="247"/>
      <c r="T85" s="247"/>
      <c r="U85" s="247"/>
      <c r="V85" s="247"/>
      <c r="W85" s="247"/>
      <c r="X85" s="247"/>
      <c r="Y85" s="247"/>
      <c r="Z85" s="247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  <c r="AL85" s="247"/>
      <c r="AM85" s="247"/>
      <c r="AN85" s="247"/>
      <c r="AO85" s="247"/>
      <c r="AP85" s="247"/>
      <c r="AQ85" s="247"/>
      <c r="AR85" s="247"/>
      <c r="AS85" s="247"/>
      <c r="AT85" s="247"/>
      <c r="AU85" s="247"/>
      <c r="AV85" s="247"/>
      <c r="AW85" s="247"/>
      <c r="AX85" s="247"/>
      <c r="AY85" s="247"/>
      <c r="AZ85" s="247"/>
      <c r="BA85" s="247"/>
      <c r="BB85" s="247"/>
      <c r="BC85" s="247"/>
      <c r="BD85" s="247"/>
      <c r="BE85" s="247"/>
      <c r="BF85" s="247"/>
      <c r="BG85" s="247"/>
      <c r="BH85" s="247"/>
      <c r="BI85" s="247"/>
      <c r="BJ85" s="247"/>
      <c r="BK85" s="247"/>
      <c r="BL85" s="247"/>
      <c r="BM85" s="247"/>
      <c r="BN85" s="247"/>
      <c r="BO85" s="247"/>
      <c r="BP85" s="247"/>
      <c r="BQ85" s="247"/>
      <c r="BR85" s="247"/>
      <c r="BS85" s="247"/>
      <c r="BT85" s="247"/>
      <c r="BU85" s="247"/>
      <c r="BV85" s="247"/>
      <c r="BW85" s="247"/>
      <c r="BX85" s="247"/>
      <c r="BY85" s="247"/>
      <c r="BZ85" s="247"/>
      <c r="CA85" s="247"/>
      <c r="CB85" s="247"/>
      <c r="CC85" s="247"/>
      <c r="CD85" s="247"/>
      <c r="CE85" s="247"/>
      <c r="CF85" s="247"/>
      <c r="CG85" s="247"/>
      <c r="CH85" s="247"/>
      <c r="CI85" s="247"/>
      <c r="CJ85" s="247"/>
      <c r="CK85" s="247"/>
      <c r="CL85" s="247"/>
      <c r="CM85" s="247"/>
      <c r="CN85" s="247"/>
      <c r="CO85" s="247"/>
      <c r="CP85" s="247"/>
      <c r="CQ85" s="247"/>
      <c r="CR85" s="247"/>
      <c r="CS85" s="247"/>
      <c r="CT85" s="247"/>
      <c r="CU85" s="247"/>
      <c r="CV85" s="247"/>
      <c r="CW85" s="247"/>
      <c r="CX85" s="247"/>
      <c r="CY85" s="247"/>
      <c r="CZ85" s="247"/>
      <c r="DA85" s="247"/>
      <c r="DB85" s="247"/>
      <c r="DC85" s="247"/>
      <c r="DD85" s="247"/>
      <c r="DE85" s="247"/>
      <c r="DF85" s="247"/>
      <c r="DG85" s="247"/>
      <c r="DH85" s="247"/>
      <c r="DI85" s="247"/>
      <c r="DJ85" s="247"/>
      <c r="DK85" s="247"/>
      <c r="DL85" s="247"/>
      <c r="DM85" s="247"/>
      <c r="DN85" s="247"/>
      <c r="DO85" s="247"/>
      <c r="DP85" s="247"/>
      <c r="DQ85" s="247"/>
      <c r="DR85" s="247"/>
      <c r="DS85" s="247"/>
      <c r="DT85" s="247"/>
      <c r="DU85" s="247"/>
      <c r="DV85" s="247"/>
      <c r="DW85" s="247"/>
      <c r="DX85" s="247"/>
      <c r="DY85" s="247"/>
      <c r="DZ85" s="247"/>
      <c r="EA85" s="247"/>
      <c r="EB85" s="247"/>
      <c r="EC85" s="247"/>
      <c r="ED85" s="247"/>
      <c r="EE85" s="247"/>
      <c r="EF85" s="247"/>
      <c r="EG85" s="247"/>
      <c r="EH85" s="247"/>
      <c r="EI85" s="247"/>
      <c r="EJ85" s="247"/>
      <c r="EK85" s="247"/>
      <c r="EL85" s="247"/>
      <c r="EM85" s="247"/>
      <c r="EN85" s="247"/>
      <c r="EO85" s="247"/>
      <c r="EP85" s="247"/>
      <c r="EQ85" s="247"/>
      <c r="ER85" s="247"/>
      <c r="ES85" s="247"/>
      <c r="ET85" s="247"/>
      <c r="EU85" s="247"/>
      <c r="EV85" s="247"/>
      <c r="EW85" s="247"/>
      <c r="EX85" s="247"/>
      <c r="EY85" s="247"/>
      <c r="EZ85" s="247"/>
      <c r="FA85" s="247"/>
      <c r="FB85" s="247"/>
      <c r="FC85" s="247"/>
      <c r="FD85" s="247"/>
      <c r="FE85" s="247"/>
      <c r="FF85" s="247"/>
      <c r="FG85" s="247"/>
      <c r="FH85" s="247"/>
      <c r="FI85" s="247"/>
      <c r="FJ85" s="247"/>
      <c r="FK85" s="247"/>
      <c r="FL85" s="247"/>
      <c r="FM85" s="247"/>
      <c r="FN85" s="247"/>
      <c r="FO85" s="247"/>
      <c r="FP85" s="247"/>
      <c r="FQ85" s="247"/>
      <c r="FR85" s="247"/>
      <c r="FS85" s="247"/>
      <c r="FT85" s="247"/>
      <c r="FU85" s="247"/>
      <c r="FV85" s="247"/>
      <c r="FW85" s="247"/>
      <c r="FX85" s="247"/>
      <c r="FY85" s="247"/>
      <c r="FZ85" s="247"/>
      <c r="GA85" s="247"/>
      <c r="GB85" s="247"/>
      <c r="GC85" s="247"/>
      <c r="GD85" s="247"/>
      <c r="GE85" s="247"/>
      <c r="GF85" s="247"/>
      <c r="GG85" s="247"/>
      <c r="GH85" s="247"/>
      <c r="GI85" s="247"/>
      <c r="GJ85" s="247"/>
      <c r="GK85" s="247"/>
      <c r="GL85" s="247"/>
      <c r="GM85" s="247"/>
      <c r="GN85" s="247"/>
      <c r="GO85" s="247"/>
      <c r="GP85" s="247"/>
      <c r="GQ85" s="247"/>
      <c r="GR85" s="247"/>
      <c r="GS85" s="247"/>
      <c r="GT85" s="247"/>
      <c r="GU85" s="247"/>
      <c r="GV85" s="247"/>
      <c r="GW85" s="247"/>
      <c r="GX85" s="247"/>
      <c r="GY85" s="247"/>
      <c r="GZ85" s="247"/>
      <c r="HA85" s="247"/>
      <c r="HB85" s="247"/>
      <c r="HC85" s="247"/>
      <c r="HD85" s="247"/>
      <c r="HE85" s="247"/>
      <c r="HF85" s="247"/>
      <c r="HG85" s="247"/>
      <c r="HH85" s="247"/>
      <c r="HI85" s="247"/>
      <c r="HJ85" s="247"/>
      <c r="HK85" s="247"/>
      <c r="HL85" s="247"/>
      <c r="HM85" s="247"/>
      <c r="HN85" s="247"/>
      <c r="HO85" s="247"/>
      <c r="HP85" s="247"/>
      <c r="HQ85" s="247"/>
      <c r="HR85" s="247"/>
      <c r="HS85" s="247"/>
      <c r="HT85" s="247"/>
      <c r="HU85" s="247"/>
      <c r="HV85" s="247"/>
      <c r="HW85" s="247"/>
      <c r="HX85" s="247"/>
      <c r="HY85" s="247"/>
      <c r="HZ85" s="247"/>
      <c r="IA85" s="247"/>
      <c r="IB85" s="247"/>
      <c r="IC85" s="247"/>
      <c r="ID85" s="247"/>
      <c r="IE85" s="247"/>
      <c r="IF85" s="247"/>
      <c r="IG85" s="247"/>
      <c r="IH85" s="247"/>
      <c r="II85" s="247"/>
      <c r="IJ85" s="247"/>
      <c r="IK85" s="247"/>
      <c r="IL85" s="247"/>
      <c r="IM85" s="247"/>
      <c r="IN85" s="247"/>
      <c r="IO85" s="247"/>
      <c r="IP85" s="247"/>
      <c r="IQ85" s="247"/>
      <c r="IR85" s="247"/>
      <c r="IS85" s="247"/>
      <c r="IT85" s="247"/>
      <c r="IU85" s="247"/>
      <c r="IV85" s="247"/>
      <c r="IW85" s="247"/>
      <c r="IX85" s="247"/>
      <c r="JA85" s="253"/>
      <c r="JB85" s="253"/>
      <c r="JC85" s="253"/>
      <c r="JD85" s="254"/>
    </row>
    <row r="86" spans="1:264" s="255" customFormat="1" ht="16.5" customHeight="1">
      <c r="A86" s="256">
        <v>3.32</v>
      </c>
      <c r="B86" s="241" t="s">
        <v>166</v>
      </c>
      <c r="C86" s="228" t="s">
        <v>110</v>
      </c>
      <c r="D86" s="247" t="str">
        <f>IF(OR(j_WEEKDAY(J_ADDDAY(VLOOKUP(I86,A:F,6,FALSE),H86,1),0)=6,SUMIFS(Holieday[ok],Holieday[date],J_ADDDAY(VLOOKUP(I86,A:F,6,FALSE),H86,1)))=FALSE(),J_ADDDAY(VLOOKUP(I86,A:F,6,FALSE),H86,1),IF(OR(j_WEEKDAY(J_ADDDAY(VLOOKUP(I86,A:F,6,FALSE),H86+1,1),0)=6,SUMIFS(Holieday[ok],Holieday[date],J_ADDDAY(VLOOKUP(I86,A:F,6,FALSE),H86+1,1)))=FALSE(),J_ADDDAY(VLOOKUP(I86,A:F,6,FALSE),H86+1,1),IF(OR(j_WEEKDAY(J_ADDDAY(VLOOKUP(I86,A:F,6,FALSE),H86+2,1),0)=6,SUMIFS(Holieday[ok],Holieday[date],J_ADDDAY(VLOOKUP(I86,A:F,6,FALSE),H86+2,1)))=FALSE(),J_ADDDAY(VLOOKUP(I86,A:F,6,FALSE),H86+2,1),IF(OR(j_WEEKDAY(J_ADDDAY(VLOOKUP(I86,A:F,6,FALSE),H86+3,1),0)=6,SUMIFS(Holieday[ok],Holieday[date],J_ADDDAY(VLOOKUP(I86,A:F,6,FALSE),H86+3,1)))=FALSE(),J_ADDDAY(VLOOKUP(I86,A:F,6,FALSE),H86+3,1),IF(OR(j_WEEKDAY(J_ADDDAY(VLOOKUP(I86,A:F,6,FALSE),H86+4,1),0)=6,SUMIFS(Holieday[ok],Holieday[date],J_ADDDAY(VLOOKUP(I86,A:F,6,FALSE),H86+4,1)))=FALSE(),J_ADDDAY(VLOOKUP(I86,A:F,6,FALSE),H86+4,1),J_ADDDAY(VLOOKUP(I86,A:F,6,FALSE),H86+5,1))))))</f>
        <v>1398/09/30</v>
      </c>
      <c r="E86" s="1">
        <f t="shared" si="24"/>
        <v>13980930</v>
      </c>
      <c r="F86" s="251" t="str">
        <f>IF(N86=0,J_SUBDAY(D86,1,1),IF((N86-(NETWORKDAYS.INTL(J_GregorianDate(D86,1),J_GregorianDate(J_SUBDAY(J_ADDDAY(D86,N86,1),1,1),1),16,1)))+SUMIFS(Holieday[ok],Holieday[date],CONCATENATE("&gt;","=",D86),Holieday[date],CONCATENATE("&lt;","=",J_SUBDAY(J_ADDDAY(D86,N86,1),1,1)))-SUMIFS(Holieday[Friday],Holieday[date],CONCATENATE("&gt;","=",D86),Holieday[date],CONCATENATE("&lt;","=",J_SUBDAY(J_ADDDAY(D86,N86,1),1,1)))=0,J_SUBDAY(J_ADDDAY(D86,N86,1),1,1),IF((N86+1-(NETWORKDAYS.INTL(J_GregorianDate(D86,1),J_GregorianDate(J_SUBDAY(J_ADDDAY(D86,N86+1,1),1,1),1),16,1)))+SUMIFS(Holieday[ok],Holieday[date],CONCATENATE("&gt;","=",D86),Holieday[date],CONCATENATE("&lt;","=",J_SUBDAY(J_ADDDAY(D86,N86+1,1),1,1)))-SUMIFS(Holieday[Friday],Holieday[date],CONCATENATE("&gt;","=",D86),Holieday[date],CONCATENATE("&lt;","=",J_SUBDAY(J_ADDDAY(D86,N86+1,1),1,1)))=1,J_SUBDAY(J_ADDDAY(D86,N86+1,1),1,1),IF((N86+2-(NETWORKDAYS.INTL(J_GregorianDate(D86,1),J_GregorianDate(J_SUBDAY(J_ADDDAY(D86,N86+2,1),1,1),1),16,1)))+SUMIFS(Holieday[ok],Holieday[date],CONCATENATE("&gt;","=",D86),Holieday[date],CONCATENATE("&lt;","=",J_SUBDAY(J_ADDDAY(D86,N86+2,1),1,1)))-SUMIFS(Holieday[Friday],Holieday[date],CONCATENATE("&gt;","=",D86),Holieday[date],CONCATENATE("&lt;","=",J_SUBDAY(J_ADDDAY(D86,N86+2,1),1,1)))=2,J_SUBDAY(J_ADDDAY(D86,N86+2,1),1,1),IF((N86+3-(NETWORKDAYS.INTL(J_GregorianDate(D86,1),J_GregorianDate(J_SUBDAY(J_ADDDAY(D86,N86+3,1),1,1),1),16,1)))+SUMIFS(Holieday[ok],Holieday[date],CONCATENATE("&gt;","=",D86),Holieday[date],CONCATENATE("&lt;","=",J_SUBDAY(J_ADDDAY(D86,N86+3,1),1,1)))-SUMIFS(Holieday[Friday],Holieday[date],CONCATENATE("&gt;","=",D86),Holieday[date],CONCATENATE("&lt;","=",J_SUBDAY(J_ADDDAY(D86,N86+3,1),1,1)))=3,J_SUBDAY(J_ADDDAY(D86,N86+3,1),1,1),IF((N86+4-(NETWORKDAYS.INTL(J_GregorianDate(D86,1),J_GregorianDate(J_SUBDAY(J_ADDDAY(D86,N86+4,1),1,1),1),16,1)))+SUMIFS(Holieday[ok],Holieday[date],CONCATENATE("&gt;","=",D86),Holieday[date],CONCATENATE("&lt;","=",J_SUBDAY(J_ADDDAY(D86,N86+4,1),1,1)))-SUMIFS(Holieday[Friday],Holieday[date],CONCATENATE("&gt;","=",D86),Holieday[date],CONCATENATE("&lt;","=",J_SUBDAY(J_ADDDAY(D86,N86+4,1),1,1)))=4,J_SUBDAY(J_ADDDAY(D86,N86+4,1),1,1),IF((N86+5-(NETWORKDAYS.INTL(J_GregorianDate(D86,1),J_GregorianDate(J_SUBDAY(J_ADDDAY(D86,N86+5,1),1,1),1),16,1)))+SUMIFS(Holieday[ok],Holieday[date],CONCATENATE("&gt;","=",D86),Holieday[date],CONCATENATE("&lt;","=",J_SUBDAY(J_ADDDAY(D86,N86+5,1),1,1)))-SUMIFS(Holieday[Friday],Holieday[date],CONCATENATE("&gt;","=",D86),Holieday[date],CONCATENATE("&lt;","=",J_SUBDAY(J_ADDDAY(D86,N86+5,1),1,1)))=5,J_SUBDAY(J_ADDDAY(D86,N86+5,1),1,1),J_SUBDAY(J_ADDDAY(D86,N86+6,1),1,1))))))))</f>
        <v>1398/10/02</v>
      </c>
      <c r="G86" s="2">
        <f t="shared" si="25"/>
        <v>13981002</v>
      </c>
      <c r="H86" s="230">
        <v>3</v>
      </c>
      <c r="I86" s="231">
        <v>3.31</v>
      </c>
      <c r="J86" s="245">
        <f>j_WEEKDAY(D86,2)</f>
        <v>0</v>
      </c>
      <c r="K86" s="21">
        <f t="shared" si="26"/>
        <v>0</v>
      </c>
      <c r="L86" s="246">
        <f t="shared" si="27"/>
        <v>3</v>
      </c>
      <c r="M86" s="233">
        <v>0</v>
      </c>
      <c r="N86" s="234">
        <v>3</v>
      </c>
      <c r="O86" s="10">
        <f t="shared" si="28"/>
        <v>0</v>
      </c>
      <c r="P86" s="10">
        <f>VALUE(J_normdate(J_ADDDAY($D86,$O86,1)))</f>
        <v>13980930</v>
      </c>
      <c r="Q86" s="9">
        <f t="shared" si="29"/>
        <v>3</v>
      </c>
      <c r="R86" s="247"/>
      <c r="S86" s="247"/>
      <c r="T86" s="247"/>
      <c r="U86" s="247"/>
      <c r="V86" s="247"/>
      <c r="W86" s="247"/>
      <c r="X86" s="247"/>
      <c r="Y86" s="247"/>
      <c r="Z86" s="247"/>
      <c r="AA86" s="247"/>
      <c r="AB86" s="247"/>
      <c r="AC86" s="247"/>
      <c r="AD86" s="247"/>
      <c r="AE86" s="247"/>
      <c r="AF86" s="247"/>
      <c r="AG86" s="247"/>
      <c r="AH86" s="247"/>
      <c r="AI86" s="247"/>
      <c r="AJ86" s="247"/>
      <c r="AK86" s="247"/>
      <c r="AL86" s="247"/>
      <c r="AM86" s="247"/>
      <c r="AN86" s="247"/>
      <c r="AO86" s="247"/>
      <c r="AP86" s="247"/>
      <c r="AQ86" s="247"/>
      <c r="AR86" s="247"/>
      <c r="AS86" s="247"/>
      <c r="AT86" s="247"/>
      <c r="AU86" s="247"/>
      <c r="AV86" s="247"/>
      <c r="AW86" s="247"/>
      <c r="AX86" s="247"/>
      <c r="AY86" s="247"/>
      <c r="AZ86" s="247"/>
      <c r="BA86" s="247"/>
      <c r="BB86" s="247"/>
      <c r="BC86" s="247"/>
      <c r="BD86" s="247"/>
      <c r="BE86" s="247"/>
      <c r="BF86" s="247"/>
      <c r="BG86" s="247"/>
      <c r="BH86" s="247"/>
      <c r="BI86" s="247"/>
      <c r="BJ86" s="247"/>
      <c r="BK86" s="247"/>
      <c r="BL86" s="247"/>
      <c r="BM86" s="247"/>
      <c r="BN86" s="247"/>
      <c r="BO86" s="247"/>
      <c r="BP86" s="247"/>
      <c r="BQ86" s="247"/>
      <c r="BR86" s="247"/>
      <c r="BS86" s="247"/>
      <c r="BT86" s="247"/>
      <c r="BU86" s="247"/>
      <c r="BV86" s="247"/>
      <c r="BW86" s="247"/>
      <c r="BX86" s="247"/>
      <c r="BY86" s="247"/>
      <c r="BZ86" s="247"/>
      <c r="CA86" s="247"/>
      <c r="CB86" s="247"/>
      <c r="CC86" s="247"/>
      <c r="CD86" s="247"/>
      <c r="CE86" s="247"/>
      <c r="CF86" s="247"/>
      <c r="CG86" s="247"/>
      <c r="CH86" s="247"/>
      <c r="CI86" s="247"/>
      <c r="CJ86" s="247"/>
      <c r="CK86" s="247"/>
      <c r="CL86" s="247"/>
      <c r="CM86" s="247"/>
      <c r="CN86" s="247"/>
      <c r="CO86" s="247"/>
      <c r="CP86" s="247"/>
      <c r="CQ86" s="247"/>
      <c r="CR86" s="247"/>
      <c r="CS86" s="247"/>
      <c r="CT86" s="247"/>
      <c r="CU86" s="247"/>
      <c r="CV86" s="247"/>
      <c r="CW86" s="247"/>
      <c r="CX86" s="247"/>
      <c r="CY86" s="247"/>
      <c r="CZ86" s="247"/>
      <c r="DA86" s="247"/>
      <c r="DB86" s="247"/>
      <c r="DC86" s="247"/>
      <c r="DD86" s="247"/>
      <c r="DE86" s="247"/>
      <c r="DF86" s="247"/>
      <c r="DG86" s="247"/>
      <c r="DH86" s="247"/>
      <c r="DI86" s="247"/>
      <c r="DJ86" s="247"/>
      <c r="DK86" s="247"/>
      <c r="DL86" s="247"/>
      <c r="DM86" s="247"/>
      <c r="DN86" s="247"/>
      <c r="DO86" s="247"/>
      <c r="DP86" s="247"/>
      <c r="DQ86" s="247"/>
      <c r="DR86" s="247"/>
      <c r="DS86" s="247"/>
      <c r="DT86" s="247"/>
      <c r="DU86" s="247"/>
      <c r="DV86" s="247"/>
      <c r="DW86" s="247"/>
      <c r="DX86" s="247"/>
      <c r="DY86" s="247"/>
      <c r="DZ86" s="247"/>
      <c r="EA86" s="247"/>
      <c r="EB86" s="247"/>
      <c r="EC86" s="247"/>
      <c r="ED86" s="247"/>
      <c r="EE86" s="247"/>
      <c r="EF86" s="247"/>
      <c r="EG86" s="247"/>
      <c r="EH86" s="247"/>
      <c r="EI86" s="247"/>
      <c r="EJ86" s="247"/>
      <c r="EK86" s="247"/>
      <c r="EL86" s="247"/>
      <c r="EM86" s="247"/>
      <c r="EN86" s="247"/>
      <c r="EO86" s="247"/>
      <c r="EP86" s="247"/>
      <c r="EQ86" s="247"/>
      <c r="ER86" s="247"/>
      <c r="ES86" s="247"/>
      <c r="ET86" s="247"/>
      <c r="EU86" s="247"/>
      <c r="EV86" s="247"/>
      <c r="EW86" s="247"/>
      <c r="EX86" s="247"/>
      <c r="EY86" s="247"/>
      <c r="EZ86" s="247"/>
      <c r="FA86" s="247"/>
      <c r="FB86" s="247"/>
      <c r="FC86" s="247"/>
      <c r="FD86" s="247"/>
      <c r="FE86" s="247"/>
      <c r="FF86" s="247"/>
      <c r="FG86" s="247"/>
      <c r="FH86" s="247"/>
      <c r="FI86" s="247"/>
      <c r="FJ86" s="247"/>
      <c r="FK86" s="247"/>
      <c r="FL86" s="247"/>
      <c r="FM86" s="247"/>
      <c r="FN86" s="247"/>
      <c r="FO86" s="247"/>
      <c r="FP86" s="247"/>
      <c r="FQ86" s="247"/>
      <c r="FR86" s="247"/>
      <c r="FS86" s="247"/>
      <c r="FT86" s="247"/>
      <c r="FU86" s="247"/>
      <c r="FV86" s="247"/>
      <c r="FW86" s="247"/>
      <c r="FX86" s="247"/>
      <c r="FY86" s="247"/>
      <c r="FZ86" s="247"/>
      <c r="GA86" s="247"/>
      <c r="GB86" s="247"/>
      <c r="GC86" s="247"/>
      <c r="GD86" s="247"/>
      <c r="GE86" s="247"/>
      <c r="GF86" s="247"/>
      <c r="GG86" s="247"/>
      <c r="GH86" s="247"/>
      <c r="GI86" s="247"/>
      <c r="GJ86" s="247"/>
      <c r="GK86" s="247"/>
      <c r="GL86" s="247"/>
      <c r="GM86" s="247"/>
      <c r="GN86" s="247"/>
      <c r="GO86" s="247"/>
      <c r="GP86" s="247"/>
      <c r="GQ86" s="247"/>
      <c r="GR86" s="247"/>
      <c r="GS86" s="247"/>
      <c r="GT86" s="247"/>
      <c r="GU86" s="247"/>
      <c r="GV86" s="247"/>
      <c r="GW86" s="247"/>
      <c r="GX86" s="247"/>
      <c r="GY86" s="247"/>
      <c r="GZ86" s="247"/>
      <c r="HA86" s="247"/>
      <c r="HB86" s="247"/>
      <c r="HC86" s="247"/>
      <c r="HD86" s="247"/>
      <c r="HE86" s="247"/>
      <c r="HF86" s="247"/>
      <c r="HG86" s="247"/>
      <c r="HH86" s="247"/>
      <c r="HI86" s="247"/>
      <c r="HJ86" s="247"/>
      <c r="HK86" s="247"/>
      <c r="HL86" s="247"/>
      <c r="HM86" s="247"/>
      <c r="HN86" s="247"/>
      <c r="HO86" s="247"/>
      <c r="HP86" s="247"/>
      <c r="HQ86" s="247"/>
      <c r="HR86" s="247"/>
      <c r="HS86" s="247"/>
      <c r="HT86" s="247"/>
      <c r="HU86" s="247"/>
      <c r="HV86" s="247"/>
      <c r="HW86" s="247"/>
      <c r="HX86" s="247"/>
      <c r="HY86" s="247"/>
      <c r="HZ86" s="247"/>
      <c r="IA86" s="247"/>
      <c r="IB86" s="247"/>
      <c r="IC86" s="247"/>
      <c r="ID86" s="247"/>
      <c r="IE86" s="247"/>
      <c r="IF86" s="247"/>
      <c r="IG86" s="247"/>
      <c r="IH86" s="247"/>
      <c r="II86" s="247"/>
      <c r="IJ86" s="247"/>
      <c r="IK86" s="247"/>
      <c r="IL86" s="247"/>
      <c r="IM86" s="247"/>
      <c r="IN86" s="247"/>
      <c r="IO86" s="247"/>
      <c r="IP86" s="247"/>
      <c r="IQ86" s="247"/>
      <c r="IR86" s="247"/>
      <c r="IS86" s="247"/>
      <c r="IT86" s="247"/>
      <c r="IU86" s="247"/>
      <c r="IV86" s="247"/>
      <c r="IW86" s="247"/>
      <c r="IX86" s="247"/>
      <c r="JA86" s="253"/>
      <c r="JB86" s="253"/>
      <c r="JC86" s="253"/>
      <c r="JD86" s="254"/>
    </row>
    <row r="87" spans="1:264" s="11" customFormat="1" ht="11.25" hidden="1">
      <c r="A87" s="30">
        <v>3.28</v>
      </c>
      <c r="B87" s="106"/>
      <c r="C87" s="107"/>
      <c r="D87" s="7" t="str">
        <f>IF(OR(j_WEEKDAY(J_ADDDAY(VLOOKUP(I87,A:F,6,FALSE),H87,1),0)=6,SUMIFS(Holieday[ok],Holieday[date],J_ADDDAY(VLOOKUP(I87,A:F,6,FALSE),H87,1)))=FALSE(),J_ADDDAY(VLOOKUP(I87,A:F,6,FALSE),H87,1),IF(OR(j_WEEKDAY(J_ADDDAY(VLOOKUP(I87,A:F,6,FALSE),H87+1,1),0)=6,SUMIFS(Holieday[ok],Holieday[date],J_ADDDAY(VLOOKUP(I87,A:F,6,FALSE),H87+1,1)))=FALSE(),J_ADDDAY(VLOOKUP(I87,A:F,6,FALSE),H87+1,1),IF(OR(j_WEEKDAY(J_ADDDAY(VLOOKUP(I87,A:F,6,FALSE),H87+2,1),0)=6,SUMIFS(Holieday[ok],Holieday[date],J_ADDDAY(VLOOKUP(I87,A:F,6,FALSE),H87+2,1)))=FALSE(),J_ADDDAY(VLOOKUP(I87,A:F,6,FALSE),H87+2,1),IF(OR(j_WEEKDAY(J_ADDDAY(VLOOKUP(I87,A:F,6,FALSE),H87+3,1),0)=6,SUMIFS(Holieday[ok],Holieday[date],J_ADDDAY(VLOOKUP(I87,A:F,6,FALSE),H87+3,1)))=FALSE(),J_ADDDAY(VLOOKUP(I87,A:F,6,FALSE),H87+3,1),IF(OR(j_WEEKDAY(J_ADDDAY(VLOOKUP(I87,A:F,6,FALSE),H87+4,1),0)=6,SUMIFS(Holieday[ok],Holieday[date],J_ADDDAY(VLOOKUP(I87,A:F,6,FALSE),H87+4,1)))=FALSE(),J_ADDDAY(VLOOKUP(I87,A:F,6,FALSE),H87+4,1),J_ADDDAY(VLOOKUP(I87,A:F,6,FALSE),H87+5,1))))))</f>
        <v>1398/09/11</v>
      </c>
      <c r="E87" s="1">
        <f t="shared" si="24"/>
        <v>13980911</v>
      </c>
      <c r="F87" s="12" t="str">
        <f>IF(N87=0,J_SUBDAY(D87,1,1),IF((N87-(NETWORKDAYS.INTL(J_GregorianDate(D87,1),J_GregorianDate(J_SUBDAY(J_ADDDAY(D87,N87,1),1,1),1),16,1)))+SUMIFS(Holieday[ok],Holieday[date],CONCATENATE("&gt;","=",D87),Holieday[date],CONCATENATE("&lt;","=",J_SUBDAY(J_ADDDAY(D87,N87,1),1,1)))-SUMIFS(Holieday[Friday],Holieday[date],CONCATENATE("&gt;","=",D87),Holieday[date],CONCATENATE("&lt;","=",J_SUBDAY(J_ADDDAY(D87,N87,1),1,1)))=0,J_SUBDAY(J_ADDDAY(D87,N87,1),1,1),IF((N87+1-(NETWORKDAYS.INTL(J_GregorianDate(D87,1),J_GregorianDate(J_SUBDAY(J_ADDDAY(D87,N87+1,1),1,1),1),16,1)))+SUMIFS(Holieday[ok],Holieday[date],CONCATENATE("&gt;","=",D87),Holieday[date],CONCATENATE("&lt;","=",J_SUBDAY(J_ADDDAY(D87,N87+1,1),1,1)))-SUMIFS(Holieday[Friday],Holieday[date],CONCATENATE("&gt;","=",D87),Holieday[date],CONCATENATE("&lt;","=",J_SUBDAY(J_ADDDAY(D87,N87+1,1),1,1)))=1,J_SUBDAY(J_ADDDAY(D87,N87+1,1),1,1),IF((N87+2-(NETWORKDAYS.INTL(J_GregorianDate(D87,1),J_GregorianDate(J_SUBDAY(J_ADDDAY(D87,N87+2,1),1,1),1),16,1)))+SUMIFS(Holieday[ok],Holieday[date],CONCATENATE("&gt;","=",D87),Holieday[date],CONCATENATE("&lt;","=",J_SUBDAY(J_ADDDAY(D87,N87+2,1),1,1)))-SUMIFS(Holieday[Friday],Holieday[date],CONCATENATE("&gt;","=",D87),Holieday[date],CONCATENATE("&lt;","=",J_SUBDAY(J_ADDDAY(D87,N87+2,1),1,1)))=2,J_SUBDAY(J_ADDDAY(D87,N87+2,1),1,1),IF((N87+3-(NETWORKDAYS.INTL(J_GregorianDate(D87,1),J_GregorianDate(J_SUBDAY(J_ADDDAY(D87,N87+3,1),1,1),1),16,1)))+SUMIFS(Holieday[ok],Holieday[date],CONCATENATE("&gt;","=",D87),Holieday[date],CONCATENATE("&lt;","=",J_SUBDAY(J_ADDDAY(D87,N87+3,1),1,1)))-SUMIFS(Holieday[Friday],Holieday[date],CONCATENATE("&gt;","=",D87),Holieday[date],CONCATENATE("&lt;","=",J_SUBDAY(J_ADDDAY(D87,N87+3,1),1,1)))=3,J_SUBDAY(J_ADDDAY(D87,N87+3,1),1,1),IF((N87+4-(NETWORKDAYS.INTL(J_GregorianDate(D87,1),J_GregorianDate(J_SUBDAY(J_ADDDAY(D87,N87+4,1),1,1),1),16,1)))+SUMIFS(Holieday[ok],Holieday[date],CONCATENATE("&gt;","=",D87),Holieday[date],CONCATENATE("&lt;","=",J_SUBDAY(J_ADDDAY(D87,N87+4,1),1,1)))-SUMIFS(Holieday[Friday],Holieday[date],CONCATENATE("&gt;","=",D87),Holieday[date],CONCATENATE("&lt;","=",J_SUBDAY(J_ADDDAY(D87,N87+4,1),1,1)))=4,J_SUBDAY(J_ADDDAY(D87,N87+4,1),1,1),IF((N87+5-(NETWORKDAYS.INTL(J_GregorianDate(D87,1),J_GregorianDate(J_SUBDAY(J_ADDDAY(D87,N87+5,1),1,1),1),16,1)))+SUMIFS(Holieday[ok],Holieday[date],CONCATENATE("&gt;","=",D87),Holieday[date],CONCATENATE("&lt;","=",J_SUBDAY(J_ADDDAY(D87,N87+5,1),1,1)))-SUMIFS(Holieday[Friday],Holieday[date],CONCATENATE("&gt;","=",D87),Holieday[date],CONCATENATE("&lt;","=",J_SUBDAY(J_ADDDAY(D87,N87+5,1),1,1)))=5,J_SUBDAY(J_ADDDAY(D87,N87+5,1),1,1),J_SUBDAY(J_ADDDAY(D87,N87+6,1),1,1))))))))</f>
        <v>1398/09/10</v>
      </c>
      <c r="G87" s="2">
        <f t="shared" si="25"/>
        <v>13980910</v>
      </c>
      <c r="H87" s="109">
        <v>1</v>
      </c>
      <c r="I87" s="110">
        <v>3.26</v>
      </c>
      <c r="J87" s="9">
        <f>j_WEEKDAY(D87,2)</f>
        <v>2</v>
      </c>
      <c r="K87" s="21">
        <f t="shared" si="26"/>
        <v>0</v>
      </c>
      <c r="L87" s="8">
        <f t="shared" si="27"/>
        <v>0</v>
      </c>
      <c r="M87" s="111">
        <v>0</v>
      </c>
      <c r="N87" s="108">
        <v>0</v>
      </c>
      <c r="O87" s="10">
        <f t="shared" si="28"/>
        <v>0</v>
      </c>
      <c r="P87" s="10">
        <f>VALUE(J_normdate(J_ADDDAY($D87,$O87,1)))</f>
        <v>13980911</v>
      </c>
      <c r="Q87" s="9">
        <f t="shared" si="29"/>
        <v>0</v>
      </c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JA87" s="113"/>
      <c r="JB87" s="113"/>
      <c r="JC87" s="113"/>
      <c r="JD87" s="66"/>
    </row>
    <row r="88" spans="1:264" s="11" customFormat="1" ht="11.25" hidden="1">
      <c r="A88" s="30">
        <v>3.29</v>
      </c>
      <c r="B88" s="106"/>
      <c r="C88" s="107"/>
      <c r="D88" s="7" t="str">
        <f>IF(OR(j_WEEKDAY(J_ADDDAY(VLOOKUP(I88,A:F,6,FALSE),H88,1),0)=6,SUMIFS(Holieday[ok],Holieday[date],J_ADDDAY(VLOOKUP(I88,A:F,6,FALSE),H88,1)))=FALSE(),J_ADDDAY(VLOOKUP(I88,A:F,6,FALSE),H88,1),IF(OR(j_WEEKDAY(J_ADDDAY(VLOOKUP(I88,A:F,6,FALSE),H88+1,1),0)=6,SUMIFS(Holieday[ok],Holieday[date],J_ADDDAY(VLOOKUP(I88,A:F,6,FALSE),H88+1,1)))=FALSE(),J_ADDDAY(VLOOKUP(I88,A:F,6,FALSE),H88+1,1),IF(OR(j_WEEKDAY(J_ADDDAY(VLOOKUP(I88,A:F,6,FALSE),H88+2,1),0)=6,SUMIFS(Holieday[ok],Holieday[date],J_ADDDAY(VLOOKUP(I88,A:F,6,FALSE),H88+2,1)))=FALSE(),J_ADDDAY(VLOOKUP(I88,A:F,6,FALSE),H88+2,1),IF(OR(j_WEEKDAY(J_ADDDAY(VLOOKUP(I88,A:F,6,FALSE),H88+3,1),0)=6,SUMIFS(Holieday[ok],Holieday[date],J_ADDDAY(VLOOKUP(I88,A:F,6,FALSE),H88+3,1)))=FALSE(),J_ADDDAY(VLOOKUP(I88,A:F,6,FALSE),H88+3,1),IF(OR(j_WEEKDAY(J_ADDDAY(VLOOKUP(I88,A:F,6,FALSE),H88+4,1),0)=6,SUMIFS(Holieday[ok],Holieday[date],J_ADDDAY(VLOOKUP(I88,A:F,6,FALSE),H88+4,1)))=FALSE(),J_ADDDAY(VLOOKUP(I88,A:F,6,FALSE),H88+4,1),J_ADDDAY(VLOOKUP(I88,A:F,6,FALSE),H88+5,1))))))</f>
        <v>1398/09/19</v>
      </c>
      <c r="E88" s="1">
        <f t="shared" si="24"/>
        <v>13980919</v>
      </c>
      <c r="F88" s="12" t="str">
        <f>IF(N88=0,J_SUBDAY(D88,1,1),IF((N88-(NETWORKDAYS.INTL(J_GregorianDate(D88,1),J_GregorianDate(J_SUBDAY(J_ADDDAY(D88,N88,1),1,1),1),16,1)))+SUMIFS(Holieday[ok],Holieday[date],CONCATENATE("&gt;","=",D88),Holieday[date],CONCATENATE("&lt;","=",J_SUBDAY(J_ADDDAY(D88,N88,1),1,1)))-SUMIFS(Holieday[Friday],Holieday[date],CONCATENATE("&gt;","=",D88),Holieday[date],CONCATENATE("&lt;","=",J_SUBDAY(J_ADDDAY(D88,N88,1),1,1)))=0,J_SUBDAY(J_ADDDAY(D88,N88,1),1,1),IF((N88+1-(NETWORKDAYS.INTL(J_GregorianDate(D88,1),J_GregorianDate(J_SUBDAY(J_ADDDAY(D88,N88+1,1),1,1),1),16,1)))+SUMIFS(Holieday[ok],Holieday[date],CONCATENATE("&gt;","=",D88),Holieday[date],CONCATENATE("&lt;","=",J_SUBDAY(J_ADDDAY(D88,N88+1,1),1,1)))-SUMIFS(Holieday[Friday],Holieday[date],CONCATENATE("&gt;","=",D88),Holieday[date],CONCATENATE("&lt;","=",J_SUBDAY(J_ADDDAY(D88,N88+1,1),1,1)))=1,J_SUBDAY(J_ADDDAY(D88,N88+1,1),1,1),IF((N88+2-(NETWORKDAYS.INTL(J_GregorianDate(D88,1),J_GregorianDate(J_SUBDAY(J_ADDDAY(D88,N88+2,1),1,1),1),16,1)))+SUMIFS(Holieday[ok],Holieday[date],CONCATENATE("&gt;","=",D88),Holieday[date],CONCATENATE("&lt;","=",J_SUBDAY(J_ADDDAY(D88,N88+2,1),1,1)))-SUMIFS(Holieday[Friday],Holieday[date],CONCATENATE("&gt;","=",D88),Holieday[date],CONCATENATE("&lt;","=",J_SUBDAY(J_ADDDAY(D88,N88+2,1),1,1)))=2,J_SUBDAY(J_ADDDAY(D88,N88+2,1),1,1),IF((N88+3-(NETWORKDAYS.INTL(J_GregorianDate(D88,1),J_GregorianDate(J_SUBDAY(J_ADDDAY(D88,N88+3,1),1,1),1),16,1)))+SUMIFS(Holieday[ok],Holieday[date],CONCATENATE("&gt;","=",D88),Holieday[date],CONCATENATE("&lt;","=",J_SUBDAY(J_ADDDAY(D88,N88+3,1),1,1)))-SUMIFS(Holieday[Friday],Holieday[date],CONCATENATE("&gt;","=",D88),Holieday[date],CONCATENATE("&lt;","=",J_SUBDAY(J_ADDDAY(D88,N88+3,1),1,1)))=3,J_SUBDAY(J_ADDDAY(D88,N88+3,1),1,1),IF((N88+4-(NETWORKDAYS.INTL(J_GregorianDate(D88,1),J_GregorianDate(J_SUBDAY(J_ADDDAY(D88,N88+4,1),1,1),1),16,1)))+SUMIFS(Holieday[ok],Holieday[date],CONCATENATE("&gt;","=",D88),Holieday[date],CONCATENATE("&lt;","=",J_SUBDAY(J_ADDDAY(D88,N88+4,1),1,1)))-SUMIFS(Holieday[Friday],Holieday[date],CONCATENATE("&gt;","=",D88),Holieday[date],CONCATENATE("&lt;","=",J_SUBDAY(J_ADDDAY(D88,N88+4,1),1,1)))=4,J_SUBDAY(J_ADDDAY(D88,N88+4,1),1,1),IF((N88+5-(NETWORKDAYS.INTL(J_GregorianDate(D88,1),J_GregorianDate(J_SUBDAY(J_ADDDAY(D88,N88+5,1),1,1),1),16,1)))+SUMIFS(Holieday[ok],Holieday[date],CONCATENATE("&gt;","=",D88),Holieday[date],CONCATENATE("&lt;","=",J_SUBDAY(J_ADDDAY(D88,N88+5,1),1,1)))-SUMIFS(Holieday[Friday],Holieday[date],CONCATENATE("&gt;","=",D88),Holieday[date],CONCATENATE("&lt;","=",J_SUBDAY(J_ADDDAY(D88,N88+5,1),1,1)))=5,J_SUBDAY(J_ADDDAY(D88,N88+5,1),1,1),J_SUBDAY(J_ADDDAY(D88,N88+6,1),1,1))))))))</f>
        <v>1398/09/18</v>
      </c>
      <c r="G88" s="2">
        <f t="shared" si="25"/>
        <v>13980918</v>
      </c>
      <c r="H88" s="109">
        <v>1</v>
      </c>
      <c r="I88" s="110">
        <v>3.28</v>
      </c>
      <c r="J88" s="9">
        <f>j_WEEKDAY(D88,2)</f>
        <v>3</v>
      </c>
      <c r="K88" s="21">
        <f t="shared" si="26"/>
        <v>0</v>
      </c>
      <c r="L88" s="8">
        <f t="shared" si="27"/>
        <v>0</v>
      </c>
      <c r="M88" s="111">
        <v>0</v>
      </c>
      <c r="N88" s="108">
        <v>0</v>
      </c>
      <c r="O88" s="10">
        <f t="shared" si="28"/>
        <v>0</v>
      </c>
      <c r="P88" s="10">
        <f>VALUE(J_normdate(J_ADDDAY($D88,$O88,1)))</f>
        <v>13980919</v>
      </c>
      <c r="Q88" s="9">
        <f t="shared" si="29"/>
        <v>0</v>
      </c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JA88" s="113"/>
      <c r="JB88" s="113"/>
      <c r="JC88" s="113"/>
      <c r="JD88" s="66"/>
    </row>
    <row r="89" spans="1:264" s="11" customFormat="1" ht="11.25" hidden="1">
      <c r="A89" s="30">
        <v>3.31</v>
      </c>
      <c r="B89" s="106"/>
      <c r="C89" s="107"/>
      <c r="D89" s="7" t="str">
        <f>IF(OR(j_WEEKDAY(J_ADDDAY(VLOOKUP(I89,A:F,6,FALSE),H89,1),0)=6,SUMIFS(Holieday[ok],Holieday[date],J_ADDDAY(VLOOKUP(I89,A:F,6,FALSE),H89,1)))=FALSE(),J_ADDDAY(VLOOKUP(I89,A:F,6,FALSE),H89,1),IF(OR(j_WEEKDAY(J_ADDDAY(VLOOKUP(I89,A:F,6,FALSE),H89+1,1),0)=6,SUMIFS(Holieday[ok],Holieday[date],J_ADDDAY(VLOOKUP(I89,A:F,6,FALSE),H89+1,1)))=FALSE(),J_ADDDAY(VLOOKUP(I89,A:F,6,FALSE),H89+1,1),IF(OR(j_WEEKDAY(J_ADDDAY(VLOOKUP(I89,A:F,6,FALSE),H89+2,1),0)=6,SUMIFS(Holieday[ok],Holieday[date],J_ADDDAY(VLOOKUP(I89,A:F,6,FALSE),H89+2,1)))=FALSE(),J_ADDDAY(VLOOKUP(I89,A:F,6,FALSE),H89+2,1),IF(OR(j_WEEKDAY(J_ADDDAY(VLOOKUP(I89,A:F,6,FALSE),H89+3,1),0)=6,SUMIFS(Holieday[ok],Holieday[date],J_ADDDAY(VLOOKUP(I89,A:F,6,FALSE),H89+3,1)))=FALSE(),J_ADDDAY(VLOOKUP(I89,A:F,6,FALSE),H89+3,1),IF(OR(j_WEEKDAY(J_ADDDAY(VLOOKUP(I89,A:F,6,FALSE),H89+4,1),0)=6,SUMIFS(Holieday[ok],Holieday[date],J_ADDDAY(VLOOKUP(I89,A:F,6,FALSE),H89+4,1)))=FALSE(),J_ADDDAY(VLOOKUP(I89,A:F,6,FALSE),H89+4,1),J_ADDDAY(VLOOKUP(I89,A:F,6,FALSE),H89+5,1))))))</f>
        <v>1398/09/18</v>
      </c>
      <c r="E89" s="1">
        <f t="shared" si="24"/>
        <v>13980918</v>
      </c>
      <c r="F89" s="12" t="str">
        <f>IF(N89=0,J_SUBDAY(D89,1,1),IF((N89-(NETWORKDAYS.INTL(J_GregorianDate(D89,1),J_GregorianDate(J_SUBDAY(J_ADDDAY(D89,N89,1),1,1),1),16,1)))+SUMIFS(Holieday[ok],Holieday[date],CONCATENATE("&gt;","=",D89),Holieday[date],CONCATENATE("&lt;","=",J_SUBDAY(J_ADDDAY(D89,N89,1),1,1)))-SUMIFS(Holieday[Friday],Holieday[date],CONCATENATE("&gt;","=",D89),Holieday[date],CONCATENATE("&lt;","=",J_SUBDAY(J_ADDDAY(D89,N89,1),1,1)))=0,J_SUBDAY(J_ADDDAY(D89,N89,1),1,1),IF((N89+1-(NETWORKDAYS.INTL(J_GregorianDate(D89,1),J_GregorianDate(J_SUBDAY(J_ADDDAY(D89,N89+1,1),1,1),1),16,1)))+SUMIFS(Holieday[ok],Holieday[date],CONCATENATE("&gt;","=",D89),Holieday[date],CONCATENATE("&lt;","=",J_SUBDAY(J_ADDDAY(D89,N89+1,1),1,1)))-SUMIFS(Holieday[Friday],Holieday[date],CONCATENATE("&gt;","=",D89),Holieday[date],CONCATENATE("&lt;","=",J_SUBDAY(J_ADDDAY(D89,N89+1,1),1,1)))=1,J_SUBDAY(J_ADDDAY(D89,N89+1,1),1,1),IF((N89+2-(NETWORKDAYS.INTL(J_GregorianDate(D89,1),J_GregorianDate(J_SUBDAY(J_ADDDAY(D89,N89+2,1),1,1),1),16,1)))+SUMIFS(Holieday[ok],Holieday[date],CONCATENATE("&gt;","=",D89),Holieday[date],CONCATENATE("&lt;","=",J_SUBDAY(J_ADDDAY(D89,N89+2,1),1,1)))-SUMIFS(Holieday[Friday],Holieday[date],CONCATENATE("&gt;","=",D89),Holieday[date],CONCATENATE("&lt;","=",J_SUBDAY(J_ADDDAY(D89,N89+2,1),1,1)))=2,J_SUBDAY(J_ADDDAY(D89,N89+2,1),1,1),IF((N89+3-(NETWORKDAYS.INTL(J_GregorianDate(D89,1),J_GregorianDate(J_SUBDAY(J_ADDDAY(D89,N89+3,1),1,1),1),16,1)))+SUMIFS(Holieday[ok],Holieday[date],CONCATENATE("&gt;","=",D89),Holieday[date],CONCATENATE("&lt;","=",J_SUBDAY(J_ADDDAY(D89,N89+3,1),1,1)))-SUMIFS(Holieday[Friday],Holieday[date],CONCATENATE("&gt;","=",D89),Holieday[date],CONCATENATE("&lt;","=",J_SUBDAY(J_ADDDAY(D89,N89+3,1),1,1)))=3,J_SUBDAY(J_ADDDAY(D89,N89+3,1),1,1),IF((N89+4-(NETWORKDAYS.INTL(J_GregorianDate(D89,1),J_GregorianDate(J_SUBDAY(J_ADDDAY(D89,N89+4,1),1,1),1),16,1)))+SUMIFS(Holieday[ok],Holieday[date],CONCATENATE("&gt;","=",D89),Holieday[date],CONCATENATE("&lt;","=",J_SUBDAY(J_ADDDAY(D89,N89+4,1),1,1)))-SUMIFS(Holieday[Friday],Holieday[date],CONCATENATE("&gt;","=",D89),Holieday[date],CONCATENATE("&lt;","=",J_SUBDAY(J_ADDDAY(D89,N89+4,1),1,1)))=4,J_SUBDAY(J_ADDDAY(D89,N89+4,1),1,1),IF((N89+5-(NETWORKDAYS.INTL(J_GregorianDate(D89,1),J_GregorianDate(J_SUBDAY(J_ADDDAY(D89,N89+5,1),1,1),1),16,1)))+SUMIFS(Holieday[ok],Holieday[date],CONCATENATE("&gt;","=",D89),Holieday[date],CONCATENATE("&lt;","=",J_SUBDAY(J_ADDDAY(D89,N89+5,1),1,1)))-SUMIFS(Holieday[Friday],Holieday[date],CONCATENATE("&gt;","=",D89),Holieday[date],CONCATENATE("&lt;","=",J_SUBDAY(J_ADDDAY(D89,N89+5,1),1,1)))=5,J_SUBDAY(J_ADDDAY(D89,N89+5,1),1,1),J_SUBDAY(J_ADDDAY(D89,N89+6,1),1,1))))))))</f>
        <v>1398/09/17</v>
      </c>
      <c r="G89" s="2">
        <f t="shared" si="25"/>
        <v>13980917</v>
      </c>
      <c r="H89" s="109"/>
      <c r="I89" s="110">
        <v>3.28</v>
      </c>
      <c r="J89" s="9">
        <f>j_WEEKDAY(D89,2)</f>
        <v>2</v>
      </c>
      <c r="K89" s="21">
        <f t="shared" si="26"/>
        <v>0</v>
      </c>
      <c r="L89" s="8">
        <f t="shared" si="27"/>
        <v>0</v>
      </c>
      <c r="M89" s="111">
        <v>0</v>
      </c>
      <c r="N89" s="108">
        <v>0</v>
      </c>
      <c r="O89" s="10">
        <f t="shared" si="28"/>
        <v>0</v>
      </c>
      <c r="P89" s="10">
        <f>VALUE(J_normdate(J_ADDDAY($D89,$O89,1)))</f>
        <v>13980918</v>
      </c>
      <c r="Q89" s="9">
        <f t="shared" si="29"/>
        <v>0</v>
      </c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JA89" s="113"/>
      <c r="JB89" s="113"/>
      <c r="JC89" s="113"/>
      <c r="JD89" s="66"/>
    </row>
    <row r="90" spans="1:264" s="11" customFormat="1" ht="16.5" hidden="1" customHeight="1">
      <c r="A90" s="30">
        <v>3.32</v>
      </c>
      <c r="B90" s="106"/>
      <c r="C90" s="107"/>
      <c r="D90" s="7" t="str">
        <f>IF(OR(j_WEEKDAY(J_ADDDAY(VLOOKUP(I90,A:F,6,FALSE),H90,1),0)=6,SUMIFS(Holieday[ok],Holieday[date],J_ADDDAY(VLOOKUP(I90,A:F,6,FALSE),H90,1)))=FALSE(),J_ADDDAY(VLOOKUP(I90,A:F,6,FALSE),H90,1),IF(OR(j_WEEKDAY(J_ADDDAY(VLOOKUP(I90,A:F,6,FALSE),H90+1,1),0)=6,SUMIFS(Holieday[ok],Holieday[date],J_ADDDAY(VLOOKUP(I90,A:F,6,FALSE),H90+1,1)))=FALSE(),J_ADDDAY(VLOOKUP(I90,A:F,6,FALSE),H90+1,1),IF(OR(j_WEEKDAY(J_ADDDAY(VLOOKUP(I90,A:F,6,FALSE),H90+2,1),0)=6,SUMIFS(Holieday[ok],Holieday[date],J_ADDDAY(VLOOKUP(I90,A:F,6,FALSE),H90+2,1)))=FALSE(),J_ADDDAY(VLOOKUP(I90,A:F,6,FALSE),H90+2,1),IF(OR(j_WEEKDAY(J_ADDDAY(VLOOKUP(I90,A:F,6,FALSE),H90+3,1),0)=6,SUMIFS(Holieday[ok],Holieday[date],J_ADDDAY(VLOOKUP(I90,A:F,6,FALSE),H90+3,1)))=FALSE(),J_ADDDAY(VLOOKUP(I90,A:F,6,FALSE),H90+3,1),IF(OR(j_WEEKDAY(J_ADDDAY(VLOOKUP(I90,A:F,6,FALSE),H90+4,1),0)=6,SUMIFS(Holieday[ok],Holieday[date],J_ADDDAY(VLOOKUP(I90,A:F,6,FALSE),H90+4,1)))=FALSE(),J_ADDDAY(VLOOKUP(I90,A:F,6,FALSE),H90+4,1),J_ADDDAY(VLOOKUP(I90,A:F,6,FALSE),H90+5,1))))))</f>
        <v>1398/09/26</v>
      </c>
      <c r="E90" s="1">
        <f t="shared" si="24"/>
        <v>13980926</v>
      </c>
      <c r="F90" s="12" t="str">
        <f>IF(N90=0,J_SUBDAY(D90,1,1),IF((N90-(NETWORKDAYS.INTL(J_GregorianDate(D90,1),J_GregorianDate(J_SUBDAY(J_ADDDAY(D90,N90,1),1,1),1),16,1)))+SUMIFS(Holieday[ok],Holieday[date],CONCATENATE("&gt;","=",D90),Holieday[date],CONCATENATE("&lt;","=",J_SUBDAY(J_ADDDAY(D90,N90,1),1,1)))-SUMIFS(Holieday[Friday],Holieday[date],CONCATENATE("&gt;","=",D90),Holieday[date],CONCATENATE("&lt;","=",J_SUBDAY(J_ADDDAY(D90,N90,1),1,1)))=0,J_SUBDAY(J_ADDDAY(D90,N90,1),1,1),IF((N90+1-(NETWORKDAYS.INTL(J_GregorianDate(D90,1),J_GregorianDate(J_SUBDAY(J_ADDDAY(D90,N90+1,1),1,1),1),16,1)))+SUMIFS(Holieday[ok],Holieday[date],CONCATENATE("&gt;","=",D90),Holieday[date],CONCATENATE("&lt;","=",J_SUBDAY(J_ADDDAY(D90,N90+1,1),1,1)))-SUMIFS(Holieday[Friday],Holieday[date],CONCATENATE("&gt;","=",D90),Holieday[date],CONCATENATE("&lt;","=",J_SUBDAY(J_ADDDAY(D90,N90+1,1),1,1)))=1,J_SUBDAY(J_ADDDAY(D90,N90+1,1),1,1),IF((N90+2-(NETWORKDAYS.INTL(J_GregorianDate(D90,1),J_GregorianDate(J_SUBDAY(J_ADDDAY(D90,N90+2,1),1,1),1),16,1)))+SUMIFS(Holieday[ok],Holieday[date],CONCATENATE("&gt;","=",D90),Holieday[date],CONCATENATE("&lt;","=",J_SUBDAY(J_ADDDAY(D90,N90+2,1),1,1)))-SUMIFS(Holieday[Friday],Holieday[date],CONCATENATE("&gt;","=",D90),Holieday[date],CONCATENATE("&lt;","=",J_SUBDAY(J_ADDDAY(D90,N90+2,1),1,1)))=2,J_SUBDAY(J_ADDDAY(D90,N90+2,1),1,1),IF((N90+3-(NETWORKDAYS.INTL(J_GregorianDate(D90,1),J_GregorianDate(J_SUBDAY(J_ADDDAY(D90,N90+3,1),1,1),1),16,1)))+SUMIFS(Holieday[ok],Holieday[date],CONCATENATE("&gt;","=",D90),Holieday[date],CONCATENATE("&lt;","=",J_SUBDAY(J_ADDDAY(D90,N90+3,1),1,1)))-SUMIFS(Holieday[Friday],Holieday[date],CONCATENATE("&gt;","=",D90),Holieday[date],CONCATENATE("&lt;","=",J_SUBDAY(J_ADDDAY(D90,N90+3,1),1,1)))=3,J_SUBDAY(J_ADDDAY(D90,N90+3,1),1,1),IF((N90+4-(NETWORKDAYS.INTL(J_GregorianDate(D90,1),J_GregorianDate(J_SUBDAY(J_ADDDAY(D90,N90+4,1),1,1),1),16,1)))+SUMIFS(Holieday[ok],Holieday[date],CONCATENATE("&gt;","=",D90),Holieday[date],CONCATENATE("&lt;","=",J_SUBDAY(J_ADDDAY(D90,N90+4,1),1,1)))-SUMIFS(Holieday[Friday],Holieday[date],CONCATENATE("&gt;","=",D90),Holieday[date],CONCATENATE("&lt;","=",J_SUBDAY(J_ADDDAY(D90,N90+4,1),1,1)))=4,J_SUBDAY(J_ADDDAY(D90,N90+4,1),1,1),IF((N90+5-(NETWORKDAYS.INTL(J_GregorianDate(D90,1),J_GregorianDate(J_SUBDAY(J_ADDDAY(D90,N90+5,1),1,1),1),16,1)))+SUMIFS(Holieday[ok],Holieday[date],CONCATENATE("&gt;","=",D90),Holieday[date],CONCATENATE("&lt;","=",J_SUBDAY(J_ADDDAY(D90,N90+5,1),1,1)))-SUMIFS(Holieday[Friday],Holieday[date],CONCATENATE("&gt;","=",D90),Holieday[date],CONCATENATE("&lt;","=",J_SUBDAY(J_ADDDAY(D90,N90+5,1),1,1)))=5,J_SUBDAY(J_ADDDAY(D90,N90+5,1),1,1),J_SUBDAY(J_ADDDAY(D90,N90+6,1),1,1))))))))</f>
        <v>1398/09/25</v>
      </c>
      <c r="G90" s="2">
        <f t="shared" si="25"/>
        <v>13980925</v>
      </c>
      <c r="H90" s="109"/>
      <c r="I90" s="110">
        <v>3.31</v>
      </c>
      <c r="J90" s="9">
        <f>j_WEEKDAY(D90,2)</f>
        <v>3</v>
      </c>
      <c r="K90" s="21">
        <f t="shared" si="26"/>
        <v>0</v>
      </c>
      <c r="L90" s="8">
        <f t="shared" si="27"/>
        <v>0</v>
      </c>
      <c r="M90" s="111">
        <v>0</v>
      </c>
      <c r="N90" s="108">
        <v>0</v>
      </c>
      <c r="O90" s="10">
        <f t="shared" si="28"/>
        <v>0</v>
      </c>
      <c r="P90" s="10">
        <f>VALUE(J_normdate(J_ADDDAY($D90,$O90,1)))</f>
        <v>13980926</v>
      </c>
      <c r="Q90" s="9">
        <f t="shared" si="29"/>
        <v>0</v>
      </c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JA90" s="113"/>
      <c r="JB90" s="113"/>
      <c r="JC90" s="113"/>
      <c r="JD90" s="66"/>
    </row>
    <row r="91" spans="1:264" s="11" customFormat="1" ht="11.25" hidden="1">
      <c r="A91" s="30">
        <v>3.33</v>
      </c>
      <c r="B91" s="106"/>
      <c r="C91" s="107"/>
      <c r="D91" s="7" t="str">
        <f>IF(OR(j_WEEKDAY(J_ADDDAY(VLOOKUP(I91,A:F,6,FALSE),H91,1),0)=6,SUMIFS(Holieday[ok],Holieday[date],J_ADDDAY(VLOOKUP(I91,A:F,6,FALSE),H91,1)))=FALSE(),J_ADDDAY(VLOOKUP(I91,A:F,6,FALSE),H91,1),IF(OR(j_WEEKDAY(J_ADDDAY(VLOOKUP(I91,A:F,6,FALSE),H91+1,1),0)=6,SUMIFS(Holieday[ok],Holieday[date],J_ADDDAY(VLOOKUP(I91,A:F,6,FALSE),H91+1,1)))=FALSE(),J_ADDDAY(VLOOKUP(I91,A:F,6,FALSE),H91+1,1),IF(OR(j_WEEKDAY(J_ADDDAY(VLOOKUP(I91,A:F,6,FALSE),H91+2,1),0)=6,SUMIFS(Holieday[ok],Holieday[date],J_ADDDAY(VLOOKUP(I91,A:F,6,FALSE),H91+2,1)))=FALSE(),J_ADDDAY(VLOOKUP(I91,A:F,6,FALSE),H91+2,1),IF(OR(j_WEEKDAY(J_ADDDAY(VLOOKUP(I91,A:F,6,FALSE),H91+3,1),0)=6,SUMIFS(Holieday[ok],Holieday[date],J_ADDDAY(VLOOKUP(I91,A:F,6,FALSE),H91+3,1)))=FALSE(),J_ADDDAY(VLOOKUP(I91,A:F,6,FALSE),H91+3,1),IF(OR(j_WEEKDAY(J_ADDDAY(VLOOKUP(I91,A:F,6,FALSE),H91+4,1),0)=6,SUMIFS(Holieday[ok],Holieday[date],J_ADDDAY(VLOOKUP(I91,A:F,6,FALSE),H91+4,1)))=FALSE(),J_ADDDAY(VLOOKUP(I91,A:F,6,FALSE),H91+4,1),J_ADDDAY(VLOOKUP(I91,A:F,6,FALSE),H91+5,1))))))</f>
        <v>1398/09/26</v>
      </c>
      <c r="E91" s="1">
        <f t="shared" si="24"/>
        <v>13980926</v>
      </c>
      <c r="F91" s="12" t="str">
        <f>IF(N91=0,J_SUBDAY(D91,1,1),IF((N91-(NETWORKDAYS.INTL(J_GregorianDate(D91,1),J_GregorianDate(J_SUBDAY(J_ADDDAY(D91,N91,1),1,1),1),16,1)))+SUMIFS(Holieday[ok],Holieday[date],CONCATENATE("&gt;","=",D91),Holieday[date],CONCATENATE("&lt;","=",J_SUBDAY(J_ADDDAY(D91,N91,1),1,1)))-SUMIFS(Holieday[Friday],Holieday[date],CONCATENATE("&gt;","=",D91),Holieday[date],CONCATENATE("&lt;","=",J_SUBDAY(J_ADDDAY(D91,N91,1),1,1)))=0,J_SUBDAY(J_ADDDAY(D91,N91,1),1,1),IF((N91+1-(NETWORKDAYS.INTL(J_GregorianDate(D91,1),J_GregorianDate(J_SUBDAY(J_ADDDAY(D91,N91+1,1),1,1),1),16,1)))+SUMIFS(Holieday[ok],Holieday[date],CONCATENATE("&gt;","=",D91),Holieday[date],CONCATENATE("&lt;","=",J_SUBDAY(J_ADDDAY(D91,N91+1,1),1,1)))-SUMIFS(Holieday[Friday],Holieday[date],CONCATENATE("&gt;","=",D91),Holieday[date],CONCATENATE("&lt;","=",J_SUBDAY(J_ADDDAY(D91,N91+1,1),1,1)))=1,J_SUBDAY(J_ADDDAY(D91,N91+1,1),1,1),IF((N91+2-(NETWORKDAYS.INTL(J_GregorianDate(D91,1),J_GregorianDate(J_SUBDAY(J_ADDDAY(D91,N91+2,1),1,1),1),16,1)))+SUMIFS(Holieday[ok],Holieday[date],CONCATENATE("&gt;","=",D91),Holieday[date],CONCATENATE("&lt;","=",J_SUBDAY(J_ADDDAY(D91,N91+2,1),1,1)))-SUMIFS(Holieday[Friday],Holieday[date],CONCATENATE("&gt;","=",D91),Holieday[date],CONCATENATE("&lt;","=",J_SUBDAY(J_ADDDAY(D91,N91+2,1),1,1)))=2,J_SUBDAY(J_ADDDAY(D91,N91+2,1),1,1),IF((N91+3-(NETWORKDAYS.INTL(J_GregorianDate(D91,1),J_GregorianDate(J_SUBDAY(J_ADDDAY(D91,N91+3,1),1,1),1),16,1)))+SUMIFS(Holieday[ok],Holieday[date],CONCATENATE("&gt;","=",D91),Holieday[date],CONCATENATE("&lt;","=",J_SUBDAY(J_ADDDAY(D91,N91+3,1),1,1)))-SUMIFS(Holieday[Friday],Holieday[date],CONCATENATE("&gt;","=",D91),Holieday[date],CONCATENATE("&lt;","=",J_SUBDAY(J_ADDDAY(D91,N91+3,1),1,1)))=3,J_SUBDAY(J_ADDDAY(D91,N91+3,1),1,1),IF((N91+4-(NETWORKDAYS.INTL(J_GregorianDate(D91,1),J_GregorianDate(J_SUBDAY(J_ADDDAY(D91,N91+4,1),1,1),1),16,1)))+SUMIFS(Holieday[ok],Holieday[date],CONCATENATE("&gt;","=",D91),Holieday[date],CONCATENATE("&lt;","=",J_SUBDAY(J_ADDDAY(D91,N91+4,1),1,1)))-SUMIFS(Holieday[Friday],Holieday[date],CONCATENATE("&gt;","=",D91),Holieday[date],CONCATENATE("&lt;","=",J_SUBDAY(J_ADDDAY(D91,N91+4,1),1,1)))=4,J_SUBDAY(J_ADDDAY(D91,N91+4,1),1,1),IF((N91+5-(NETWORKDAYS.INTL(J_GregorianDate(D91,1),J_GregorianDate(J_SUBDAY(J_ADDDAY(D91,N91+5,1),1,1),1),16,1)))+SUMIFS(Holieday[ok],Holieday[date],CONCATENATE("&gt;","=",D91),Holieday[date],CONCATENATE("&lt;","=",J_SUBDAY(J_ADDDAY(D91,N91+5,1),1,1)))-SUMIFS(Holieday[Friday],Holieday[date],CONCATENATE("&gt;","=",D91),Holieday[date],CONCATENATE("&lt;","=",J_SUBDAY(J_ADDDAY(D91,N91+5,1),1,1)))=5,J_SUBDAY(J_ADDDAY(D91,N91+5,1),1,1),J_SUBDAY(J_ADDDAY(D91,N91+6,1),1,1))))))))</f>
        <v>1398/09/25</v>
      </c>
      <c r="G91" s="2">
        <f t="shared" si="25"/>
        <v>13980925</v>
      </c>
      <c r="H91" s="109"/>
      <c r="I91" s="110">
        <v>3.31</v>
      </c>
      <c r="J91" s="9">
        <f>j_WEEKDAY(D91,2)</f>
        <v>3</v>
      </c>
      <c r="K91" s="21">
        <f t="shared" si="26"/>
        <v>0</v>
      </c>
      <c r="L91" s="8">
        <f t="shared" si="27"/>
        <v>0</v>
      </c>
      <c r="M91" s="111">
        <v>0</v>
      </c>
      <c r="N91" s="108">
        <v>0</v>
      </c>
      <c r="O91" s="10">
        <f t="shared" si="28"/>
        <v>0</v>
      </c>
      <c r="P91" s="10">
        <f>VALUE(J_normdate(J_ADDDAY($D91,$O91,1)))</f>
        <v>13980926</v>
      </c>
      <c r="Q91" s="9">
        <f t="shared" si="29"/>
        <v>0</v>
      </c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JA91" s="113"/>
      <c r="JB91" s="113"/>
      <c r="JC91" s="113"/>
      <c r="JD91" s="66"/>
    </row>
    <row r="92" spans="1:264" s="11" customFormat="1" ht="11.25" hidden="1">
      <c r="A92" s="30">
        <v>3.34</v>
      </c>
      <c r="B92" s="106"/>
      <c r="C92" s="107"/>
      <c r="D92" s="7" t="str">
        <f>IF(OR(j_WEEKDAY(J_ADDDAY(VLOOKUP(I92,A:F,6,FALSE),H92,1),0)=6,SUMIFS(Holieday[ok],Holieday[date],J_ADDDAY(VLOOKUP(I92,A:F,6,FALSE),H92,1)))=FALSE(),J_ADDDAY(VLOOKUP(I92,A:F,6,FALSE),H92,1),IF(OR(j_WEEKDAY(J_ADDDAY(VLOOKUP(I92,A:F,6,FALSE),H92+1,1),0)=6,SUMIFS(Holieday[ok],Holieday[date],J_ADDDAY(VLOOKUP(I92,A:F,6,FALSE),H92+1,1)))=FALSE(),J_ADDDAY(VLOOKUP(I92,A:F,6,FALSE),H92+1,1),IF(OR(j_WEEKDAY(J_ADDDAY(VLOOKUP(I92,A:F,6,FALSE),H92+2,1),0)=6,SUMIFS(Holieday[ok],Holieday[date],J_ADDDAY(VLOOKUP(I92,A:F,6,FALSE),H92+2,1)))=FALSE(),J_ADDDAY(VLOOKUP(I92,A:F,6,FALSE),H92+2,1),IF(OR(j_WEEKDAY(J_ADDDAY(VLOOKUP(I92,A:F,6,FALSE),H92+3,1),0)=6,SUMIFS(Holieday[ok],Holieday[date],J_ADDDAY(VLOOKUP(I92,A:F,6,FALSE),H92+3,1)))=FALSE(),J_ADDDAY(VLOOKUP(I92,A:F,6,FALSE),H92+3,1),IF(OR(j_WEEKDAY(J_ADDDAY(VLOOKUP(I92,A:F,6,FALSE),H92+4,1),0)=6,SUMIFS(Holieday[ok],Holieday[date],J_ADDDAY(VLOOKUP(I92,A:F,6,FALSE),H92+4,1)))=FALSE(),J_ADDDAY(VLOOKUP(I92,A:F,6,FALSE),H92+4,1),J_ADDDAY(VLOOKUP(I92,A:F,6,FALSE),H92+5,1))))))</f>
        <v>1398/09/25</v>
      </c>
      <c r="E92" s="1">
        <f t="shared" si="24"/>
        <v>13980925</v>
      </c>
      <c r="F92" s="12" t="str">
        <f>IF(N92=0,J_SUBDAY(D92,1,1),IF((N92-(NETWORKDAYS.INTL(J_GregorianDate(D92,1),J_GregorianDate(J_SUBDAY(J_ADDDAY(D92,N92,1),1,1),1),16,1)))+SUMIFS(Holieday[ok],Holieday[date],CONCATENATE("&gt;","=",D92),Holieday[date],CONCATENATE("&lt;","=",J_SUBDAY(J_ADDDAY(D92,N92,1),1,1)))-SUMIFS(Holieday[Friday],Holieday[date],CONCATENATE("&gt;","=",D92),Holieday[date],CONCATENATE("&lt;","=",J_SUBDAY(J_ADDDAY(D92,N92,1),1,1)))=0,J_SUBDAY(J_ADDDAY(D92,N92,1),1,1),IF((N92+1-(NETWORKDAYS.INTL(J_GregorianDate(D92,1),J_GregorianDate(J_SUBDAY(J_ADDDAY(D92,N92+1,1),1,1),1),16,1)))+SUMIFS(Holieday[ok],Holieday[date],CONCATENATE("&gt;","=",D92),Holieday[date],CONCATENATE("&lt;","=",J_SUBDAY(J_ADDDAY(D92,N92+1,1),1,1)))-SUMIFS(Holieday[Friday],Holieday[date],CONCATENATE("&gt;","=",D92),Holieday[date],CONCATENATE("&lt;","=",J_SUBDAY(J_ADDDAY(D92,N92+1,1),1,1)))=1,J_SUBDAY(J_ADDDAY(D92,N92+1,1),1,1),IF((N92+2-(NETWORKDAYS.INTL(J_GregorianDate(D92,1),J_GregorianDate(J_SUBDAY(J_ADDDAY(D92,N92+2,1),1,1),1),16,1)))+SUMIFS(Holieday[ok],Holieday[date],CONCATENATE("&gt;","=",D92),Holieday[date],CONCATENATE("&lt;","=",J_SUBDAY(J_ADDDAY(D92,N92+2,1),1,1)))-SUMIFS(Holieday[Friday],Holieday[date],CONCATENATE("&gt;","=",D92),Holieday[date],CONCATENATE("&lt;","=",J_SUBDAY(J_ADDDAY(D92,N92+2,1),1,1)))=2,J_SUBDAY(J_ADDDAY(D92,N92+2,1),1,1),IF((N92+3-(NETWORKDAYS.INTL(J_GregorianDate(D92,1),J_GregorianDate(J_SUBDAY(J_ADDDAY(D92,N92+3,1),1,1),1),16,1)))+SUMIFS(Holieday[ok],Holieday[date],CONCATENATE("&gt;","=",D92),Holieday[date],CONCATENATE("&lt;","=",J_SUBDAY(J_ADDDAY(D92,N92+3,1),1,1)))-SUMIFS(Holieday[Friday],Holieday[date],CONCATENATE("&gt;","=",D92),Holieday[date],CONCATENATE("&lt;","=",J_SUBDAY(J_ADDDAY(D92,N92+3,1),1,1)))=3,J_SUBDAY(J_ADDDAY(D92,N92+3,1),1,1),IF((N92+4-(NETWORKDAYS.INTL(J_GregorianDate(D92,1),J_GregorianDate(J_SUBDAY(J_ADDDAY(D92,N92+4,1),1,1),1),16,1)))+SUMIFS(Holieday[ok],Holieday[date],CONCATENATE("&gt;","=",D92),Holieday[date],CONCATENATE("&lt;","=",J_SUBDAY(J_ADDDAY(D92,N92+4,1),1,1)))-SUMIFS(Holieday[Friday],Holieday[date],CONCATENATE("&gt;","=",D92),Holieday[date],CONCATENATE("&lt;","=",J_SUBDAY(J_ADDDAY(D92,N92+4,1),1,1)))=4,J_SUBDAY(J_ADDDAY(D92,N92+4,1),1,1),IF((N92+5-(NETWORKDAYS.INTL(J_GregorianDate(D92,1),J_GregorianDate(J_SUBDAY(J_ADDDAY(D92,N92+5,1),1,1),1),16,1)))+SUMIFS(Holieday[ok],Holieday[date],CONCATENATE("&gt;","=",D92),Holieday[date],CONCATENATE("&lt;","=",J_SUBDAY(J_ADDDAY(D92,N92+5,1),1,1)))-SUMIFS(Holieday[Friday],Holieday[date],CONCATENATE("&gt;","=",D92),Holieday[date],CONCATENATE("&lt;","=",J_SUBDAY(J_ADDDAY(D92,N92+5,1),1,1)))=5,J_SUBDAY(J_ADDDAY(D92,N92+5,1),1,1),J_SUBDAY(J_ADDDAY(D92,N92+6,1),1,1))))))))</f>
        <v>1398/09/24</v>
      </c>
      <c r="G92" s="2">
        <f t="shared" si="25"/>
        <v>13980924</v>
      </c>
      <c r="H92" s="109"/>
      <c r="I92" s="110">
        <v>3.33</v>
      </c>
      <c r="J92" s="9">
        <f>j_WEEKDAY(D92,2)</f>
        <v>2</v>
      </c>
      <c r="K92" s="21">
        <f t="shared" si="26"/>
        <v>0</v>
      </c>
      <c r="L92" s="8">
        <f t="shared" si="27"/>
        <v>0</v>
      </c>
      <c r="M92" s="111">
        <v>0</v>
      </c>
      <c r="N92" s="108">
        <v>0</v>
      </c>
      <c r="O92" s="10">
        <f t="shared" si="28"/>
        <v>0</v>
      </c>
      <c r="P92" s="10">
        <f>VALUE(J_normdate(J_ADDDAY($D92,$O92,1)))</f>
        <v>13980925</v>
      </c>
      <c r="Q92" s="9">
        <f t="shared" si="29"/>
        <v>0</v>
      </c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JA92" s="113"/>
      <c r="JB92" s="113"/>
      <c r="JC92" s="113"/>
      <c r="JD92" s="66"/>
    </row>
    <row r="93" spans="1:264" s="11" customFormat="1" ht="11.25" hidden="1">
      <c r="A93" s="30">
        <v>3.35</v>
      </c>
      <c r="B93" s="106"/>
      <c r="C93" s="107"/>
      <c r="D93" s="7" t="str">
        <f>IF(OR(j_WEEKDAY(J_ADDDAY(VLOOKUP(I93,A:F,6,FALSE),H93,1),0)=6,SUMIFS(Holieday[ok],Holieday[date],J_ADDDAY(VLOOKUP(I93,A:F,6,FALSE),H93,1)))=FALSE(),J_ADDDAY(VLOOKUP(I93,A:F,6,FALSE),H93,1),IF(OR(j_WEEKDAY(J_ADDDAY(VLOOKUP(I93,A:F,6,FALSE),H93+1,1),0)=6,SUMIFS(Holieday[ok],Holieday[date],J_ADDDAY(VLOOKUP(I93,A:F,6,FALSE),H93+1,1)))=FALSE(),J_ADDDAY(VLOOKUP(I93,A:F,6,FALSE),H93+1,1),IF(OR(j_WEEKDAY(J_ADDDAY(VLOOKUP(I93,A:F,6,FALSE),H93+2,1),0)=6,SUMIFS(Holieday[ok],Holieday[date],J_ADDDAY(VLOOKUP(I93,A:F,6,FALSE),H93+2,1)))=FALSE(),J_ADDDAY(VLOOKUP(I93,A:F,6,FALSE),H93+2,1),IF(OR(j_WEEKDAY(J_ADDDAY(VLOOKUP(I93,A:F,6,FALSE),H93+3,1),0)=6,SUMIFS(Holieday[ok],Holieday[date],J_ADDDAY(VLOOKUP(I93,A:F,6,FALSE),H93+3,1)))=FALSE(),J_ADDDAY(VLOOKUP(I93,A:F,6,FALSE),H93+3,1),IF(OR(j_WEEKDAY(J_ADDDAY(VLOOKUP(I93,A:F,6,FALSE),H93+4,1),0)=6,SUMIFS(Holieday[ok],Holieday[date],J_ADDDAY(VLOOKUP(I93,A:F,6,FALSE),H93+4,1)))=FALSE(),J_ADDDAY(VLOOKUP(I93,A:F,6,FALSE),H93+4,1),J_ADDDAY(VLOOKUP(I93,A:F,6,FALSE),H93+5,1))))))</f>
        <v>1398/09/25</v>
      </c>
      <c r="E93" s="1">
        <f t="shared" si="24"/>
        <v>13980925</v>
      </c>
      <c r="F93" s="12" t="str">
        <f>IF(N93=0,J_SUBDAY(D93,1,1),IF((N93-(NETWORKDAYS.INTL(J_GregorianDate(D93,1),J_GregorianDate(J_SUBDAY(J_ADDDAY(D93,N93,1),1,1),1),16,1)))+SUMIFS(Holieday[ok],Holieday[date],CONCATENATE("&gt;","=",D93),Holieday[date],CONCATENATE("&lt;","=",J_SUBDAY(J_ADDDAY(D93,N93,1),1,1)))-SUMIFS(Holieday[Friday],Holieday[date],CONCATENATE("&gt;","=",D93),Holieday[date],CONCATENATE("&lt;","=",J_SUBDAY(J_ADDDAY(D93,N93,1),1,1)))=0,J_SUBDAY(J_ADDDAY(D93,N93,1),1,1),IF((N93+1-(NETWORKDAYS.INTL(J_GregorianDate(D93,1),J_GregorianDate(J_SUBDAY(J_ADDDAY(D93,N93+1,1),1,1),1),16,1)))+SUMIFS(Holieday[ok],Holieday[date],CONCATENATE("&gt;","=",D93),Holieday[date],CONCATENATE("&lt;","=",J_SUBDAY(J_ADDDAY(D93,N93+1,1),1,1)))-SUMIFS(Holieday[Friday],Holieday[date],CONCATENATE("&gt;","=",D93),Holieday[date],CONCATENATE("&lt;","=",J_SUBDAY(J_ADDDAY(D93,N93+1,1),1,1)))=1,J_SUBDAY(J_ADDDAY(D93,N93+1,1),1,1),IF((N93+2-(NETWORKDAYS.INTL(J_GregorianDate(D93,1),J_GregorianDate(J_SUBDAY(J_ADDDAY(D93,N93+2,1),1,1),1),16,1)))+SUMIFS(Holieday[ok],Holieday[date],CONCATENATE("&gt;","=",D93),Holieday[date],CONCATENATE("&lt;","=",J_SUBDAY(J_ADDDAY(D93,N93+2,1),1,1)))-SUMIFS(Holieday[Friday],Holieday[date],CONCATENATE("&gt;","=",D93),Holieday[date],CONCATENATE("&lt;","=",J_SUBDAY(J_ADDDAY(D93,N93+2,1),1,1)))=2,J_SUBDAY(J_ADDDAY(D93,N93+2,1),1,1),IF((N93+3-(NETWORKDAYS.INTL(J_GregorianDate(D93,1),J_GregorianDate(J_SUBDAY(J_ADDDAY(D93,N93+3,1),1,1),1),16,1)))+SUMIFS(Holieday[ok],Holieday[date],CONCATENATE("&gt;","=",D93),Holieday[date],CONCATENATE("&lt;","=",J_SUBDAY(J_ADDDAY(D93,N93+3,1),1,1)))-SUMIFS(Holieday[Friday],Holieday[date],CONCATENATE("&gt;","=",D93),Holieday[date],CONCATENATE("&lt;","=",J_SUBDAY(J_ADDDAY(D93,N93+3,1),1,1)))=3,J_SUBDAY(J_ADDDAY(D93,N93+3,1),1,1),IF((N93+4-(NETWORKDAYS.INTL(J_GregorianDate(D93,1),J_GregorianDate(J_SUBDAY(J_ADDDAY(D93,N93+4,1),1,1),1),16,1)))+SUMIFS(Holieday[ok],Holieday[date],CONCATENATE("&gt;","=",D93),Holieday[date],CONCATENATE("&lt;","=",J_SUBDAY(J_ADDDAY(D93,N93+4,1),1,1)))-SUMIFS(Holieday[Friday],Holieday[date],CONCATENATE("&gt;","=",D93),Holieday[date],CONCATENATE("&lt;","=",J_SUBDAY(J_ADDDAY(D93,N93+4,1),1,1)))=4,J_SUBDAY(J_ADDDAY(D93,N93+4,1),1,1),IF((N93+5-(NETWORKDAYS.INTL(J_GregorianDate(D93,1),J_GregorianDate(J_SUBDAY(J_ADDDAY(D93,N93+5,1),1,1),1),16,1)))+SUMIFS(Holieday[ok],Holieday[date],CONCATENATE("&gt;","=",D93),Holieday[date],CONCATENATE("&lt;","=",J_SUBDAY(J_ADDDAY(D93,N93+5,1),1,1)))-SUMIFS(Holieday[Friday],Holieday[date],CONCATENATE("&gt;","=",D93),Holieday[date],CONCATENATE("&lt;","=",J_SUBDAY(J_ADDDAY(D93,N93+5,1),1,1)))=5,J_SUBDAY(J_ADDDAY(D93,N93+5,1),1,1),J_SUBDAY(J_ADDDAY(D93,N93+6,1),1,1))))))))</f>
        <v>1398/09/24</v>
      </c>
      <c r="G93" s="2">
        <f t="shared" si="25"/>
        <v>13980924</v>
      </c>
      <c r="H93" s="109"/>
      <c r="I93" s="110">
        <v>3.33</v>
      </c>
      <c r="J93" s="9">
        <f>j_WEEKDAY(D93,2)</f>
        <v>2</v>
      </c>
      <c r="K93" s="21">
        <f t="shared" si="26"/>
        <v>0</v>
      </c>
      <c r="L93" s="8">
        <f t="shared" si="27"/>
        <v>0</v>
      </c>
      <c r="M93" s="111">
        <v>0</v>
      </c>
      <c r="N93" s="108">
        <v>0</v>
      </c>
      <c r="O93" s="10">
        <f t="shared" si="28"/>
        <v>0</v>
      </c>
      <c r="P93" s="10">
        <f>VALUE(J_normdate(J_ADDDAY($D93,$O93,1)))</f>
        <v>13980925</v>
      </c>
      <c r="Q93" s="9">
        <f t="shared" si="29"/>
        <v>0</v>
      </c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JA93" s="113"/>
      <c r="JB93" s="113"/>
      <c r="JC93" s="113"/>
      <c r="JD93" s="66"/>
    </row>
    <row r="94" spans="1:264" s="11" customFormat="1" ht="11.25" hidden="1">
      <c r="A94" s="30">
        <v>3.36</v>
      </c>
      <c r="B94" s="106"/>
      <c r="C94" s="107"/>
      <c r="D94" s="7" t="str">
        <f>IF(OR(j_WEEKDAY(J_ADDDAY(VLOOKUP(I94,A:F,6,FALSE),H94,1),0)=6,SUMIFS(Holieday[ok],Holieday[date],J_ADDDAY(VLOOKUP(I94,A:F,6,FALSE),H94,1)))=FALSE(),J_ADDDAY(VLOOKUP(I94,A:F,6,FALSE),H94,1),IF(OR(j_WEEKDAY(J_ADDDAY(VLOOKUP(I94,A:F,6,FALSE),H94+1,1),0)=6,SUMIFS(Holieday[ok],Holieday[date],J_ADDDAY(VLOOKUP(I94,A:F,6,FALSE),H94+1,1)))=FALSE(),J_ADDDAY(VLOOKUP(I94,A:F,6,FALSE),H94+1,1),IF(OR(j_WEEKDAY(J_ADDDAY(VLOOKUP(I94,A:F,6,FALSE),H94+2,1),0)=6,SUMIFS(Holieday[ok],Holieday[date],J_ADDDAY(VLOOKUP(I94,A:F,6,FALSE),H94+2,1)))=FALSE(),J_ADDDAY(VLOOKUP(I94,A:F,6,FALSE),H94+2,1),IF(OR(j_WEEKDAY(J_ADDDAY(VLOOKUP(I94,A:F,6,FALSE),H94+3,1),0)=6,SUMIFS(Holieday[ok],Holieday[date],J_ADDDAY(VLOOKUP(I94,A:F,6,FALSE),H94+3,1)))=FALSE(),J_ADDDAY(VLOOKUP(I94,A:F,6,FALSE),H94+3,1),IF(OR(j_WEEKDAY(J_ADDDAY(VLOOKUP(I94,A:F,6,FALSE),H94+4,1),0)=6,SUMIFS(Holieday[ok],Holieday[date],J_ADDDAY(VLOOKUP(I94,A:F,6,FALSE),H94+4,1)))=FALSE(),J_ADDDAY(VLOOKUP(I94,A:F,6,FALSE),H94+4,1),J_ADDDAY(VLOOKUP(I94,A:F,6,FALSE),H94+5,1))))))</f>
        <v>1398/09/24</v>
      </c>
      <c r="E94" s="1">
        <f t="shared" si="24"/>
        <v>13980924</v>
      </c>
      <c r="F94" s="12" t="str">
        <f>IF(N94=0,J_SUBDAY(D94,1,1),IF((N94-(NETWORKDAYS.INTL(J_GregorianDate(D94,1),J_GregorianDate(J_SUBDAY(J_ADDDAY(D94,N94,1),1,1),1),16,1)))+SUMIFS(Holieday[ok],Holieday[date],CONCATENATE("&gt;","=",D94),Holieday[date],CONCATENATE("&lt;","=",J_SUBDAY(J_ADDDAY(D94,N94,1),1,1)))-SUMIFS(Holieday[Friday],Holieday[date],CONCATENATE("&gt;","=",D94),Holieday[date],CONCATENATE("&lt;","=",J_SUBDAY(J_ADDDAY(D94,N94,1),1,1)))=0,J_SUBDAY(J_ADDDAY(D94,N94,1),1,1),IF((N94+1-(NETWORKDAYS.INTL(J_GregorianDate(D94,1),J_GregorianDate(J_SUBDAY(J_ADDDAY(D94,N94+1,1),1,1),1),16,1)))+SUMIFS(Holieday[ok],Holieday[date],CONCATENATE("&gt;","=",D94),Holieday[date],CONCATENATE("&lt;","=",J_SUBDAY(J_ADDDAY(D94,N94+1,1),1,1)))-SUMIFS(Holieday[Friday],Holieday[date],CONCATENATE("&gt;","=",D94),Holieday[date],CONCATENATE("&lt;","=",J_SUBDAY(J_ADDDAY(D94,N94+1,1),1,1)))=1,J_SUBDAY(J_ADDDAY(D94,N94+1,1),1,1),IF((N94+2-(NETWORKDAYS.INTL(J_GregorianDate(D94,1),J_GregorianDate(J_SUBDAY(J_ADDDAY(D94,N94+2,1),1,1),1),16,1)))+SUMIFS(Holieday[ok],Holieday[date],CONCATENATE("&gt;","=",D94),Holieday[date],CONCATENATE("&lt;","=",J_SUBDAY(J_ADDDAY(D94,N94+2,1),1,1)))-SUMIFS(Holieday[Friday],Holieday[date],CONCATENATE("&gt;","=",D94),Holieday[date],CONCATENATE("&lt;","=",J_SUBDAY(J_ADDDAY(D94,N94+2,1),1,1)))=2,J_SUBDAY(J_ADDDAY(D94,N94+2,1),1,1),IF((N94+3-(NETWORKDAYS.INTL(J_GregorianDate(D94,1),J_GregorianDate(J_SUBDAY(J_ADDDAY(D94,N94+3,1),1,1),1),16,1)))+SUMIFS(Holieday[ok],Holieday[date],CONCATENATE("&gt;","=",D94),Holieday[date],CONCATENATE("&lt;","=",J_SUBDAY(J_ADDDAY(D94,N94+3,1),1,1)))-SUMIFS(Holieday[Friday],Holieday[date],CONCATENATE("&gt;","=",D94),Holieday[date],CONCATENATE("&lt;","=",J_SUBDAY(J_ADDDAY(D94,N94+3,1),1,1)))=3,J_SUBDAY(J_ADDDAY(D94,N94+3,1),1,1),IF((N94+4-(NETWORKDAYS.INTL(J_GregorianDate(D94,1),J_GregorianDate(J_SUBDAY(J_ADDDAY(D94,N94+4,1),1,1),1),16,1)))+SUMIFS(Holieday[ok],Holieday[date],CONCATENATE("&gt;","=",D94),Holieday[date],CONCATENATE("&lt;","=",J_SUBDAY(J_ADDDAY(D94,N94+4,1),1,1)))-SUMIFS(Holieday[Friday],Holieday[date],CONCATENATE("&gt;","=",D94),Holieday[date],CONCATENATE("&lt;","=",J_SUBDAY(J_ADDDAY(D94,N94+4,1),1,1)))=4,J_SUBDAY(J_ADDDAY(D94,N94+4,1),1,1),IF((N94+5-(NETWORKDAYS.INTL(J_GregorianDate(D94,1),J_GregorianDate(J_SUBDAY(J_ADDDAY(D94,N94+5,1),1,1),1),16,1)))+SUMIFS(Holieday[ok],Holieday[date],CONCATENATE("&gt;","=",D94),Holieday[date],CONCATENATE("&lt;","=",J_SUBDAY(J_ADDDAY(D94,N94+5,1),1,1)))-SUMIFS(Holieday[Friday],Holieday[date],CONCATENATE("&gt;","=",D94),Holieday[date],CONCATENATE("&lt;","=",J_SUBDAY(J_ADDDAY(D94,N94+5,1),1,1)))=5,J_SUBDAY(J_ADDDAY(D94,N94+5,1),1,1),J_SUBDAY(J_ADDDAY(D94,N94+6,1),1,1))))))))</f>
        <v>1398/09/23</v>
      </c>
      <c r="G94" s="2">
        <f t="shared" si="25"/>
        <v>13980923</v>
      </c>
      <c r="H94" s="109"/>
      <c r="I94" s="110">
        <v>3.35</v>
      </c>
      <c r="J94" s="9">
        <f>j_WEEKDAY(D94,2)</f>
        <v>1</v>
      </c>
      <c r="K94" s="21">
        <f t="shared" si="26"/>
        <v>0</v>
      </c>
      <c r="L94" s="8">
        <f t="shared" si="27"/>
        <v>0</v>
      </c>
      <c r="M94" s="111">
        <v>0</v>
      </c>
      <c r="N94" s="108">
        <v>0</v>
      </c>
      <c r="O94" s="10">
        <f t="shared" si="28"/>
        <v>0</v>
      </c>
      <c r="P94" s="10">
        <f>VALUE(J_normdate(J_ADDDAY($D94,$O94,1)))</f>
        <v>13980924</v>
      </c>
      <c r="Q94" s="9">
        <f t="shared" si="29"/>
        <v>0</v>
      </c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JA94" s="113"/>
      <c r="JB94" s="113"/>
      <c r="JC94" s="113"/>
      <c r="JD94" s="66"/>
    </row>
    <row r="95" spans="1:264" s="343" customFormat="1" ht="13.5">
      <c r="A95" s="339">
        <v>4</v>
      </c>
      <c r="B95" s="326" t="s">
        <v>136</v>
      </c>
      <c r="C95" s="327"/>
      <c r="D95" s="342" t="str">
        <f>FDate(MIN(E96:E116))</f>
        <v>1398/07/02</v>
      </c>
      <c r="E95" s="160">
        <f>VALUE(J_normdate(D95))</f>
        <v>13980702</v>
      </c>
      <c r="F95" s="342" t="str">
        <f>J_SUBDAY(J_ADDDAY(D95,L95,1),1,1)</f>
        <v>1398/08/22</v>
      </c>
      <c r="G95" s="163">
        <f t="shared" ref="G95:G126" si="30">VALUE(J_normdate(F95))</f>
        <v>13980822</v>
      </c>
      <c r="H95" s="340"/>
      <c r="I95" s="341"/>
      <c r="J95" s="328">
        <f>j_WEEKDAY(D95,2)</f>
        <v>3</v>
      </c>
      <c r="K95" s="164">
        <f>SUM(K96:K116)</f>
        <v>0</v>
      </c>
      <c r="L95" s="331">
        <f>J_DIFF(D95,FDate(MAX(G96:G116)))+1</f>
        <v>51</v>
      </c>
      <c r="M95" s="332">
        <f>IF(SUM(L96:L116)&lt;&gt;0,SUMPRODUCT(L96:L116,M96:M116)/SUM(L96:L116),0)</f>
        <v>0</v>
      </c>
      <c r="N95" s="333">
        <f>IF(F95&gt;=D95,NETWORKDAYS.INTL(J_GregorianDate(D95,1),J_GregorianDate(F95,1),16,1)-SUMIFS(Holieday[ok],Holieday[date],CONCATENATE("&gt;","=",D95),Holieday[date],CONCATENATE("&lt;","=",F95))+SUMIFS(Holieday[Friday],Holieday[date],CONCATENATE("&gt;","=",D95),Holieday[date],CONCATENATE("&lt;","=",F95)),0)</f>
        <v>40</v>
      </c>
      <c r="O95" s="159">
        <f t="shared" ref="O95:O108" si="31">ROUNDDOWN(M95*L95,0)</f>
        <v>0</v>
      </c>
      <c r="P95" s="159">
        <f>VALUE(J_normdate(J_ADDDAY($D95,$O95,1)))</f>
        <v>13980702</v>
      </c>
      <c r="Q95" s="162">
        <f t="shared" ref="Q95:Q108" si="32">L95-O95</f>
        <v>51</v>
      </c>
      <c r="IY95" s="344"/>
      <c r="IZ95" s="345"/>
      <c r="JA95" s="346"/>
      <c r="JB95" s="346"/>
      <c r="JC95" s="346"/>
    </row>
    <row r="96" spans="1:264" s="240" customFormat="1" ht="13.5">
      <c r="A96" s="227">
        <v>4.0999999999999996</v>
      </c>
      <c r="B96" s="241" t="s">
        <v>115</v>
      </c>
      <c r="C96" s="228" t="s">
        <v>111</v>
      </c>
      <c r="D96" s="244" t="str">
        <f>IF(OR(j_WEEKDAY(J_ADDDAY(VLOOKUP(I96,A:F,6,FALSE),H96,1),0)=6,SUMIFS(Holieday[ok],Holieday[date],J_ADDDAY(VLOOKUP(I96,A:F,6,FALSE),H96,1)))=FALSE(),J_ADDDAY(VLOOKUP(I96,A:F,6,FALSE),H96,1),IF(OR(j_WEEKDAY(J_ADDDAY(VLOOKUP(I96,A:F,6,FALSE),H96+1,1),0)=6,SUMIFS(Holieday[ok],Holieday[date],J_ADDDAY(VLOOKUP(I96,A:F,6,FALSE),H96+1,1)))=FALSE(),J_ADDDAY(VLOOKUP(I96,A:F,6,FALSE),H96+1,1),IF(OR(j_WEEKDAY(J_ADDDAY(VLOOKUP(I96,A:F,6,FALSE),H96+2,1),0)=6,SUMIFS(Holieday[ok],Holieday[date],J_ADDDAY(VLOOKUP(I96,A:F,6,FALSE),H96+2,1)))=FALSE(),J_ADDDAY(VLOOKUP(I96,A:F,6,FALSE),H96+2,1),IF(OR(j_WEEKDAY(J_ADDDAY(VLOOKUP(I96,A:F,6,FALSE),H96+3,1),0)=6,SUMIFS(Holieday[ok],Holieday[date],J_ADDDAY(VLOOKUP(I96,A:F,6,FALSE),H96+3,1)))=FALSE(),J_ADDDAY(VLOOKUP(I96,A:F,6,FALSE),H96+3,1),IF(OR(j_WEEKDAY(J_ADDDAY(VLOOKUP(I96,A:F,6,FALSE),H96+4,1),0)=6,SUMIFS(Holieday[ok],Holieday[date],J_ADDDAY(VLOOKUP(I96,A:F,6,FALSE),H96+4,1)))=FALSE(),J_ADDDAY(VLOOKUP(I96,A:F,6,FALSE),H96+4,1),J_ADDDAY(VLOOKUP(I96,A:F,6,FALSE),H96+5,1))))))</f>
        <v>1398/07/02</v>
      </c>
      <c r="E96" s="160">
        <f t="shared" ref="E96:E126" si="33">VALUE(J_normdate(D96))</f>
        <v>13980702</v>
      </c>
      <c r="F96" s="244" t="str">
        <f>IF(N96=0,J_SUBDAY(D96,1,1),IF((N96-NETWORKDAYS.INTL(J_GregorianDate(D96,1),J_GregorianDate(J_SUBDAY(J_ADDDAY(D96,N96,1),1,1),1),16,1)-SUMIFS(Holieday[ok],Holieday[date],CONCATENATE("&gt;","=",D96),Holieday[date],CONCATENATE("&lt;","=",J_SUBDAY(J_ADDDAY(D96,N96,1),1,1)))+SUMIFS(Holieday[Friday],Holieday[date],CONCATENATE("&gt;","=",D96),Holieday[date],CONCATENATE("&lt;","=",J_SUBDAY(J_ADDDAY(D96,N96,1),1,1))))=0,J_SUBDAY(J_ADDDAY(D96,N96,1),1,1),IF((N96-NETWORKDAYS.INTL(J_GregorianDate(D96,1),J_GregorianDate(J_SUBDAY(J_ADDDAY(D96,N96,1),1,1),1),16,1)-SUMIFS(Holieday[ok],Holieday[date],CONCATENATE("&gt;","=",D96),Holieday[date],CONCATENATE("&lt;","=",J_SUBDAY(J_ADDDAY(D96,N96,1),1,1)))+SUMIFS(Holieday[Friday],Holieday[date],CONCATENATE("&gt;","=",D96),Holieday[date],CONCATENATE("&lt;","=",J_SUBDAY(J_ADDDAY(D96,N96,1),1,1))))=1,J_SUBDAY(J_ADDDAY(D96,N96+1,1),1,1),IF((N96-NETWORKDAYS.INTL(J_GregorianDate(D96,1),J_GregorianDate(J_SUBDAY(J_ADDDAY(D96,N96,1),1,1),1),16,1)-SUMIFS(Holieday[ok],Holieday[date],CONCATENATE("&gt;","=",D96),Holieday[date],CONCATENATE("&lt;","=",J_SUBDAY(J_ADDDAY(D96,N96,1),1,1)))+SUMIFS(Holieday[Friday],Holieday[date],CONCATENATE("&gt;","=",D96),Holieday[date],CONCATENATE("&lt;","=",J_SUBDAY(J_ADDDAY(D96,N96,1),1,1))))=2,J_SUBDAY(J_ADDDAY(D96,N96+2,1),1,1),J_SUBDAY(J_ADDDAY(D96,N96+3,1),1,1)))))</f>
        <v>1398/07/03</v>
      </c>
      <c r="G96" s="163">
        <f t="shared" si="30"/>
        <v>13980703</v>
      </c>
      <c r="H96" s="230"/>
      <c r="I96" s="231">
        <v>1.2</v>
      </c>
      <c r="J96" s="229">
        <f>j_WEEKDAY(D96,2)</f>
        <v>3</v>
      </c>
      <c r="K96" s="173">
        <f t="shared" ref="K96:K116" si="34">SUM(JA96:JC96)</f>
        <v>0</v>
      </c>
      <c r="L96" s="232">
        <f t="shared" ref="L96:L116" si="35">J_DIFF(D96,F96)+1</f>
        <v>2</v>
      </c>
      <c r="M96" s="233">
        <v>0</v>
      </c>
      <c r="N96" s="234">
        <v>2</v>
      </c>
      <c r="O96" s="175">
        <f t="shared" si="31"/>
        <v>0</v>
      </c>
      <c r="P96" s="175">
        <f>VALUE(J_normdate(J_ADDDAY($D96,$O96,1)))</f>
        <v>13980702</v>
      </c>
      <c r="Q96" s="171">
        <f t="shared" si="32"/>
        <v>2</v>
      </c>
      <c r="R96" s="235"/>
      <c r="S96" s="235"/>
      <c r="T96" s="235"/>
      <c r="U96" s="235"/>
      <c r="V96" s="235"/>
      <c r="W96" s="235"/>
      <c r="X96" s="235"/>
      <c r="Y96" s="235"/>
      <c r="Z96" s="235"/>
      <c r="AA96" s="235"/>
      <c r="AB96" s="235"/>
      <c r="AC96" s="235"/>
      <c r="AD96" s="235"/>
      <c r="AE96" s="235"/>
      <c r="AF96" s="235"/>
      <c r="AG96" s="235"/>
      <c r="AH96" s="235"/>
      <c r="AI96" s="235"/>
      <c r="AJ96" s="235"/>
      <c r="AK96" s="235"/>
      <c r="AL96" s="235"/>
      <c r="AM96" s="235"/>
      <c r="AN96" s="235"/>
      <c r="AO96" s="235"/>
      <c r="AP96" s="235"/>
      <c r="AQ96" s="235"/>
      <c r="AR96" s="235"/>
      <c r="AS96" s="235"/>
      <c r="AT96" s="235"/>
      <c r="AU96" s="235"/>
      <c r="AV96" s="235"/>
      <c r="AW96" s="235"/>
      <c r="AX96" s="235"/>
      <c r="AY96" s="235"/>
      <c r="AZ96" s="235"/>
      <c r="BA96" s="235"/>
      <c r="BB96" s="235"/>
      <c r="BC96" s="235"/>
      <c r="BD96" s="235"/>
      <c r="BE96" s="235"/>
      <c r="BF96" s="235"/>
      <c r="BG96" s="235"/>
      <c r="BH96" s="235"/>
      <c r="BI96" s="235"/>
      <c r="BJ96" s="235"/>
      <c r="BK96" s="235"/>
      <c r="BL96" s="235"/>
      <c r="BM96" s="235"/>
      <c r="BN96" s="235"/>
      <c r="BO96" s="235"/>
      <c r="BP96" s="235"/>
      <c r="BQ96" s="235"/>
      <c r="BR96" s="235"/>
      <c r="BS96" s="235"/>
      <c r="BT96" s="235"/>
      <c r="BU96" s="235"/>
      <c r="BV96" s="235"/>
      <c r="BW96" s="235"/>
      <c r="BX96" s="235"/>
      <c r="BY96" s="235"/>
      <c r="BZ96" s="235"/>
      <c r="CA96" s="235"/>
      <c r="CB96" s="235"/>
      <c r="CC96" s="235"/>
      <c r="CD96" s="235"/>
      <c r="CE96" s="235"/>
      <c r="CF96" s="235"/>
      <c r="CG96" s="235"/>
      <c r="CH96" s="235"/>
      <c r="CI96" s="235"/>
      <c r="CJ96" s="235"/>
      <c r="CK96" s="235"/>
      <c r="CL96" s="235"/>
      <c r="CM96" s="235"/>
      <c r="CN96" s="235"/>
      <c r="CO96" s="235"/>
      <c r="CP96" s="235"/>
      <c r="CQ96" s="235"/>
      <c r="CR96" s="235"/>
      <c r="CS96" s="235"/>
      <c r="CT96" s="235"/>
      <c r="CU96" s="235"/>
      <c r="CV96" s="235"/>
      <c r="CW96" s="235"/>
      <c r="CX96" s="235"/>
      <c r="CY96" s="235"/>
      <c r="CZ96" s="235"/>
      <c r="DA96" s="235"/>
      <c r="DB96" s="235"/>
      <c r="DC96" s="235"/>
      <c r="DD96" s="235"/>
      <c r="DE96" s="235"/>
      <c r="DF96" s="235"/>
      <c r="DG96" s="235"/>
      <c r="DH96" s="235"/>
      <c r="DI96" s="235"/>
      <c r="DJ96" s="235"/>
      <c r="DK96" s="235"/>
      <c r="DL96" s="235"/>
      <c r="DM96" s="235"/>
      <c r="DN96" s="235"/>
      <c r="DO96" s="235"/>
      <c r="DP96" s="235"/>
      <c r="DQ96" s="235"/>
      <c r="DR96" s="235"/>
      <c r="DS96" s="235"/>
      <c r="DT96" s="235"/>
      <c r="DU96" s="235"/>
      <c r="DV96" s="235"/>
      <c r="DW96" s="235"/>
      <c r="DX96" s="235"/>
      <c r="DY96" s="235"/>
      <c r="DZ96" s="235"/>
      <c r="EA96" s="235"/>
      <c r="EB96" s="235"/>
      <c r="EC96" s="235"/>
      <c r="ED96" s="235"/>
      <c r="EE96" s="235"/>
      <c r="EF96" s="235"/>
      <c r="EG96" s="235"/>
      <c r="EH96" s="235"/>
      <c r="EI96" s="235"/>
      <c r="EJ96" s="235"/>
      <c r="EK96" s="235"/>
      <c r="EL96" s="235"/>
      <c r="EM96" s="235"/>
      <c r="EN96" s="235"/>
      <c r="EO96" s="235"/>
      <c r="EP96" s="235"/>
      <c r="EQ96" s="235"/>
      <c r="ER96" s="235"/>
      <c r="ES96" s="235"/>
      <c r="ET96" s="235"/>
      <c r="EU96" s="235"/>
      <c r="EV96" s="235"/>
      <c r="EW96" s="235"/>
      <c r="EX96" s="235"/>
      <c r="EY96" s="235"/>
      <c r="EZ96" s="235"/>
      <c r="FA96" s="235"/>
      <c r="FB96" s="235"/>
      <c r="FC96" s="235"/>
      <c r="FD96" s="235"/>
      <c r="FE96" s="235"/>
      <c r="FF96" s="235"/>
      <c r="FG96" s="235"/>
      <c r="FH96" s="235"/>
      <c r="FI96" s="235"/>
      <c r="FJ96" s="235"/>
      <c r="FK96" s="235"/>
      <c r="FL96" s="235"/>
      <c r="FM96" s="235"/>
      <c r="FN96" s="235"/>
      <c r="FO96" s="235"/>
      <c r="FP96" s="235"/>
      <c r="FQ96" s="235"/>
      <c r="FR96" s="235"/>
      <c r="FS96" s="235"/>
      <c r="FT96" s="235"/>
      <c r="FU96" s="235"/>
      <c r="FV96" s="235"/>
      <c r="FW96" s="235"/>
      <c r="FX96" s="235"/>
      <c r="FY96" s="235"/>
      <c r="FZ96" s="235"/>
      <c r="GA96" s="235"/>
      <c r="GB96" s="235"/>
      <c r="GC96" s="235"/>
      <c r="GD96" s="235"/>
      <c r="GE96" s="235"/>
      <c r="GF96" s="235"/>
      <c r="GG96" s="235"/>
      <c r="GH96" s="235"/>
      <c r="GI96" s="235"/>
      <c r="GJ96" s="235"/>
      <c r="GK96" s="235"/>
      <c r="GL96" s="235"/>
      <c r="GM96" s="235"/>
      <c r="GN96" s="235"/>
      <c r="GO96" s="235"/>
      <c r="GP96" s="235"/>
      <c r="GQ96" s="235"/>
      <c r="GR96" s="235"/>
      <c r="GS96" s="235"/>
      <c r="GT96" s="235"/>
      <c r="GU96" s="235"/>
      <c r="GV96" s="235"/>
      <c r="GW96" s="235"/>
      <c r="GX96" s="235"/>
      <c r="GY96" s="235"/>
      <c r="GZ96" s="235"/>
      <c r="HA96" s="235"/>
      <c r="HB96" s="235"/>
      <c r="HC96" s="235"/>
      <c r="HD96" s="235"/>
      <c r="HE96" s="235"/>
      <c r="HF96" s="235"/>
      <c r="HG96" s="235"/>
      <c r="HH96" s="235"/>
      <c r="HI96" s="235"/>
      <c r="HJ96" s="235"/>
      <c r="HK96" s="235"/>
      <c r="HL96" s="235"/>
      <c r="HM96" s="235"/>
      <c r="HN96" s="235"/>
      <c r="HO96" s="235"/>
      <c r="HP96" s="235"/>
      <c r="HQ96" s="235"/>
      <c r="HR96" s="235"/>
      <c r="HS96" s="235"/>
      <c r="HT96" s="235"/>
      <c r="HU96" s="235"/>
      <c r="HV96" s="235"/>
      <c r="HW96" s="235"/>
      <c r="HX96" s="235"/>
      <c r="HY96" s="235"/>
      <c r="HZ96" s="235"/>
      <c r="IA96" s="235"/>
      <c r="IB96" s="235"/>
      <c r="IC96" s="235"/>
      <c r="ID96" s="235"/>
      <c r="IE96" s="235"/>
      <c r="IF96" s="235"/>
      <c r="IG96" s="235"/>
      <c r="IH96" s="235"/>
      <c r="II96" s="235"/>
      <c r="IJ96" s="235"/>
      <c r="IK96" s="235"/>
      <c r="IL96" s="235"/>
      <c r="IM96" s="235"/>
      <c r="IN96" s="235"/>
      <c r="IO96" s="235"/>
      <c r="IP96" s="235"/>
      <c r="IQ96" s="235"/>
      <c r="IR96" s="235"/>
      <c r="IS96" s="235"/>
      <c r="IT96" s="235"/>
      <c r="IU96" s="235"/>
      <c r="IV96" s="235"/>
      <c r="IW96" s="235"/>
      <c r="IX96" s="235"/>
      <c r="IY96" s="236">
        <v>2</v>
      </c>
      <c r="IZ96" s="237">
        <f>(TEXT(K96,"[m]")/60)*VLOOKUP(IY96,'Income Person-hours'!A$2:C$5,3,FALSE)</f>
        <v>0</v>
      </c>
      <c r="JA96" s="238"/>
      <c r="JB96" s="238"/>
      <c r="JC96" s="238"/>
      <c r="JD96" s="239">
        <f>SUM((TEXT(JA96,"[M]")/60)*'Income Person-hours'!$D$3,(TEXT(JB96,"[M]")/60)*'Income Person-hours'!$D$4,(TEXT(JC96,"[M]")/60)*'Income Person-hours'!$D$5)</f>
        <v>0</v>
      </c>
    </row>
    <row r="97" spans="1:264" s="240" customFormat="1" ht="13.5">
      <c r="A97" s="227">
        <v>4.2</v>
      </c>
      <c r="B97" s="241" t="s">
        <v>134</v>
      </c>
      <c r="C97" s="228" t="s">
        <v>79</v>
      </c>
      <c r="D97" s="244" t="str">
        <f>IF(OR(j_WEEKDAY(J_ADDDAY(VLOOKUP(I97,A:F,6,FALSE),H97,1),0)=6,SUMIFS(Holieday[ok],Holieday[date],J_ADDDAY(VLOOKUP(I97,A:F,6,FALSE),H97,1)))=FALSE(),J_ADDDAY(VLOOKUP(I97,A:F,6,FALSE),H97,1),IF(OR(j_WEEKDAY(J_ADDDAY(VLOOKUP(I97,A:F,6,FALSE),H97+1,1),0)=6,SUMIFS(Holieday[ok],Holieday[date],J_ADDDAY(VLOOKUP(I97,A:F,6,FALSE),H97+1,1)))=FALSE(),J_ADDDAY(VLOOKUP(I97,A:F,6,FALSE),H97+1,1),IF(OR(j_WEEKDAY(J_ADDDAY(VLOOKUP(I97,A:F,6,FALSE),H97+2,1),0)=6,SUMIFS(Holieday[ok],Holieday[date],J_ADDDAY(VLOOKUP(I97,A:F,6,FALSE),H97+2,1)))=FALSE(),J_ADDDAY(VLOOKUP(I97,A:F,6,FALSE),H97+2,1),IF(OR(j_WEEKDAY(J_ADDDAY(VLOOKUP(I97,A:F,6,FALSE),H97+3,1),0)=6,SUMIFS(Holieday[ok],Holieday[date],J_ADDDAY(VLOOKUP(I97,A:F,6,FALSE),H97+3,1)))=FALSE(),J_ADDDAY(VLOOKUP(I97,A:F,6,FALSE),H97+3,1),IF(OR(j_WEEKDAY(J_ADDDAY(VLOOKUP(I97,A:F,6,FALSE),H97+4,1),0)=6,SUMIFS(Holieday[ok],Holieday[date],J_ADDDAY(VLOOKUP(I97,A:F,6,FALSE),H97+4,1)))=FALSE(),J_ADDDAY(VLOOKUP(I97,A:F,6,FALSE),H97+4,1),J_ADDDAY(VLOOKUP(I97,A:F,6,FALSE),H97+5,1))))))</f>
        <v>1398/07/04</v>
      </c>
      <c r="E97" s="160">
        <f t="shared" si="33"/>
        <v>13980704</v>
      </c>
      <c r="F97" s="244" t="str">
        <f>IF(N97=0,J_SUBDAY(D97,1,1),IF((N97-NETWORKDAYS.INTL(J_GregorianDate(D97,1),J_GregorianDate(J_SUBDAY(J_ADDDAY(D97,N97,1),1,1),1),16,1)-SUMIFS(Holieday[ok],Holieday[date],CONCATENATE("&gt;","=",D97),Holieday[date],CONCATENATE("&lt;","=",J_SUBDAY(J_ADDDAY(D97,N97,1),1,1)))+SUMIFS(Holieday[Friday],Holieday[date],CONCATENATE("&gt;","=",D97),Holieday[date],CONCATENATE("&lt;","=",J_SUBDAY(J_ADDDAY(D97,N97,1),1,1))))=0,J_SUBDAY(J_ADDDAY(D97,N97,1),1,1),IF((N97-NETWORKDAYS.INTL(J_GregorianDate(D97,1),J_GregorianDate(J_SUBDAY(J_ADDDAY(D97,N97,1),1,1),1),16,1)-SUMIFS(Holieday[ok],Holieday[date],CONCATENATE("&gt;","=",D97),Holieday[date],CONCATENATE("&lt;","=",J_SUBDAY(J_ADDDAY(D97,N97,1),1,1)))+SUMIFS(Holieday[Friday],Holieday[date],CONCATENATE("&gt;","=",D97),Holieday[date],CONCATENATE("&lt;","=",J_SUBDAY(J_ADDDAY(D97,N97,1),1,1))))=1,J_SUBDAY(J_ADDDAY(D97,N97+1,1),1,1),IF((N97-NETWORKDAYS.INTL(J_GregorianDate(D97,1),J_GregorianDate(J_SUBDAY(J_ADDDAY(D97,N97,1),1,1),1),16,1)-SUMIFS(Holieday[ok],Holieday[date],CONCATENATE("&gt;","=",D97),Holieday[date],CONCATENATE("&lt;","=",J_SUBDAY(J_ADDDAY(D97,N97,1),1,1)))+SUMIFS(Holieday[Friday],Holieday[date],CONCATENATE("&gt;","=",D97),Holieday[date],CONCATENATE("&lt;","=",J_SUBDAY(J_ADDDAY(D97,N97,1),1,1))))=2,J_SUBDAY(J_ADDDAY(D97,N97+2,1),1,1),J_SUBDAY(J_ADDDAY(D97,N97+3,1),1,1)))))</f>
        <v>1398/07/09</v>
      </c>
      <c r="G97" s="163">
        <f t="shared" si="30"/>
        <v>13980709</v>
      </c>
      <c r="H97" s="230">
        <v>1</v>
      </c>
      <c r="I97" s="231">
        <v>4.0999999999999996</v>
      </c>
      <c r="J97" s="229">
        <f>j_WEEKDAY(D97,2)</f>
        <v>5</v>
      </c>
      <c r="K97" s="173">
        <f t="shared" si="34"/>
        <v>0</v>
      </c>
      <c r="L97" s="232">
        <f t="shared" si="35"/>
        <v>6</v>
      </c>
      <c r="M97" s="233">
        <v>0</v>
      </c>
      <c r="N97" s="234">
        <v>5</v>
      </c>
      <c r="O97" s="175">
        <f t="shared" si="31"/>
        <v>0</v>
      </c>
      <c r="P97" s="175">
        <f>VALUE(J_normdate(J_ADDDAY($D97,$O97,1)))</f>
        <v>13980704</v>
      </c>
      <c r="Q97" s="171">
        <f t="shared" si="32"/>
        <v>6</v>
      </c>
      <c r="R97" s="235"/>
      <c r="S97" s="235"/>
      <c r="T97" s="235"/>
      <c r="U97" s="235"/>
      <c r="V97" s="235"/>
      <c r="W97" s="235"/>
      <c r="X97" s="235"/>
      <c r="Y97" s="235"/>
      <c r="Z97" s="235"/>
      <c r="AA97" s="235"/>
      <c r="AB97" s="235"/>
      <c r="AC97" s="235"/>
      <c r="AD97" s="235"/>
      <c r="AE97" s="235"/>
      <c r="AF97" s="235"/>
      <c r="AG97" s="235"/>
      <c r="AH97" s="235"/>
      <c r="AI97" s="235"/>
      <c r="AJ97" s="235"/>
      <c r="AK97" s="235"/>
      <c r="AL97" s="235"/>
      <c r="AM97" s="235"/>
      <c r="AN97" s="235"/>
      <c r="AO97" s="235"/>
      <c r="AP97" s="235"/>
      <c r="AQ97" s="235"/>
      <c r="AR97" s="235"/>
      <c r="AS97" s="235"/>
      <c r="AT97" s="235"/>
      <c r="AU97" s="235"/>
      <c r="AV97" s="235"/>
      <c r="AW97" s="235"/>
      <c r="AX97" s="235"/>
      <c r="AY97" s="235"/>
      <c r="AZ97" s="235"/>
      <c r="BA97" s="235"/>
      <c r="BB97" s="235"/>
      <c r="BC97" s="235"/>
      <c r="BD97" s="235"/>
      <c r="BE97" s="235"/>
      <c r="BF97" s="235"/>
      <c r="BG97" s="235"/>
      <c r="BH97" s="235"/>
      <c r="BI97" s="235"/>
      <c r="BJ97" s="235"/>
      <c r="BK97" s="235"/>
      <c r="BL97" s="235"/>
      <c r="BM97" s="235"/>
      <c r="BN97" s="235"/>
      <c r="BO97" s="235"/>
      <c r="BP97" s="235"/>
      <c r="BQ97" s="235"/>
      <c r="BR97" s="235"/>
      <c r="BS97" s="235"/>
      <c r="BT97" s="235"/>
      <c r="BU97" s="235"/>
      <c r="BV97" s="235"/>
      <c r="BW97" s="235"/>
      <c r="BX97" s="235"/>
      <c r="BY97" s="235"/>
      <c r="BZ97" s="235"/>
      <c r="CA97" s="235"/>
      <c r="CB97" s="235"/>
      <c r="CC97" s="235"/>
      <c r="CD97" s="235"/>
      <c r="CE97" s="235"/>
      <c r="CF97" s="235"/>
      <c r="CG97" s="235"/>
      <c r="CH97" s="235"/>
      <c r="CI97" s="235"/>
      <c r="CJ97" s="235"/>
      <c r="CK97" s="235"/>
      <c r="CL97" s="235"/>
      <c r="CM97" s="235"/>
      <c r="CN97" s="235"/>
      <c r="CO97" s="235"/>
      <c r="CP97" s="235"/>
      <c r="CQ97" s="235"/>
      <c r="CR97" s="235"/>
      <c r="CS97" s="235"/>
      <c r="CT97" s="235"/>
      <c r="CU97" s="235"/>
      <c r="CV97" s="235"/>
      <c r="CW97" s="235"/>
      <c r="CX97" s="235"/>
      <c r="CY97" s="235"/>
      <c r="CZ97" s="235"/>
      <c r="DA97" s="235"/>
      <c r="DB97" s="235"/>
      <c r="DC97" s="235"/>
      <c r="DD97" s="235"/>
      <c r="DE97" s="235"/>
      <c r="DF97" s="235"/>
      <c r="DG97" s="235"/>
      <c r="DH97" s="235"/>
      <c r="DI97" s="235"/>
      <c r="DJ97" s="235"/>
      <c r="DK97" s="235"/>
      <c r="DL97" s="235"/>
      <c r="DM97" s="235"/>
      <c r="DN97" s="235"/>
      <c r="DO97" s="235"/>
      <c r="DP97" s="235"/>
      <c r="DQ97" s="235"/>
      <c r="DR97" s="235"/>
      <c r="DS97" s="235"/>
      <c r="DT97" s="235"/>
      <c r="DU97" s="235"/>
      <c r="DV97" s="235"/>
      <c r="DW97" s="235"/>
      <c r="DX97" s="235"/>
      <c r="DY97" s="235"/>
      <c r="DZ97" s="235"/>
      <c r="EA97" s="235"/>
      <c r="EB97" s="235"/>
      <c r="EC97" s="235"/>
      <c r="ED97" s="235"/>
      <c r="EE97" s="235"/>
      <c r="EF97" s="235"/>
      <c r="EG97" s="235"/>
      <c r="EH97" s="235"/>
      <c r="EI97" s="235"/>
      <c r="EJ97" s="235"/>
      <c r="EK97" s="235"/>
      <c r="EL97" s="235"/>
      <c r="EM97" s="235"/>
      <c r="EN97" s="235"/>
      <c r="EO97" s="235"/>
      <c r="EP97" s="235"/>
      <c r="EQ97" s="235"/>
      <c r="ER97" s="235"/>
      <c r="ES97" s="235"/>
      <c r="ET97" s="235"/>
      <c r="EU97" s="235"/>
      <c r="EV97" s="235"/>
      <c r="EW97" s="235"/>
      <c r="EX97" s="235"/>
      <c r="EY97" s="235"/>
      <c r="EZ97" s="235"/>
      <c r="FA97" s="235"/>
      <c r="FB97" s="235"/>
      <c r="FC97" s="235"/>
      <c r="FD97" s="235"/>
      <c r="FE97" s="235"/>
      <c r="FF97" s="235"/>
      <c r="FG97" s="235"/>
      <c r="FH97" s="235"/>
      <c r="FI97" s="235"/>
      <c r="FJ97" s="235"/>
      <c r="FK97" s="235"/>
      <c r="FL97" s="235"/>
      <c r="FM97" s="235"/>
      <c r="FN97" s="235"/>
      <c r="FO97" s="235"/>
      <c r="FP97" s="235"/>
      <c r="FQ97" s="235"/>
      <c r="FR97" s="235"/>
      <c r="FS97" s="235"/>
      <c r="FT97" s="235"/>
      <c r="FU97" s="235"/>
      <c r="FV97" s="235"/>
      <c r="FW97" s="235"/>
      <c r="FX97" s="235"/>
      <c r="FY97" s="235"/>
      <c r="FZ97" s="235"/>
      <c r="GA97" s="235"/>
      <c r="GB97" s="235"/>
      <c r="GC97" s="235"/>
      <c r="GD97" s="235"/>
      <c r="GE97" s="235"/>
      <c r="GF97" s="235"/>
      <c r="GG97" s="235"/>
      <c r="GH97" s="235"/>
      <c r="GI97" s="235"/>
      <c r="GJ97" s="235"/>
      <c r="GK97" s="235"/>
      <c r="GL97" s="235"/>
      <c r="GM97" s="235"/>
      <c r="GN97" s="235"/>
      <c r="GO97" s="235"/>
      <c r="GP97" s="235"/>
      <c r="GQ97" s="235"/>
      <c r="GR97" s="235"/>
      <c r="GS97" s="235"/>
      <c r="GT97" s="235"/>
      <c r="GU97" s="235"/>
      <c r="GV97" s="235"/>
      <c r="GW97" s="235"/>
      <c r="GX97" s="235"/>
      <c r="GY97" s="235"/>
      <c r="GZ97" s="235"/>
      <c r="HA97" s="235"/>
      <c r="HB97" s="235"/>
      <c r="HC97" s="235"/>
      <c r="HD97" s="235"/>
      <c r="HE97" s="235"/>
      <c r="HF97" s="235"/>
      <c r="HG97" s="235"/>
      <c r="HH97" s="235"/>
      <c r="HI97" s="235"/>
      <c r="HJ97" s="235"/>
      <c r="HK97" s="235"/>
      <c r="HL97" s="235"/>
      <c r="HM97" s="235"/>
      <c r="HN97" s="235"/>
      <c r="HO97" s="235"/>
      <c r="HP97" s="235"/>
      <c r="HQ97" s="235"/>
      <c r="HR97" s="235"/>
      <c r="HS97" s="235"/>
      <c r="HT97" s="235"/>
      <c r="HU97" s="235"/>
      <c r="HV97" s="235"/>
      <c r="HW97" s="235"/>
      <c r="HX97" s="235"/>
      <c r="HY97" s="235"/>
      <c r="HZ97" s="235"/>
      <c r="IA97" s="235"/>
      <c r="IB97" s="235"/>
      <c r="IC97" s="235"/>
      <c r="ID97" s="235"/>
      <c r="IE97" s="235"/>
      <c r="IF97" s="235"/>
      <c r="IG97" s="235"/>
      <c r="IH97" s="235"/>
      <c r="II97" s="235"/>
      <c r="IJ97" s="235"/>
      <c r="IK97" s="235"/>
      <c r="IL97" s="235"/>
      <c r="IM97" s="235"/>
      <c r="IN97" s="235"/>
      <c r="IO97" s="235"/>
      <c r="IP97" s="235"/>
      <c r="IQ97" s="235"/>
      <c r="IR97" s="235"/>
      <c r="IS97" s="235"/>
      <c r="IT97" s="235"/>
      <c r="IU97" s="235"/>
      <c r="IV97" s="235"/>
      <c r="IW97" s="235"/>
      <c r="IX97" s="235"/>
      <c r="IY97" s="236">
        <v>3</v>
      </c>
      <c r="IZ97" s="237">
        <f>(TEXT(K97,"[m]")/60)*VLOOKUP(IY97,'Income Person-hours'!A$2:C$5,3,FALSE)</f>
        <v>0</v>
      </c>
      <c r="JA97" s="238"/>
      <c r="JB97" s="238"/>
      <c r="JC97" s="238"/>
      <c r="JD97" s="239">
        <f>SUM((TEXT(JA97,"[M]")/60)*'Income Person-hours'!$D$3,(TEXT(JB97,"[M]")/60)*'Income Person-hours'!$D$4,(TEXT(JC97,"[M]")/60)*'Income Person-hours'!$D$5)</f>
        <v>0</v>
      </c>
    </row>
    <row r="98" spans="1:264" s="240" customFormat="1" ht="13.5">
      <c r="A98" s="227">
        <v>4.3</v>
      </c>
      <c r="B98" s="241" t="s">
        <v>149</v>
      </c>
      <c r="C98" s="228" t="s">
        <v>110</v>
      </c>
      <c r="D98" s="244" t="str">
        <f>IF(OR(j_WEEKDAY(J_ADDDAY(VLOOKUP(I98,A:F,6,FALSE),H98,1),0)=6,SUMIFS(Holieday[ok],Holieday[date],J_ADDDAY(VLOOKUP(I98,A:F,6,FALSE),H98,1)))=FALSE(),J_ADDDAY(VLOOKUP(I98,A:F,6,FALSE),H98,1),IF(OR(j_WEEKDAY(J_ADDDAY(VLOOKUP(I98,A:F,6,FALSE),H98+1,1),0)=6,SUMIFS(Holieday[ok],Holieday[date],J_ADDDAY(VLOOKUP(I98,A:F,6,FALSE),H98+1,1)))=FALSE(),J_ADDDAY(VLOOKUP(I98,A:F,6,FALSE),H98+1,1),IF(OR(j_WEEKDAY(J_ADDDAY(VLOOKUP(I98,A:F,6,FALSE),H98+2,1),0)=6,SUMIFS(Holieday[ok],Holieday[date],J_ADDDAY(VLOOKUP(I98,A:F,6,FALSE),H98+2,1)))=FALSE(),J_ADDDAY(VLOOKUP(I98,A:F,6,FALSE),H98+2,1),IF(OR(j_WEEKDAY(J_ADDDAY(VLOOKUP(I98,A:F,6,FALSE),H98+3,1),0)=6,SUMIFS(Holieday[ok],Holieday[date],J_ADDDAY(VLOOKUP(I98,A:F,6,FALSE),H98+3,1)))=FALSE(),J_ADDDAY(VLOOKUP(I98,A:F,6,FALSE),H98+3,1),IF(OR(j_WEEKDAY(J_ADDDAY(VLOOKUP(I98,A:F,6,FALSE),H98+4,1),0)=6,SUMIFS(Holieday[ok],Holieday[date],J_ADDDAY(VLOOKUP(I98,A:F,6,FALSE),H98+4,1)))=FALSE(),J_ADDDAY(VLOOKUP(I98,A:F,6,FALSE),H98+4,1),J_ADDDAY(VLOOKUP(I98,A:F,6,FALSE),H98+5,1))))))</f>
        <v>1398/07/20</v>
      </c>
      <c r="E98" s="160">
        <f t="shared" si="33"/>
        <v>13980720</v>
      </c>
      <c r="F98" s="244" t="str">
        <f>IF(N98=0,J_SUBDAY(D98,1,1),IF((N98-NETWORKDAYS.INTL(J_GregorianDate(D98,1),J_GregorianDate(J_SUBDAY(J_ADDDAY(D98,N98,1),1,1),1),16,1)-SUMIFS(Holieday[ok],Holieday[date],CONCATENATE("&gt;","=",D98),Holieday[date],CONCATENATE("&lt;","=",J_SUBDAY(J_ADDDAY(D98,N98,1),1,1)))+SUMIFS(Holieday[Friday],Holieday[date],CONCATENATE("&gt;","=",D98),Holieday[date],CONCATENATE("&lt;","=",J_SUBDAY(J_ADDDAY(D98,N98,1),1,1))))=0,J_SUBDAY(J_ADDDAY(D98,N98,1),1,1),IF((N98-NETWORKDAYS.INTL(J_GregorianDate(D98,1),J_GregorianDate(J_SUBDAY(J_ADDDAY(D98,N98,1),1,1),1),16,1)-SUMIFS(Holieday[ok],Holieday[date],CONCATENATE("&gt;","=",D98),Holieday[date],CONCATENATE("&lt;","=",J_SUBDAY(J_ADDDAY(D98,N98,1),1,1)))+SUMIFS(Holieday[Friday],Holieday[date],CONCATENATE("&gt;","=",D98),Holieday[date],CONCATENATE("&lt;","=",J_SUBDAY(J_ADDDAY(D98,N98,1),1,1))))=1,J_SUBDAY(J_ADDDAY(D98,N98+1,1),1,1),IF((N98-NETWORKDAYS.INTL(J_GregorianDate(D98,1),J_GregorianDate(J_SUBDAY(J_ADDDAY(D98,N98,1),1,1),1),16,1)-SUMIFS(Holieday[ok],Holieday[date],CONCATENATE("&gt;","=",D98),Holieday[date],CONCATENATE("&lt;","=",J_SUBDAY(J_ADDDAY(D98,N98,1),1,1)))+SUMIFS(Holieday[Friday],Holieday[date],CONCATENATE("&gt;","=",D98),Holieday[date],CONCATENATE("&lt;","=",J_SUBDAY(J_ADDDAY(D98,N98,1),1,1))))=2,J_SUBDAY(J_ADDDAY(D98,N98+2,1),1,1),J_SUBDAY(J_ADDDAY(D98,N98+3,1),1,1)))))</f>
        <v>1398/07/29</v>
      </c>
      <c r="G98" s="163">
        <f t="shared" si="30"/>
        <v>13980729</v>
      </c>
      <c r="H98" s="230">
        <v>10</v>
      </c>
      <c r="I98" s="231">
        <v>4.2</v>
      </c>
      <c r="J98" s="229">
        <f>j_WEEKDAY(D98,2)</f>
        <v>0</v>
      </c>
      <c r="K98" s="173">
        <f t="shared" si="34"/>
        <v>0</v>
      </c>
      <c r="L98" s="232">
        <f t="shared" si="35"/>
        <v>10</v>
      </c>
      <c r="M98" s="233">
        <v>0</v>
      </c>
      <c r="N98" s="234">
        <v>10</v>
      </c>
      <c r="O98" s="175">
        <f t="shared" si="31"/>
        <v>0</v>
      </c>
      <c r="P98" s="175">
        <f>VALUE(J_normdate(J_ADDDAY($D98,$O98,1)))</f>
        <v>13980720</v>
      </c>
      <c r="Q98" s="171">
        <f t="shared" si="32"/>
        <v>10</v>
      </c>
      <c r="R98" s="235"/>
      <c r="S98" s="235"/>
      <c r="T98" s="235"/>
      <c r="U98" s="235"/>
      <c r="V98" s="235"/>
      <c r="W98" s="235"/>
      <c r="X98" s="235"/>
      <c r="Y98" s="235"/>
      <c r="Z98" s="235"/>
      <c r="AA98" s="235"/>
      <c r="AB98" s="235"/>
      <c r="AC98" s="235"/>
      <c r="AD98" s="235"/>
      <c r="AE98" s="235"/>
      <c r="AF98" s="235"/>
      <c r="AG98" s="235"/>
      <c r="AH98" s="235"/>
      <c r="AI98" s="235"/>
      <c r="AJ98" s="235"/>
      <c r="AK98" s="235"/>
      <c r="AL98" s="235"/>
      <c r="AM98" s="235"/>
      <c r="AN98" s="235"/>
      <c r="AO98" s="235"/>
      <c r="AP98" s="235"/>
      <c r="AQ98" s="235"/>
      <c r="AR98" s="235"/>
      <c r="AS98" s="235"/>
      <c r="AT98" s="235"/>
      <c r="AU98" s="235"/>
      <c r="AV98" s="235"/>
      <c r="AW98" s="235"/>
      <c r="AX98" s="235"/>
      <c r="AY98" s="235"/>
      <c r="AZ98" s="235"/>
      <c r="BA98" s="235"/>
      <c r="BB98" s="235"/>
      <c r="BC98" s="235"/>
      <c r="BD98" s="235"/>
      <c r="BE98" s="235"/>
      <c r="BF98" s="235"/>
      <c r="BG98" s="235"/>
      <c r="BH98" s="235"/>
      <c r="BI98" s="235"/>
      <c r="BJ98" s="235"/>
      <c r="BK98" s="235"/>
      <c r="BL98" s="235"/>
      <c r="BM98" s="235"/>
      <c r="BN98" s="235"/>
      <c r="BO98" s="235"/>
      <c r="BP98" s="235"/>
      <c r="BQ98" s="235"/>
      <c r="BR98" s="235"/>
      <c r="BS98" s="235"/>
      <c r="BT98" s="235"/>
      <c r="BU98" s="235"/>
      <c r="BV98" s="235"/>
      <c r="BW98" s="235"/>
      <c r="BX98" s="235"/>
      <c r="BY98" s="235"/>
      <c r="BZ98" s="235"/>
      <c r="CA98" s="235"/>
      <c r="CB98" s="235"/>
      <c r="CC98" s="235"/>
      <c r="CD98" s="235"/>
      <c r="CE98" s="235"/>
      <c r="CF98" s="235"/>
      <c r="CG98" s="235"/>
      <c r="CH98" s="235"/>
      <c r="CI98" s="235"/>
      <c r="CJ98" s="235"/>
      <c r="CK98" s="235"/>
      <c r="CL98" s="235"/>
      <c r="CM98" s="235"/>
      <c r="CN98" s="235"/>
      <c r="CO98" s="235"/>
      <c r="CP98" s="235"/>
      <c r="CQ98" s="235"/>
      <c r="CR98" s="235"/>
      <c r="CS98" s="235"/>
      <c r="CT98" s="235"/>
      <c r="CU98" s="235"/>
      <c r="CV98" s="235"/>
      <c r="CW98" s="235"/>
      <c r="CX98" s="235"/>
      <c r="CY98" s="235"/>
      <c r="CZ98" s="235"/>
      <c r="DA98" s="235"/>
      <c r="DB98" s="235"/>
      <c r="DC98" s="235"/>
      <c r="DD98" s="235"/>
      <c r="DE98" s="235"/>
      <c r="DF98" s="235"/>
      <c r="DG98" s="235"/>
      <c r="DH98" s="235"/>
      <c r="DI98" s="235"/>
      <c r="DJ98" s="235"/>
      <c r="DK98" s="235"/>
      <c r="DL98" s="235"/>
      <c r="DM98" s="235"/>
      <c r="DN98" s="235"/>
      <c r="DO98" s="235"/>
      <c r="DP98" s="235"/>
      <c r="DQ98" s="235"/>
      <c r="DR98" s="235"/>
      <c r="DS98" s="235"/>
      <c r="DT98" s="235"/>
      <c r="DU98" s="235"/>
      <c r="DV98" s="235"/>
      <c r="DW98" s="235"/>
      <c r="DX98" s="235"/>
      <c r="DY98" s="235"/>
      <c r="DZ98" s="235"/>
      <c r="EA98" s="235"/>
      <c r="EB98" s="235"/>
      <c r="EC98" s="235"/>
      <c r="ED98" s="235"/>
      <c r="EE98" s="235"/>
      <c r="EF98" s="235"/>
      <c r="EG98" s="235"/>
      <c r="EH98" s="235"/>
      <c r="EI98" s="235"/>
      <c r="EJ98" s="235"/>
      <c r="EK98" s="235"/>
      <c r="EL98" s="235"/>
      <c r="EM98" s="235"/>
      <c r="EN98" s="235"/>
      <c r="EO98" s="235"/>
      <c r="EP98" s="235"/>
      <c r="EQ98" s="235"/>
      <c r="ER98" s="235"/>
      <c r="ES98" s="235"/>
      <c r="ET98" s="235"/>
      <c r="EU98" s="235"/>
      <c r="EV98" s="235"/>
      <c r="EW98" s="235"/>
      <c r="EX98" s="235"/>
      <c r="EY98" s="235"/>
      <c r="EZ98" s="235"/>
      <c r="FA98" s="235"/>
      <c r="FB98" s="235"/>
      <c r="FC98" s="235"/>
      <c r="FD98" s="235"/>
      <c r="FE98" s="235"/>
      <c r="FF98" s="235"/>
      <c r="FG98" s="235"/>
      <c r="FH98" s="235"/>
      <c r="FI98" s="235"/>
      <c r="FJ98" s="235"/>
      <c r="FK98" s="235"/>
      <c r="FL98" s="235"/>
      <c r="FM98" s="235"/>
      <c r="FN98" s="235"/>
      <c r="FO98" s="235"/>
      <c r="FP98" s="235"/>
      <c r="FQ98" s="235"/>
      <c r="FR98" s="235"/>
      <c r="FS98" s="235"/>
      <c r="FT98" s="235"/>
      <c r="FU98" s="235"/>
      <c r="FV98" s="235"/>
      <c r="FW98" s="235"/>
      <c r="FX98" s="235"/>
      <c r="FY98" s="235"/>
      <c r="FZ98" s="235"/>
      <c r="GA98" s="235"/>
      <c r="GB98" s="235"/>
      <c r="GC98" s="235"/>
      <c r="GD98" s="235"/>
      <c r="GE98" s="235"/>
      <c r="GF98" s="235"/>
      <c r="GG98" s="235"/>
      <c r="GH98" s="235"/>
      <c r="GI98" s="235"/>
      <c r="GJ98" s="235"/>
      <c r="GK98" s="235"/>
      <c r="GL98" s="235"/>
      <c r="GM98" s="235"/>
      <c r="GN98" s="235"/>
      <c r="GO98" s="235"/>
      <c r="GP98" s="235"/>
      <c r="GQ98" s="235"/>
      <c r="GR98" s="235"/>
      <c r="GS98" s="235"/>
      <c r="GT98" s="235"/>
      <c r="GU98" s="235"/>
      <c r="GV98" s="235"/>
      <c r="GW98" s="235"/>
      <c r="GX98" s="235"/>
      <c r="GY98" s="235"/>
      <c r="GZ98" s="235"/>
      <c r="HA98" s="235"/>
      <c r="HB98" s="235"/>
      <c r="HC98" s="235"/>
      <c r="HD98" s="235"/>
      <c r="HE98" s="235"/>
      <c r="HF98" s="235"/>
      <c r="HG98" s="235"/>
      <c r="HH98" s="235"/>
      <c r="HI98" s="235"/>
      <c r="HJ98" s="235"/>
      <c r="HK98" s="235"/>
      <c r="HL98" s="235"/>
      <c r="HM98" s="235"/>
      <c r="HN98" s="235"/>
      <c r="HO98" s="235"/>
      <c r="HP98" s="235"/>
      <c r="HQ98" s="235"/>
      <c r="HR98" s="235"/>
      <c r="HS98" s="235"/>
      <c r="HT98" s="235"/>
      <c r="HU98" s="235"/>
      <c r="HV98" s="235"/>
      <c r="HW98" s="235"/>
      <c r="HX98" s="235"/>
      <c r="HY98" s="235"/>
      <c r="HZ98" s="235"/>
      <c r="IA98" s="235"/>
      <c r="IB98" s="235"/>
      <c r="IC98" s="235"/>
      <c r="ID98" s="235"/>
      <c r="IE98" s="235"/>
      <c r="IF98" s="235"/>
      <c r="IG98" s="235"/>
      <c r="IH98" s="235"/>
      <c r="II98" s="235"/>
      <c r="IJ98" s="235"/>
      <c r="IK98" s="235"/>
      <c r="IL98" s="235"/>
      <c r="IM98" s="235"/>
      <c r="IN98" s="235"/>
      <c r="IO98" s="235"/>
      <c r="IP98" s="235"/>
      <c r="IQ98" s="235"/>
      <c r="IR98" s="235"/>
      <c r="IS98" s="235"/>
      <c r="IT98" s="235"/>
      <c r="IU98" s="235"/>
      <c r="IV98" s="235"/>
      <c r="IW98" s="235"/>
      <c r="IX98" s="235"/>
      <c r="IY98" s="236">
        <v>3</v>
      </c>
      <c r="IZ98" s="237">
        <f>(TEXT(K98,"[m]")/60)*VLOOKUP(IY98,'Income Person-hours'!A$2:C$5,3,FALSE)</f>
        <v>0</v>
      </c>
      <c r="JA98" s="238"/>
      <c r="JB98" s="238"/>
      <c r="JC98" s="238"/>
      <c r="JD98" s="239">
        <f>SUM((TEXT(JA98,"[M]")/60)*'Income Person-hours'!$D$3,(TEXT(JB98,"[M]")/60)*'Income Person-hours'!$D$4,(TEXT(JC98,"[M]")/60)*'Income Person-hours'!$D$5)</f>
        <v>0</v>
      </c>
    </row>
    <row r="99" spans="1:264" s="240" customFormat="1" ht="13.5">
      <c r="A99" s="227">
        <v>4.4000000000000004</v>
      </c>
      <c r="B99" s="241" t="s">
        <v>148</v>
      </c>
      <c r="C99" s="228" t="s">
        <v>110</v>
      </c>
      <c r="D99" s="244" t="str">
        <f>IF(OR(j_WEEKDAY(J_ADDDAY(VLOOKUP(I99,A:F,6,FALSE),H99,1),0)=6,SUMIFS(Holieday[ok],Holieday[date],J_ADDDAY(VLOOKUP(I99,A:F,6,FALSE),H99,1)))=FALSE(),J_ADDDAY(VLOOKUP(I99,A:F,6,FALSE),H99,1),IF(OR(j_WEEKDAY(J_ADDDAY(VLOOKUP(I99,A:F,6,FALSE),H99+1,1),0)=6,SUMIFS(Holieday[ok],Holieday[date],J_ADDDAY(VLOOKUP(I99,A:F,6,FALSE),H99+1,1)))=FALSE(),J_ADDDAY(VLOOKUP(I99,A:F,6,FALSE),H99+1,1),IF(OR(j_WEEKDAY(J_ADDDAY(VLOOKUP(I99,A:F,6,FALSE),H99+2,1),0)=6,SUMIFS(Holieday[ok],Holieday[date],J_ADDDAY(VLOOKUP(I99,A:F,6,FALSE),H99+2,1)))=FALSE(),J_ADDDAY(VLOOKUP(I99,A:F,6,FALSE),H99+2,1),IF(OR(j_WEEKDAY(J_ADDDAY(VLOOKUP(I99,A:F,6,FALSE),H99+3,1),0)=6,SUMIFS(Holieday[ok],Holieday[date],J_ADDDAY(VLOOKUP(I99,A:F,6,FALSE),H99+3,1)))=FALSE(),J_ADDDAY(VLOOKUP(I99,A:F,6,FALSE),H99+3,1),IF(OR(j_WEEKDAY(J_ADDDAY(VLOOKUP(I99,A:F,6,FALSE),H99+4,1),0)=6,SUMIFS(Holieday[ok],Holieday[date],J_ADDDAY(VLOOKUP(I99,A:F,6,FALSE),H99+4,1)))=FALSE(),J_ADDDAY(VLOOKUP(I99,A:F,6,FALSE),H99+4,1),J_ADDDAY(VLOOKUP(I99,A:F,6,FALSE),H99+5,1))))))</f>
        <v>1398/08/01</v>
      </c>
      <c r="E99" s="160">
        <f t="shared" si="33"/>
        <v>13980801</v>
      </c>
      <c r="F99" s="244" t="str">
        <f>IF(N99=0,J_SUBDAY(D99,1,1),IF((N99-NETWORKDAYS.INTL(J_GregorianDate(D99,1),J_GregorianDate(J_SUBDAY(J_ADDDAY(D99,N99,1),1,1),1),16,1)-SUMIFS(Holieday[ok],Holieday[date],CONCATENATE("&gt;","=",D99),Holieday[date],CONCATENATE("&lt;","=",J_SUBDAY(J_ADDDAY(D99,N99,1),1,1)))+SUMIFS(Holieday[Friday],Holieday[date],CONCATENATE("&gt;","=",D99),Holieday[date],CONCATENATE("&lt;","=",J_SUBDAY(J_ADDDAY(D99,N99,1),1,1))))=0,J_SUBDAY(J_ADDDAY(D99,N99,1),1,1),IF((N99-NETWORKDAYS.INTL(J_GregorianDate(D99,1),J_GregorianDate(J_SUBDAY(J_ADDDAY(D99,N99,1),1,1),1),16,1)-SUMIFS(Holieday[ok],Holieday[date],CONCATENATE("&gt;","=",D99),Holieday[date],CONCATENATE("&lt;","=",J_SUBDAY(J_ADDDAY(D99,N99,1),1,1)))+SUMIFS(Holieday[Friday],Holieday[date],CONCATENATE("&gt;","=",D99),Holieday[date],CONCATENATE("&lt;","=",J_SUBDAY(J_ADDDAY(D99,N99,1),1,1))))=1,J_SUBDAY(J_ADDDAY(D99,N99+1,1),1,1),IF((N99-NETWORKDAYS.INTL(J_GregorianDate(D99,1),J_GregorianDate(J_SUBDAY(J_ADDDAY(D99,N99,1),1,1),1),16,1)-SUMIFS(Holieday[ok],Holieday[date],CONCATENATE("&gt;","=",D99),Holieday[date],CONCATENATE("&lt;","=",J_SUBDAY(J_ADDDAY(D99,N99,1),1,1)))+SUMIFS(Holieday[Friday],Holieday[date],CONCATENATE("&gt;","=",D99),Holieday[date],CONCATENATE("&lt;","=",J_SUBDAY(J_ADDDAY(D99,N99,1),1,1))))=2,J_SUBDAY(J_ADDDAY(D99,N99+2,1),1,1),J_SUBDAY(J_ADDDAY(D99,N99+3,1),1,1)))))</f>
        <v>1398/08/11</v>
      </c>
      <c r="G99" s="163">
        <f t="shared" si="30"/>
        <v>13980811</v>
      </c>
      <c r="H99" s="230">
        <v>2</v>
      </c>
      <c r="I99" s="231">
        <v>4.3</v>
      </c>
      <c r="J99" s="229">
        <f>j_WEEKDAY(D99,2)</f>
        <v>4</v>
      </c>
      <c r="K99" s="173">
        <f t="shared" si="34"/>
        <v>0</v>
      </c>
      <c r="L99" s="232">
        <f t="shared" si="35"/>
        <v>11</v>
      </c>
      <c r="M99" s="233">
        <v>0</v>
      </c>
      <c r="N99" s="234">
        <v>8</v>
      </c>
      <c r="O99" s="175">
        <f t="shared" si="31"/>
        <v>0</v>
      </c>
      <c r="P99" s="175">
        <f>VALUE(J_normdate(J_ADDDAY($D99,$O99,1)))</f>
        <v>13980801</v>
      </c>
      <c r="Q99" s="171">
        <f t="shared" si="32"/>
        <v>11</v>
      </c>
      <c r="R99" s="235"/>
      <c r="S99" s="235"/>
      <c r="T99" s="235"/>
      <c r="U99" s="235"/>
      <c r="V99" s="235"/>
      <c r="W99" s="235"/>
      <c r="X99" s="235"/>
      <c r="Y99" s="235"/>
      <c r="Z99" s="235"/>
      <c r="AA99" s="235"/>
      <c r="AB99" s="235"/>
      <c r="AC99" s="235"/>
      <c r="AD99" s="235"/>
      <c r="AE99" s="235"/>
      <c r="AF99" s="235"/>
      <c r="AG99" s="235"/>
      <c r="AH99" s="235"/>
      <c r="AI99" s="235"/>
      <c r="AJ99" s="235"/>
      <c r="AK99" s="235"/>
      <c r="AL99" s="235"/>
      <c r="AM99" s="235"/>
      <c r="AN99" s="235"/>
      <c r="AO99" s="235"/>
      <c r="AP99" s="235"/>
      <c r="AQ99" s="235"/>
      <c r="AR99" s="235"/>
      <c r="AS99" s="235"/>
      <c r="AT99" s="235"/>
      <c r="AU99" s="235"/>
      <c r="AV99" s="235"/>
      <c r="AW99" s="235"/>
      <c r="AX99" s="235"/>
      <c r="AY99" s="235"/>
      <c r="AZ99" s="235"/>
      <c r="BA99" s="235"/>
      <c r="BB99" s="235"/>
      <c r="BC99" s="235"/>
      <c r="BD99" s="235"/>
      <c r="BE99" s="235"/>
      <c r="BF99" s="235"/>
      <c r="BG99" s="235"/>
      <c r="BH99" s="235"/>
      <c r="BI99" s="235"/>
      <c r="BJ99" s="235"/>
      <c r="BK99" s="235"/>
      <c r="BL99" s="235"/>
      <c r="BM99" s="235"/>
      <c r="BN99" s="235"/>
      <c r="BO99" s="235"/>
      <c r="BP99" s="235"/>
      <c r="BQ99" s="235"/>
      <c r="BR99" s="235"/>
      <c r="BS99" s="235"/>
      <c r="BT99" s="235"/>
      <c r="BU99" s="235"/>
      <c r="BV99" s="235"/>
      <c r="BW99" s="235"/>
      <c r="BX99" s="235"/>
      <c r="BY99" s="235"/>
      <c r="BZ99" s="235"/>
      <c r="CA99" s="235"/>
      <c r="CB99" s="235"/>
      <c r="CC99" s="235"/>
      <c r="CD99" s="235"/>
      <c r="CE99" s="235"/>
      <c r="CF99" s="235"/>
      <c r="CG99" s="235"/>
      <c r="CH99" s="235"/>
      <c r="CI99" s="235"/>
      <c r="CJ99" s="235"/>
      <c r="CK99" s="235"/>
      <c r="CL99" s="235"/>
      <c r="CM99" s="235"/>
      <c r="CN99" s="235"/>
      <c r="CO99" s="235"/>
      <c r="CP99" s="235"/>
      <c r="CQ99" s="235"/>
      <c r="CR99" s="235"/>
      <c r="CS99" s="235"/>
      <c r="CT99" s="235"/>
      <c r="CU99" s="235"/>
      <c r="CV99" s="235"/>
      <c r="CW99" s="235"/>
      <c r="CX99" s="235"/>
      <c r="CY99" s="235"/>
      <c r="CZ99" s="235"/>
      <c r="DA99" s="235"/>
      <c r="DB99" s="235"/>
      <c r="DC99" s="235"/>
      <c r="DD99" s="235"/>
      <c r="DE99" s="235"/>
      <c r="DF99" s="235"/>
      <c r="DG99" s="235"/>
      <c r="DH99" s="235"/>
      <c r="DI99" s="235"/>
      <c r="DJ99" s="235"/>
      <c r="DK99" s="235"/>
      <c r="DL99" s="235"/>
      <c r="DM99" s="235"/>
      <c r="DN99" s="235"/>
      <c r="DO99" s="235"/>
      <c r="DP99" s="235"/>
      <c r="DQ99" s="235"/>
      <c r="DR99" s="235"/>
      <c r="DS99" s="235"/>
      <c r="DT99" s="235"/>
      <c r="DU99" s="235"/>
      <c r="DV99" s="235"/>
      <c r="DW99" s="235"/>
      <c r="DX99" s="235"/>
      <c r="DY99" s="235"/>
      <c r="DZ99" s="235"/>
      <c r="EA99" s="235"/>
      <c r="EB99" s="235"/>
      <c r="EC99" s="235"/>
      <c r="ED99" s="235"/>
      <c r="EE99" s="235"/>
      <c r="EF99" s="235"/>
      <c r="EG99" s="235"/>
      <c r="EH99" s="235"/>
      <c r="EI99" s="235"/>
      <c r="EJ99" s="235"/>
      <c r="EK99" s="235"/>
      <c r="EL99" s="235"/>
      <c r="EM99" s="235"/>
      <c r="EN99" s="235"/>
      <c r="EO99" s="235"/>
      <c r="EP99" s="235"/>
      <c r="EQ99" s="235"/>
      <c r="ER99" s="235"/>
      <c r="ES99" s="235"/>
      <c r="ET99" s="235"/>
      <c r="EU99" s="235"/>
      <c r="EV99" s="235"/>
      <c r="EW99" s="235"/>
      <c r="EX99" s="235"/>
      <c r="EY99" s="235"/>
      <c r="EZ99" s="235"/>
      <c r="FA99" s="235"/>
      <c r="FB99" s="235"/>
      <c r="FC99" s="235"/>
      <c r="FD99" s="235"/>
      <c r="FE99" s="235"/>
      <c r="FF99" s="235"/>
      <c r="FG99" s="235"/>
      <c r="FH99" s="235"/>
      <c r="FI99" s="235"/>
      <c r="FJ99" s="235"/>
      <c r="FK99" s="235"/>
      <c r="FL99" s="235"/>
      <c r="FM99" s="235"/>
      <c r="FN99" s="235"/>
      <c r="FO99" s="235"/>
      <c r="FP99" s="235"/>
      <c r="FQ99" s="235"/>
      <c r="FR99" s="235"/>
      <c r="FS99" s="235"/>
      <c r="FT99" s="235"/>
      <c r="FU99" s="235"/>
      <c r="FV99" s="235"/>
      <c r="FW99" s="235"/>
      <c r="FX99" s="235"/>
      <c r="FY99" s="235"/>
      <c r="FZ99" s="235"/>
      <c r="GA99" s="235"/>
      <c r="GB99" s="235"/>
      <c r="GC99" s="235"/>
      <c r="GD99" s="235"/>
      <c r="GE99" s="235"/>
      <c r="GF99" s="235"/>
      <c r="GG99" s="235"/>
      <c r="GH99" s="235"/>
      <c r="GI99" s="235"/>
      <c r="GJ99" s="235"/>
      <c r="GK99" s="235"/>
      <c r="GL99" s="235"/>
      <c r="GM99" s="235"/>
      <c r="GN99" s="235"/>
      <c r="GO99" s="235"/>
      <c r="GP99" s="235"/>
      <c r="GQ99" s="235"/>
      <c r="GR99" s="235"/>
      <c r="GS99" s="235"/>
      <c r="GT99" s="235"/>
      <c r="GU99" s="235"/>
      <c r="GV99" s="235"/>
      <c r="GW99" s="235"/>
      <c r="GX99" s="235"/>
      <c r="GY99" s="235"/>
      <c r="GZ99" s="235"/>
      <c r="HA99" s="235"/>
      <c r="HB99" s="235"/>
      <c r="HC99" s="235"/>
      <c r="HD99" s="235"/>
      <c r="HE99" s="235"/>
      <c r="HF99" s="235"/>
      <c r="HG99" s="235"/>
      <c r="HH99" s="235"/>
      <c r="HI99" s="235"/>
      <c r="HJ99" s="235"/>
      <c r="HK99" s="235"/>
      <c r="HL99" s="235"/>
      <c r="HM99" s="235"/>
      <c r="HN99" s="235"/>
      <c r="HO99" s="235"/>
      <c r="HP99" s="235"/>
      <c r="HQ99" s="235"/>
      <c r="HR99" s="235"/>
      <c r="HS99" s="235"/>
      <c r="HT99" s="235"/>
      <c r="HU99" s="235"/>
      <c r="HV99" s="235"/>
      <c r="HW99" s="235"/>
      <c r="HX99" s="235"/>
      <c r="HY99" s="235"/>
      <c r="HZ99" s="235"/>
      <c r="IA99" s="235"/>
      <c r="IB99" s="235"/>
      <c r="IC99" s="235"/>
      <c r="ID99" s="235"/>
      <c r="IE99" s="235"/>
      <c r="IF99" s="235"/>
      <c r="IG99" s="235"/>
      <c r="IH99" s="235"/>
      <c r="II99" s="235"/>
      <c r="IJ99" s="235"/>
      <c r="IK99" s="235"/>
      <c r="IL99" s="235"/>
      <c r="IM99" s="235"/>
      <c r="IN99" s="235"/>
      <c r="IO99" s="235"/>
      <c r="IP99" s="235"/>
      <c r="IQ99" s="235"/>
      <c r="IR99" s="235"/>
      <c r="IS99" s="235"/>
      <c r="IT99" s="235"/>
      <c r="IU99" s="235"/>
      <c r="IV99" s="235"/>
      <c r="IW99" s="235"/>
      <c r="IX99" s="235"/>
      <c r="IY99" s="236">
        <v>3</v>
      </c>
      <c r="IZ99" s="237">
        <f>(TEXT(K99,"[m]")/60)*VLOOKUP(IY99,'Income Person-hours'!A$2:C$5,3,FALSE)</f>
        <v>0</v>
      </c>
      <c r="JA99" s="238"/>
      <c r="JB99" s="238"/>
      <c r="JC99" s="238"/>
      <c r="JD99" s="239">
        <f>SUM((TEXT(JA99,"[M]")/60)*'Income Person-hours'!$D$3,(TEXT(JB99,"[M]")/60)*'Income Person-hours'!$D$4,(TEXT(JC99,"[M]")/60)*'Income Person-hours'!$D$5)</f>
        <v>0</v>
      </c>
    </row>
    <row r="100" spans="1:264" s="255" customFormat="1" ht="13.5">
      <c r="A100" s="227">
        <v>4.5</v>
      </c>
      <c r="B100" s="241" t="s">
        <v>135</v>
      </c>
      <c r="C100" s="228" t="s">
        <v>110</v>
      </c>
      <c r="D100" s="251" t="str">
        <f>IF(OR(j_WEEKDAY(J_ADDDAY(VLOOKUP(I100,A:F,6,FALSE),H100,1),0)=6,SUMIFS(Holieday[ok],Holieday[date],J_ADDDAY(VLOOKUP(I100,A:F,6,FALSE),H100,1)))=FALSE(),J_ADDDAY(VLOOKUP(I100,A:F,6,FALSE),H100,1),IF(OR(j_WEEKDAY(J_ADDDAY(VLOOKUP(I100,A:F,6,FALSE),H100+1,1),0)=6,SUMIFS(Holieday[ok],Holieday[date],J_ADDDAY(VLOOKUP(I100,A:F,6,FALSE),H100+1,1)))=FALSE(),J_ADDDAY(VLOOKUP(I100,A:F,6,FALSE),H100+1,1),IF(OR(j_WEEKDAY(J_ADDDAY(VLOOKUP(I100,A:F,6,FALSE),H100+2,1),0)=6,SUMIFS(Holieday[ok],Holieday[date],J_ADDDAY(VLOOKUP(I100,A:F,6,FALSE),H100+2,1)))=FALSE(),J_ADDDAY(VLOOKUP(I100,A:F,6,FALSE),H100+2,1),IF(OR(j_WEEKDAY(J_ADDDAY(VLOOKUP(I100,A:F,6,FALSE),H100+3,1),0)=6,SUMIFS(Holieday[ok],Holieday[date],J_ADDDAY(VLOOKUP(I100,A:F,6,FALSE),H100+3,1)))=FALSE(),J_ADDDAY(VLOOKUP(I100,A:F,6,FALSE),H100+3,1),IF(OR(j_WEEKDAY(J_ADDDAY(VLOOKUP(I100,A:F,6,FALSE),H100+4,1),0)=6,SUMIFS(Holieday[ok],Holieday[date],J_ADDDAY(VLOOKUP(I100,A:F,6,FALSE),H100+4,1)))=FALSE(),J_ADDDAY(VLOOKUP(I100,A:F,6,FALSE),H100+4,1),J_ADDDAY(VLOOKUP(I100,A:F,6,FALSE),H100+5,1))))))</f>
        <v>1398/08/13</v>
      </c>
      <c r="E100" s="1">
        <f t="shared" si="33"/>
        <v>13980813</v>
      </c>
      <c r="F100" s="251" t="str">
        <f>IF(N100=0,J_SUBDAY(D100,1,1),IF((N100-NETWORKDAYS.INTL(J_GregorianDate(D100,1),J_GregorianDate(J_SUBDAY(J_ADDDAY(D100,N100,1),1,1),1),16,1)-SUMIFS(Holieday[ok],Holieday[date],CONCATENATE("&gt;","=",D100),Holieday[date],CONCATENATE("&lt;","=",J_SUBDAY(J_ADDDAY(D100,N100,1),1,1)))+SUMIFS(Holieday[Friday],Holieday[date],CONCATENATE("&gt;","=",D100),Holieday[date],CONCATENATE("&lt;","=",J_SUBDAY(J_ADDDAY(D100,N100,1),1,1))))=0,J_SUBDAY(J_ADDDAY(D100,N100,1),1,1),IF((N100-NETWORKDAYS.INTL(J_GregorianDate(D100,1),J_GregorianDate(J_SUBDAY(J_ADDDAY(D100,N100,1),1,1),1),16,1)-SUMIFS(Holieday[ok],Holieday[date],CONCATENATE("&gt;","=",D100),Holieday[date],CONCATENATE("&lt;","=",J_SUBDAY(J_ADDDAY(D100,N100,1),1,1)))+SUMIFS(Holieday[Friday],Holieday[date],CONCATENATE("&gt;","=",D100),Holieday[date],CONCATENATE("&lt;","=",J_SUBDAY(J_ADDDAY(D100,N100,1),1,1))))=1,J_SUBDAY(J_ADDDAY(D100,N100+1,1),1,1),IF((N100-NETWORKDAYS.INTL(J_GregorianDate(D100,1),J_GregorianDate(J_SUBDAY(J_ADDDAY(D100,N100,1),1,1),1),16,1)-SUMIFS(Holieday[ok],Holieday[date],CONCATENATE("&gt;","=",D100),Holieday[date],CONCATENATE("&lt;","=",J_SUBDAY(J_ADDDAY(D100,N100,1),1,1)))+SUMIFS(Holieday[Friday],Holieday[date],CONCATENATE("&gt;","=",D100),Holieday[date],CONCATENATE("&lt;","=",J_SUBDAY(J_ADDDAY(D100,N100,1),1,1))))=2,J_SUBDAY(J_ADDDAY(D100,N100+2,1),1,1),J_SUBDAY(J_ADDDAY(D100,N100+3,1),1,1)))))</f>
        <v>1398/08/13</v>
      </c>
      <c r="G100" s="2">
        <f t="shared" si="30"/>
        <v>13980813</v>
      </c>
      <c r="H100" s="230">
        <v>2</v>
      </c>
      <c r="I100" s="231">
        <v>4.4000000000000004</v>
      </c>
      <c r="J100" s="229">
        <f>j_WEEKDAY(D100,2)</f>
        <v>2</v>
      </c>
      <c r="K100" s="21">
        <f t="shared" si="34"/>
        <v>0</v>
      </c>
      <c r="L100" s="246">
        <f t="shared" si="35"/>
        <v>1</v>
      </c>
      <c r="M100" s="233">
        <v>0</v>
      </c>
      <c r="N100" s="234">
        <v>1</v>
      </c>
      <c r="O100" s="10">
        <f t="shared" si="31"/>
        <v>0</v>
      </c>
      <c r="P100" s="10">
        <f>VALUE(J_normdate(J_ADDDAY($D100,$O100,1)))</f>
        <v>13980813</v>
      </c>
      <c r="Q100" s="9">
        <f t="shared" si="32"/>
        <v>1</v>
      </c>
      <c r="R100" s="247"/>
      <c r="S100" s="247"/>
      <c r="T100" s="247"/>
      <c r="U100" s="247"/>
      <c r="V100" s="247"/>
      <c r="W100" s="247"/>
      <c r="X100" s="247"/>
      <c r="Y100" s="247"/>
      <c r="Z100" s="247"/>
      <c r="AA100" s="247"/>
      <c r="AB100" s="247"/>
      <c r="AC100" s="247"/>
      <c r="AD100" s="247"/>
      <c r="AE100" s="247"/>
      <c r="AF100" s="247"/>
      <c r="AG100" s="247"/>
      <c r="AH100" s="247"/>
      <c r="AI100" s="247"/>
      <c r="AJ100" s="247"/>
      <c r="AK100" s="247"/>
      <c r="AL100" s="247"/>
      <c r="AM100" s="247"/>
      <c r="AN100" s="247"/>
      <c r="AO100" s="247"/>
      <c r="AP100" s="247"/>
      <c r="AQ100" s="247"/>
      <c r="AR100" s="247"/>
      <c r="AS100" s="247"/>
      <c r="AT100" s="247"/>
      <c r="AU100" s="247"/>
      <c r="AV100" s="247"/>
      <c r="AW100" s="247"/>
      <c r="AX100" s="247"/>
      <c r="AY100" s="247"/>
      <c r="AZ100" s="247"/>
      <c r="BA100" s="247"/>
      <c r="BB100" s="247"/>
      <c r="BC100" s="247"/>
      <c r="BD100" s="247"/>
      <c r="BE100" s="247"/>
      <c r="BF100" s="247"/>
      <c r="BG100" s="247"/>
      <c r="BH100" s="247"/>
      <c r="BI100" s="247"/>
      <c r="BJ100" s="247"/>
      <c r="BK100" s="247"/>
      <c r="BL100" s="247"/>
      <c r="BM100" s="247"/>
      <c r="BN100" s="247"/>
      <c r="BO100" s="247"/>
      <c r="BP100" s="247"/>
      <c r="BQ100" s="247"/>
      <c r="BR100" s="247"/>
      <c r="BS100" s="247"/>
      <c r="BT100" s="247"/>
      <c r="BU100" s="247"/>
      <c r="BV100" s="247"/>
      <c r="BW100" s="247"/>
      <c r="BX100" s="247"/>
      <c r="BY100" s="247"/>
      <c r="BZ100" s="247"/>
      <c r="CA100" s="247"/>
      <c r="CB100" s="247"/>
      <c r="CC100" s="247"/>
      <c r="CD100" s="247"/>
      <c r="CE100" s="247"/>
      <c r="CF100" s="247"/>
      <c r="CG100" s="247"/>
      <c r="CH100" s="247"/>
      <c r="CI100" s="247"/>
      <c r="CJ100" s="247"/>
      <c r="CK100" s="247"/>
      <c r="CL100" s="247"/>
      <c r="CM100" s="247"/>
      <c r="CN100" s="247"/>
      <c r="CO100" s="247"/>
      <c r="CP100" s="247"/>
      <c r="CQ100" s="247"/>
      <c r="CR100" s="247"/>
      <c r="CS100" s="247"/>
      <c r="CT100" s="247"/>
      <c r="CU100" s="247"/>
      <c r="CV100" s="247"/>
      <c r="CW100" s="247"/>
      <c r="CX100" s="247"/>
      <c r="CY100" s="247"/>
      <c r="CZ100" s="247"/>
      <c r="DA100" s="247"/>
      <c r="DB100" s="247"/>
      <c r="DC100" s="247"/>
      <c r="DD100" s="247"/>
      <c r="DE100" s="247"/>
      <c r="DF100" s="247"/>
      <c r="DG100" s="247"/>
      <c r="DH100" s="247"/>
      <c r="DI100" s="247"/>
      <c r="DJ100" s="247"/>
      <c r="DK100" s="247"/>
      <c r="DL100" s="247"/>
      <c r="DM100" s="247"/>
      <c r="DN100" s="247"/>
      <c r="DO100" s="247"/>
      <c r="DP100" s="247"/>
      <c r="DQ100" s="247"/>
      <c r="DR100" s="247"/>
      <c r="DS100" s="247"/>
      <c r="DT100" s="247"/>
      <c r="DU100" s="247"/>
      <c r="DV100" s="247"/>
      <c r="DW100" s="247"/>
      <c r="DX100" s="247"/>
      <c r="DY100" s="247"/>
      <c r="DZ100" s="247"/>
      <c r="EA100" s="247"/>
      <c r="EB100" s="247"/>
      <c r="EC100" s="247"/>
      <c r="ED100" s="247"/>
      <c r="EE100" s="247"/>
      <c r="EF100" s="247"/>
      <c r="EG100" s="247"/>
      <c r="EH100" s="247"/>
      <c r="EI100" s="247"/>
      <c r="EJ100" s="247"/>
      <c r="EK100" s="247"/>
      <c r="EL100" s="247"/>
      <c r="EM100" s="247"/>
      <c r="EN100" s="247"/>
      <c r="EO100" s="247"/>
      <c r="EP100" s="247"/>
      <c r="EQ100" s="247"/>
      <c r="ER100" s="247"/>
      <c r="ES100" s="247"/>
      <c r="ET100" s="247"/>
      <c r="EU100" s="247"/>
      <c r="EV100" s="247"/>
      <c r="EW100" s="247"/>
      <c r="EX100" s="247"/>
      <c r="EY100" s="247"/>
      <c r="EZ100" s="247"/>
      <c r="FA100" s="247"/>
      <c r="FB100" s="247"/>
      <c r="FC100" s="247"/>
      <c r="FD100" s="247"/>
      <c r="FE100" s="247"/>
      <c r="FF100" s="247"/>
      <c r="FG100" s="247"/>
      <c r="FH100" s="247"/>
      <c r="FI100" s="247"/>
      <c r="FJ100" s="247"/>
      <c r="FK100" s="247"/>
      <c r="FL100" s="247"/>
      <c r="FM100" s="247"/>
      <c r="FN100" s="247"/>
      <c r="FO100" s="247"/>
      <c r="FP100" s="247"/>
      <c r="FQ100" s="247"/>
      <c r="FR100" s="247"/>
      <c r="FS100" s="247"/>
      <c r="FT100" s="247"/>
      <c r="FU100" s="247"/>
      <c r="FV100" s="247"/>
      <c r="FW100" s="247"/>
      <c r="FX100" s="247"/>
      <c r="FY100" s="247"/>
      <c r="FZ100" s="247"/>
      <c r="GA100" s="247"/>
      <c r="GB100" s="247"/>
      <c r="GC100" s="247"/>
      <c r="GD100" s="247"/>
      <c r="GE100" s="247"/>
      <c r="GF100" s="247"/>
      <c r="GG100" s="247"/>
      <c r="GH100" s="247"/>
      <c r="GI100" s="247"/>
      <c r="GJ100" s="247"/>
      <c r="GK100" s="247"/>
      <c r="GL100" s="247"/>
      <c r="GM100" s="247"/>
      <c r="GN100" s="247"/>
      <c r="GO100" s="247"/>
      <c r="GP100" s="247"/>
      <c r="GQ100" s="247"/>
      <c r="GR100" s="247"/>
      <c r="GS100" s="247"/>
      <c r="GT100" s="247"/>
      <c r="GU100" s="247"/>
      <c r="GV100" s="247"/>
      <c r="GW100" s="247"/>
      <c r="GX100" s="247"/>
      <c r="GY100" s="247"/>
      <c r="GZ100" s="247"/>
      <c r="HA100" s="247"/>
      <c r="HB100" s="247"/>
      <c r="HC100" s="247"/>
      <c r="HD100" s="247"/>
      <c r="HE100" s="247"/>
      <c r="HF100" s="247"/>
      <c r="HG100" s="247"/>
      <c r="HH100" s="247"/>
      <c r="HI100" s="247"/>
      <c r="HJ100" s="247"/>
      <c r="HK100" s="247"/>
      <c r="HL100" s="247"/>
      <c r="HM100" s="247"/>
      <c r="HN100" s="247"/>
      <c r="HO100" s="247"/>
      <c r="HP100" s="247"/>
      <c r="HQ100" s="247"/>
      <c r="HR100" s="247"/>
      <c r="HS100" s="247"/>
      <c r="HT100" s="247"/>
      <c r="HU100" s="247"/>
      <c r="HV100" s="247"/>
      <c r="HW100" s="247"/>
      <c r="HX100" s="247"/>
      <c r="HY100" s="247"/>
      <c r="HZ100" s="247"/>
      <c r="IA100" s="247"/>
      <c r="IB100" s="247"/>
      <c r="IC100" s="247"/>
      <c r="ID100" s="247"/>
      <c r="IE100" s="247"/>
      <c r="IF100" s="247"/>
      <c r="IG100" s="247"/>
      <c r="IH100" s="247"/>
      <c r="II100" s="247"/>
      <c r="IJ100" s="247"/>
      <c r="IK100" s="247"/>
      <c r="IL100" s="247"/>
      <c r="IM100" s="247"/>
      <c r="IN100" s="247"/>
      <c r="IO100" s="247"/>
      <c r="IP100" s="247"/>
      <c r="IQ100" s="247"/>
      <c r="IR100" s="247"/>
      <c r="IS100" s="247"/>
      <c r="IT100" s="247"/>
      <c r="IU100" s="247"/>
      <c r="IV100" s="247"/>
      <c r="IW100" s="247"/>
      <c r="IX100" s="247"/>
      <c r="IY100" s="236">
        <v>1</v>
      </c>
      <c r="IZ100" s="237">
        <f>(TEXT(K100,"[m]")/60)*VLOOKUP(IY100,'Income Person-hours'!A$2:C$5,3,FALSE)</f>
        <v>0</v>
      </c>
      <c r="JA100" s="253"/>
      <c r="JB100" s="253"/>
      <c r="JC100" s="253"/>
      <c r="JD100" s="254">
        <f>SUM((TEXT(JA100,"[M]")/60)*'Income Person-hours'!$D$3,(TEXT(JB100,"[M]")/60)*'Income Person-hours'!$D$4,(TEXT(JC100,"[M]")/60)*'Income Person-hours'!$D$5)</f>
        <v>0</v>
      </c>
    </row>
    <row r="101" spans="1:264" s="255" customFormat="1" ht="13.5">
      <c r="A101" s="227">
        <v>4.5999999999999996</v>
      </c>
      <c r="B101" s="241" t="s">
        <v>137</v>
      </c>
      <c r="C101" s="228" t="s">
        <v>110</v>
      </c>
      <c r="D101" s="251" t="str">
        <f>IF(OR(j_WEEKDAY(J_ADDDAY(VLOOKUP(I101,A:F,6,FALSE),H101,1),0)=6,SUMIFS(Holieday[ok],Holieday[date],J_ADDDAY(VLOOKUP(I101,A:F,6,FALSE),H101,1)))=FALSE(),J_ADDDAY(VLOOKUP(I101,A:F,6,FALSE),H101,1),IF(OR(j_WEEKDAY(J_ADDDAY(VLOOKUP(I101,A:F,6,FALSE),H101+1,1),0)=6,SUMIFS(Holieday[ok],Holieday[date],J_ADDDAY(VLOOKUP(I101,A:F,6,FALSE),H101+1,1)))=FALSE(),J_ADDDAY(VLOOKUP(I101,A:F,6,FALSE),H101+1,1),IF(OR(j_WEEKDAY(J_ADDDAY(VLOOKUP(I101,A:F,6,FALSE),H101+2,1),0)=6,SUMIFS(Holieday[ok],Holieday[date],J_ADDDAY(VLOOKUP(I101,A:F,6,FALSE),H101+2,1)))=FALSE(),J_ADDDAY(VLOOKUP(I101,A:F,6,FALSE),H101+2,1),IF(OR(j_WEEKDAY(J_ADDDAY(VLOOKUP(I101,A:F,6,FALSE),H101+3,1),0)=6,SUMIFS(Holieday[ok],Holieday[date],J_ADDDAY(VLOOKUP(I101,A:F,6,FALSE),H101+3,1)))=FALSE(),J_ADDDAY(VLOOKUP(I101,A:F,6,FALSE),H101+3,1),IF(OR(j_WEEKDAY(J_ADDDAY(VLOOKUP(I101,A:F,6,FALSE),H101+4,1),0)=6,SUMIFS(Holieday[ok],Holieday[date],J_ADDDAY(VLOOKUP(I101,A:F,6,FALSE),H101+4,1)))=FALSE(),J_ADDDAY(VLOOKUP(I101,A:F,6,FALSE),H101+4,1),J_ADDDAY(VLOOKUP(I101,A:F,6,FALSE),H101+5,1))))))</f>
        <v>1398/08/18</v>
      </c>
      <c r="E101" s="1">
        <f t="shared" si="33"/>
        <v>13980818</v>
      </c>
      <c r="F101" s="251" t="str">
        <f>IF(N101=0,J_SUBDAY(D101,1,1),IF((N101-NETWORKDAYS.INTL(J_GregorianDate(D101,1),J_GregorianDate(J_SUBDAY(J_ADDDAY(D101,N101,1),1,1),1),16,1)-SUMIFS(Holieday[ok],Holieday[date],CONCATENATE("&gt;","=",D101),Holieday[date],CONCATENATE("&lt;","=",J_SUBDAY(J_ADDDAY(D101,N101,1),1,1)))+SUMIFS(Holieday[Friday],Holieday[date],CONCATENATE("&gt;","=",D101),Holieday[date],CONCATENATE("&lt;","=",J_SUBDAY(J_ADDDAY(D101,N101,1),1,1))))=0,J_SUBDAY(J_ADDDAY(D101,N101,1),1,1),IF((N101-NETWORKDAYS.INTL(J_GregorianDate(D101,1),J_GregorianDate(J_SUBDAY(J_ADDDAY(D101,N101,1),1,1),1),16,1)-SUMIFS(Holieday[ok],Holieday[date],CONCATENATE("&gt;","=",D101),Holieday[date],CONCATENATE("&lt;","=",J_SUBDAY(J_ADDDAY(D101,N101,1),1,1)))+SUMIFS(Holieday[Friday],Holieday[date],CONCATENATE("&gt;","=",D101),Holieday[date],CONCATENATE("&lt;","=",J_SUBDAY(J_ADDDAY(D101,N101,1),1,1))))=1,J_SUBDAY(J_ADDDAY(D101,N101+1,1),1,1),IF((N101-NETWORKDAYS.INTL(J_GregorianDate(D101,1),J_GregorianDate(J_SUBDAY(J_ADDDAY(D101,N101,1),1,1),1),16,1)-SUMIFS(Holieday[ok],Holieday[date],CONCATENATE("&gt;","=",D101),Holieday[date],CONCATENATE("&lt;","=",J_SUBDAY(J_ADDDAY(D101,N101,1),1,1)))+SUMIFS(Holieday[Friday],Holieday[date],CONCATENATE("&gt;","=",D101),Holieday[date],CONCATENATE("&lt;","=",J_SUBDAY(J_ADDDAY(D101,N101,1),1,1))))=2,J_SUBDAY(J_ADDDAY(D101,N101+2,1),1,1),J_SUBDAY(J_ADDDAY(D101,N101+3,1),1,1)))))</f>
        <v>1398/08/22</v>
      </c>
      <c r="G101" s="2">
        <f t="shared" si="30"/>
        <v>13980822</v>
      </c>
      <c r="H101" s="230">
        <v>5</v>
      </c>
      <c r="I101" s="231">
        <v>4.5</v>
      </c>
      <c r="J101" s="229">
        <f>j_WEEKDAY(D101,2)</f>
        <v>0</v>
      </c>
      <c r="K101" s="21">
        <f t="shared" si="34"/>
        <v>0</v>
      </c>
      <c r="L101" s="246">
        <f t="shared" si="35"/>
        <v>5</v>
      </c>
      <c r="M101" s="233">
        <v>0</v>
      </c>
      <c r="N101" s="234">
        <v>5</v>
      </c>
      <c r="O101" s="10">
        <f t="shared" si="31"/>
        <v>0</v>
      </c>
      <c r="P101" s="10">
        <f>VALUE(J_normdate(J_ADDDAY($D101,$O101,1)))</f>
        <v>13980818</v>
      </c>
      <c r="Q101" s="9">
        <f t="shared" si="32"/>
        <v>5</v>
      </c>
      <c r="R101" s="247"/>
      <c r="S101" s="247"/>
      <c r="T101" s="247"/>
      <c r="U101" s="247"/>
      <c r="V101" s="247"/>
      <c r="W101" s="247"/>
      <c r="X101" s="247"/>
      <c r="Y101" s="247"/>
      <c r="Z101" s="247"/>
      <c r="AA101" s="247"/>
      <c r="AB101" s="247"/>
      <c r="AC101" s="247"/>
      <c r="AD101" s="247"/>
      <c r="AE101" s="247"/>
      <c r="AF101" s="247"/>
      <c r="AG101" s="247"/>
      <c r="AH101" s="247"/>
      <c r="AI101" s="247"/>
      <c r="AJ101" s="247"/>
      <c r="AK101" s="247"/>
      <c r="AL101" s="247"/>
      <c r="AM101" s="247"/>
      <c r="AN101" s="247"/>
      <c r="AO101" s="247"/>
      <c r="AP101" s="247"/>
      <c r="AQ101" s="247"/>
      <c r="AR101" s="247"/>
      <c r="AS101" s="247"/>
      <c r="AT101" s="247"/>
      <c r="AU101" s="247"/>
      <c r="AV101" s="247"/>
      <c r="AW101" s="247"/>
      <c r="AX101" s="247"/>
      <c r="AY101" s="247"/>
      <c r="AZ101" s="247"/>
      <c r="BA101" s="247"/>
      <c r="BB101" s="247"/>
      <c r="BC101" s="247"/>
      <c r="BD101" s="247"/>
      <c r="BE101" s="247"/>
      <c r="BF101" s="247"/>
      <c r="BG101" s="247"/>
      <c r="BH101" s="247"/>
      <c r="BI101" s="247"/>
      <c r="BJ101" s="247"/>
      <c r="BK101" s="247"/>
      <c r="BL101" s="247"/>
      <c r="BM101" s="247"/>
      <c r="BN101" s="247"/>
      <c r="BO101" s="247"/>
      <c r="BP101" s="247"/>
      <c r="BQ101" s="247"/>
      <c r="BR101" s="247"/>
      <c r="BS101" s="247"/>
      <c r="BT101" s="247"/>
      <c r="BU101" s="247"/>
      <c r="BV101" s="247"/>
      <c r="BW101" s="247"/>
      <c r="BX101" s="247"/>
      <c r="BY101" s="247"/>
      <c r="BZ101" s="247"/>
      <c r="CA101" s="247"/>
      <c r="CB101" s="247"/>
      <c r="CC101" s="247"/>
      <c r="CD101" s="247"/>
      <c r="CE101" s="247"/>
      <c r="CF101" s="247"/>
      <c r="CG101" s="247"/>
      <c r="CH101" s="247"/>
      <c r="CI101" s="247"/>
      <c r="CJ101" s="247"/>
      <c r="CK101" s="247"/>
      <c r="CL101" s="247"/>
      <c r="CM101" s="247"/>
      <c r="CN101" s="247"/>
      <c r="CO101" s="247"/>
      <c r="CP101" s="247"/>
      <c r="CQ101" s="247"/>
      <c r="CR101" s="247"/>
      <c r="CS101" s="247"/>
      <c r="CT101" s="247"/>
      <c r="CU101" s="247"/>
      <c r="CV101" s="247"/>
      <c r="CW101" s="247"/>
      <c r="CX101" s="247"/>
      <c r="CY101" s="247"/>
      <c r="CZ101" s="247"/>
      <c r="DA101" s="247"/>
      <c r="DB101" s="247"/>
      <c r="DC101" s="247"/>
      <c r="DD101" s="247"/>
      <c r="DE101" s="247"/>
      <c r="DF101" s="247"/>
      <c r="DG101" s="247"/>
      <c r="DH101" s="247"/>
      <c r="DI101" s="247"/>
      <c r="DJ101" s="247"/>
      <c r="DK101" s="247"/>
      <c r="DL101" s="247"/>
      <c r="DM101" s="247"/>
      <c r="DN101" s="247"/>
      <c r="DO101" s="247"/>
      <c r="DP101" s="247"/>
      <c r="DQ101" s="247"/>
      <c r="DR101" s="247"/>
      <c r="DS101" s="247"/>
      <c r="DT101" s="247"/>
      <c r="DU101" s="247"/>
      <c r="DV101" s="247"/>
      <c r="DW101" s="247"/>
      <c r="DX101" s="247"/>
      <c r="DY101" s="247"/>
      <c r="DZ101" s="247"/>
      <c r="EA101" s="247"/>
      <c r="EB101" s="247"/>
      <c r="EC101" s="247"/>
      <c r="ED101" s="247"/>
      <c r="EE101" s="247"/>
      <c r="EF101" s="247"/>
      <c r="EG101" s="247"/>
      <c r="EH101" s="247"/>
      <c r="EI101" s="247"/>
      <c r="EJ101" s="247"/>
      <c r="EK101" s="247"/>
      <c r="EL101" s="247"/>
      <c r="EM101" s="247"/>
      <c r="EN101" s="247"/>
      <c r="EO101" s="247"/>
      <c r="EP101" s="247"/>
      <c r="EQ101" s="247"/>
      <c r="ER101" s="247"/>
      <c r="ES101" s="247"/>
      <c r="ET101" s="247"/>
      <c r="EU101" s="247"/>
      <c r="EV101" s="247"/>
      <c r="EW101" s="247"/>
      <c r="EX101" s="247"/>
      <c r="EY101" s="247"/>
      <c r="EZ101" s="247"/>
      <c r="FA101" s="247"/>
      <c r="FB101" s="247"/>
      <c r="FC101" s="247"/>
      <c r="FD101" s="247"/>
      <c r="FE101" s="247"/>
      <c r="FF101" s="247"/>
      <c r="FG101" s="247"/>
      <c r="FH101" s="247"/>
      <c r="FI101" s="247"/>
      <c r="FJ101" s="247"/>
      <c r="FK101" s="247"/>
      <c r="FL101" s="247"/>
      <c r="FM101" s="247"/>
      <c r="FN101" s="247"/>
      <c r="FO101" s="247"/>
      <c r="FP101" s="247"/>
      <c r="FQ101" s="247"/>
      <c r="FR101" s="247"/>
      <c r="FS101" s="247"/>
      <c r="FT101" s="247"/>
      <c r="FU101" s="247"/>
      <c r="FV101" s="247"/>
      <c r="FW101" s="247"/>
      <c r="FX101" s="247"/>
      <c r="FY101" s="247"/>
      <c r="FZ101" s="247"/>
      <c r="GA101" s="247"/>
      <c r="GB101" s="247"/>
      <c r="GC101" s="247"/>
      <c r="GD101" s="247"/>
      <c r="GE101" s="247"/>
      <c r="GF101" s="247"/>
      <c r="GG101" s="247"/>
      <c r="GH101" s="247"/>
      <c r="GI101" s="247"/>
      <c r="GJ101" s="247"/>
      <c r="GK101" s="247"/>
      <c r="GL101" s="247"/>
      <c r="GM101" s="247"/>
      <c r="GN101" s="247"/>
      <c r="GO101" s="247"/>
      <c r="GP101" s="247"/>
      <c r="GQ101" s="247"/>
      <c r="GR101" s="247"/>
      <c r="GS101" s="247"/>
      <c r="GT101" s="247"/>
      <c r="GU101" s="247"/>
      <c r="GV101" s="247"/>
      <c r="GW101" s="247"/>
      <c r="GX101" s="247"/>
      <c r="GY101" s="247"/>
      <c r="GZ101" s="247"/>
      <c r="HA101" s="247"/>
      <c r="HB101" s="247"/>
      <c r="HC101" s="247"/>
      <c r="HD101" s="247"/>
      <c r="HE101" s="247"/>
      <c r="HF101" s="247"/>
      <c r="HG101" s="247"/>
      <c r="HH101" s="247"/>
      <c r="HI101" s="247"/>
      <c r="HJ101" s="247"/>
      <c r="HK101" s="247"/>
      <c r="HL101" s="247"/>
      <c r="HM101" s="247"/>
      <c r="HN101" s="247"/>
      <c r="HO101" s="247"/>
      <c r="HP101" s="247"/>
      <c r="HQ101" s="247"/>
      <c r="HR101" s="247"/>
      <c r="HS101" s="247"/>
      <c r="HT101" s="247"/>
      <c r="HU101" s="247"/>
      <c r="HV101" s="247"/>
      <c r="HW101" s="247"/>
      <c r="HX101" s="247"/>
      <c r="HY101" s="247"/>
      <c r="HZ101" s="247"/>
      <c r="IA101" s="247"/>
      <c r="IB101" s="247"/>
      <c r="IC101" s="247"/>
      <c r="ID101" s="247"/>
      <c r="IE101" s="247"/>
      <c r="IF101" s="247"/>
      <c r="IG101" s="247"/>
      <c r="IH101" s="247"/>
      <c r="II101" s="247"/>
      <c r="IJ101" s="247"/>
      <c r="IK101" s="247"/>
      <c r="IL101" s="247"/>
      <c r="IM101" s="247"/>
      <c r="IN101" s="247"/>
      <c r="IO101" s="247"/>
      <c r="IP101" s="247"/>
      <c r="IQ101" s="247"/>
      <c r="IR101" s="247"/>
      <c r="IS101" s="247"/>
      <c r="IT101" s="247"/>
      <c r="IU101" s="247"/>
      <c r="IV101" s="247"/>
      <c r="IW101" s="247"/>
      <c r="IX101" s="247"/>
      <c r="IY101" s="236">
        <v>3</v>
      </c>
      <c r="IZ101" s="237">
        <f>(TEXT(K101,"[m]")/60)*VLOOKUP(IY101,'Income Person-hours'!A$2:C$5,3,FALSE)</f>
        <v>0</v>
      </c>
      <c r="JA101" s="253"/>
      <c r="JB101" s="253"/>
      <c r="JC101" s="253"/>
      <c r="JD101" s="254">
        <f>SUM((TEXT(JA101,"[M]")/60)*'Income Person-hours'!$D$3,(TEXT(JB101,"[M]")/60)*'Income Person-hours'!$D$4,(TEXT(JC101,"[M]")/60)*'Income Person-hours'!$D$5)</f>
        <v>0</v>
      </c>
    </row>
    <row r="102" spans="1:264" s="11" customFormat="1" ht="11.25" hidden="1">
      <c r="A102" s="168">
        <v>4.7</v>
      </c>
      <c r="B102" s="106"/>
      <c r="C102" s="107"/>
      <c r="D102" s="12" t="str">
        <f>IF(OR(j_WEEKDAY(J_ADDDAY(VLOOKUP(I102,A:F,6,FALSE),H102,1),0)=6,SUMIFS(Holieday[ok],Holieday[date],J_ADDDAY(VLOOKUP(I102,A:F,6,FALSE),H102,1)))=FALSE(),J_ADDDAY(VLOOKUP(I102,A:F,6,FALSE),H102,1),IF(OR(j_WEEKDAY(J_ADDDAY(VLOOKUP(I102,A:F,6,FALSE),H102+1,1),0)=6,SUMIFS(Holieday[ok],Holieday[date],J_ADDDAY(VLOOKUP(I102,A:F,6,FALSE),H102+1,1)))=FALSE(),J_ADDDAY(VLOOKUP(I102,A:F,6,FALSE),H102+1,1),IF(OR(j_WEEKDAY(J_ADDDAY(VLOOKUP(I102,A:F,6,FALSE),H102+2,1),0)=6,SUMIFS(Holieday[ok],Holieday[date],J_ADDDAY(VLOOKUP(I102,A:F,6,FALSE),H102+2,1)))=FALSE(),J_ADDDAY(VLOOKUP(I102,A:F,6,FALSE),H102+2,1),IF(OR(j_WEEKDAY(J_ADDDAY(VLOOKUP(I102,A:F,6,FALSE),H102+3,1),0)=6,SUMIFS(Holieday[ok],Holieday[date],J_ADDDAY(VLOOKUP(I102,A:F,6,FALSE),H102+3,1)))=FALSE(),J_ADDDAY(VLOOKUP(I102,A:F,6,FALSE),H102+3,1),IF(OR(j_WEEKDAY(J_ADDDAY(VLOOKUP(I102,A:F,6,FALSE),H102+4,1),0)=6,SUMIFS(Holieday[ok],Holieday[date],J_ADDDAY(VLOOKUP(I102,A:F,6,FALSE),H102+4,1)))=FALSE(),J_ADDDAY(VLOOKUP(I102,A:F,6,FALSE),H102+4,1),J_ADDDAY(VLOOKUP(I102,A:F,6,FALSE),H102+5,1))))))</f>
        <v>1398/07/02</v>
      </c>
      <c r="E102" s="1">
        <f t="shared" si="33"/>
        <v>13980702</v>
      </c>
      <c r="F102" s="12" t="str">
        <f>IF(N102=0,J_SUBDAY(D102,1,1),IF((N102-NETWORKDAYS.INTL(J_GregorianDate(D102,1),J_GregorianDate(J_SUBDAY(J_ADDDAY(D102,N102,1),1,1),1),16,1)-SUMIFS(Holieday[ok],Holieday[date],CONCATENATE("&gt;","=",D102),Holieday[date],CONCATENATE("&lt;","=",J_SUBDAY(J_ADDDAY(D102,N102,1),1,1)))+SUMIFS(Holieday[Friday],Holieday[date],CONCATENATE("&gt;","=",D102),Holieday[date],CONCATENATE("&lt;","=",J_SUBDAY(J_ADDDAY(D102,N102,1),1,1))))=0,J_SUBDAY(J_ADDDAY(D102,N102,1),1,1),IF((N102-NETWORKDAYS.INTL(J_GregorianDate(D102,1),J_GregorianDate(J_SUBDAY(J_ADDDAY(D102,N102,1),1,1),1),16,1)-SUMIFS(Holieday[ok],Holieday[date],CONCATENATE("&gt;","=",D102),Holieday[date],CONCATENATE("&lt;","=",J_SUBDAY(J_ADDDAY(D102,N102,1),1,1)))+SUMIFS(Holieday[Friday],Holieday[date],CONCATENATE("&gt;","=",D102),Holieday[date],CONCATENATE("&lt;","=",J_SUBDAY(J_ADDDAY(D102,N102,1),1,1))))=1,J_SUBDAY(J_ADDDAY(D102,N102+1,1),1,1),IF((N102-NETWORKDAYS.INTL(J_GregorianDate(D102,1),J_GregorianDate(J_SUBDAY(J_ADDDAY(D102,N102,1),1,1),1),16,1)-SUMIFS(Holieday[ok],Holieday[date],CONCATENATE("&gt;","=",D102),Holieday[date],CONCATENATE("&lt;","=",J_SUBDAY(J_ADDDAY(D102,N102,1),1,1)))+SUMIFS(Holieday[Friday],Holieday[date],CONCATENATE("&gt;","=",D102),Holieday[date],CONCATENATE("&lt;","=",J_SUBDAY(J_ADDDAY(D102,N102,1),1,1))))=2,J_SUBDAY(J_ADDDAY(D102,N102+2,1),1,1),J_SUBDAY(J_ADDDAY(D102,N102+3,1),1,1)))))</f>
        <v>1398/07/01</v>
      </c>
      <c r="G102" s="2">
        <f t="shared" si="30"/>
        <v>13980701</v>
      </c>
      <c r="H102" s="109"/>
      <c r="I102" s="110">
        <v>1.2</v>
      </c>
      <c r="J102" s="171">
        <f>j_WEEKDAY(D102,2)</f>
        <v>3</v>
      </c>
      <c r="K102" s="21">
        <f t="shared" si="34"/>
        <v>0</v>
      </c>
      <c r="L102" s="8">
        <f t="shared" si="35"/>
        <v>0</v>
      </c>
      <c r="M102" s="111">
        <v>0</v>
      </c>
      <c r="N102" s="108">
        <v>0</v>
      </c>
      <c r="O102" s="10">
        <f t="shared" si="31"/>
        <v>0</v>
      </c>
      <c r="P102" s="10">
        <f>VALUE(J_normdate(J_ADDDAY($D102,$O102,1)))</f>
        <v>13980702</v>
      </c>
      <c r="Q102" s="9">
        <f t="shared" si="32"/>
        <v>0</v>
      </c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7"/>
      <c r="FF102" s="7"/>
      <c r="FG102" s="7"/>
      <c r="FH102" s="7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7"/>
      <c r="HA102" s="7"/>
      <c r="HB102" s="7"/>
      <c r="HC102" s="7"/>
      <c r="HD102" s="7"/>
      <c r="HE102" s="7"/>
      <c r="HF102" s="7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7"/>
      <c r="HR102" s="7"/>
      <c r="HS102" s="7"/>
      <c r="HT102" s="7"/>
      <c r="HU102" s="7"/>
      <c r="HV102" s="7"/>
      <c r="HW102" s="7"/>
      <c r="HX102" s="7"/>
      <c r="HY102" s="7"/>
      <c r="HZ102" s="7"/>
      <c r="IA102" s="7"/>
      <c r="IB102" s="7"/>
      <c r="IC102" s="7"/>
      <c r="ID102" s="7"/>
      <c r="IE102" s="7"/>
      <c r="IF102" s="7"/>
      <c r="IG102" s="7"/>
      <c r="IH102" s="7"/>
      <c r="II102" s="7"/>
      <c r="IJ102" s="7"/>
      <c r="IK102" s="7"/>
      <c r="IL102" s="7"/>
      <c r="IM102" s="7"/>
      <c r="IN102" s="7"/>
      <c r="IO102" s="7"/>
      <c r="IP102" s="7"/>
      <c r="IQ102" s="7"/>
      <c r="IR102" s="7"/>
      <c r="IS102" s="7"/>
      <c r="IT102" s="7"/>
      <c r="IU102" s="7"/>
      <c r="IV102" s="7"/>
      <c r="IW102" s="7"/>
      <c r="IX102" s="7"/>
      <c r="IY102" s="29">
        <v>1</v>
      </c>
      <c r="IZ102" s="33">
        <f>(TEXT(K102,"[m]")/60)*VLOOKUP(IY102,'Income Person-hours'!A$2:C$5,3,FALSE)</f>
        <v>0</v>
      </c>
      <c r="JA102" s="113"/>
      <c r="JB102" s="113"/>
      <c r="JC102" s="113"/>
      <c r="JD102" s="66">
        <f>SUM((TEXT(JA102,"[M]")/60)*'Income Person-hours'!$D$3,(TEXT(JB102,"[M]")/60)*'Income Person-hours'!$D$4,(TEXT(JC102,"[M]")/60)*'Income Person-hours'!$D$5)</f>
        <v>0</v>
      </c>
    </row>
    <row r="103" spans="1:264" s="11" customFormat="1" ht="11.25" hidden="1">
      <c r="A103" s="168">
        <v>4.8</v>
      </c>
      <c r="B103" s="106"/>
      <c r="C103" s="107"/>
      <c r="D103" s="12" t="str">
        <f>IF(OR(j_WEEKDAY(J_ADDDAY(VLOOKUP(I103,A:F,6,FALSE),H103,1),0)=6,SUMIFS(Holieday[ok],Holieday[date],J_ADDDAY(VLOOKUP(I103,A:F,6,FALSE),H103,1)))=FALSE(),J_ADDDAY(VLOOKUP(I103,A:F,6,FALSE),H103,1),IF(OR(j_WEEKDAY(J_ADDDAY(VLOOKUP(I103,A:F,6,FALSE),H103+1,1),0)=6,SUMIFS(Holieday[ok],Holieday[date],J_ADDDAY(VLOOKUP(I103,A:F,6,FALSE),H103+1,1)))=FALSE(),J_ADDDAY(VLOOKUP(I103,A:F,6,FALSE),H103+1,1),IF(OR(j_WEEKDAY(J_ADDDAY(VLOOKUP(I103,A:F,6,FALSE),H103+2,1),0)=6,SUMIFS(Holieday[ok],Holieday[date],J_ADDDAY(VLOOKUP(I103,A:F,6,FALSE),H103+2,1)))=FALSE(),J_ADDDAY(VLOOKUP(I103,A:F,6,FALSE),H103+2,1),IF(OR(j_WEEKDAY(J_ADDDAY(VLOOKUP(I103,A:F,6,FALSE),H103+3,1),0)=6,SUMIFS(Holieday[ok],Holieday[date],J_ADDDAY(VLOOKUP(I103,A:F,6,FALSE),H103+3,1)))=FALSE(),J_ADDDAY(VLOOKUP(I103,A:F,6,FALSE),H103+3,1),IF(OR(j_WEEKDAY(J_ADDDAY(VLOOKUP(I103,A:F,6,FALSE),H103+4,1),0)=6,SUMIFS(Holieday[ok],Holieday[date],J_ADDDAY(VLOOKUP(I103,A:F,6,FALSE),H103+4,1)))=FALSE(),J_ADDDAY(VLOOKUP(I103,A:F,6,FALSE),H103+4,1),J_ADDDAY(VLOOKUP(I103,A:F,6,FALSE),H103+5,1))))))</f>
        <v>1398/07/02</v>
      </c>
      <c r="E103" s="1">
        <f t="shared" si="33"/>
        <v>13980702</v>
      </c>
      <c r="F103" s="12" t="str">
        <f>IF(N103=0,J_SUBDAY(D103,1,1),IF((N103-NETWORKDAYS.INTL(J_GregorianDate(D103,1),J_GregorianDate(J_SUBDAY(J_ADDDAY(D103,N103,1),1,1),1),16,1)-SUMIFS(Holieday[ok],Holieday[date],CONCATENATE("&gt;","=",D103),Holieday[date],CONCATENATE("&lt;","=",J_SUBDAY(J_ADDDAY(D103,N103,1),1,1)))+SUMIFS(Holieday[Friday],Holieday[date],CONCATENATE("&gt;","=",D103),Holieday[date],CONCATENATE("&lt;","=",J_SUBDAY(J_ADDDAY(D103,N103,1),1,1))))=0,J_SUBDAY(J_ADDDAY(D103,N103,1),1,1),IF((N103-NETWORKDAYS.INTL(J_GregorianDate(D103,1),J_GregorianDate(J_SUBDAY(J_ADDDAY(D103,N103,1),1,1),1),16,1)-SUMIFS(Holieday[ok],Holieday[date],CONCATENATE("&gt;","=",D103),Holieday[date],CONCATENATE("&lt;","=",J_SUBDAY(J_ADDDAY(D103,N103,1),1,1)))+SUMIFS(Holieday[Friday],Holieday[date],CONCATENATE("&gt;","=",D103),Holieday[date],CONCATENATE("&lt;","=",J_SUBDAY(J_ADDDAY(D103,N103,1),1,1))))=1,J_SUBDAY(J_ADDDAY(D103,N103+1,1),1,1),IF((N103-NETWORKDAYS.INTL(J_GregorianDate(D103,1),J_GregorianDate(J_SUBDAY(J_ADDDAY(D103,N103,1),1,1),1),16,1)-SUMIFS(Holieday[ok],Holieday[date],CONCATENATE("&gt;","=",D103),Holieday[date],CONCATENATE("&lt;","=",J_SUBDAY(J_ADDDAY(D103,N103,1),1,1)))+SUMIFS(Holieday[Friday],Holieday[date],CONCATENATE("&gt;","=",D103),Holieday[date],CONCATENATE("&lt;","=",J_SUBDAY(J_ADDDAY(D103,N103,1),1,1))))=2,J_SUBDAY(J_ADDDAY(D103,N103+2,1),1,1),J_SUBDAY(J_ADDDAY(D103,N103+3,1),1,1)))))</f>
        <v>1398/07/01</v>
      </c>
      <c r="G103" s="2">
        <f t="shared" si="30"/>
        <v>13980701</v>
      </c>
      <c r="H103" s="109"/>
      <c r="I103" s="110">
        <v>1.2</v>
      </c>
      <c r="J103" s="171">
        <f>j_WEEKDAY(D103,2)</f>
        <v>3</v>
      </c>
      <c r="K103" s="21">
        <f t="shared" si="34"/>
        <v>0</v>
      </c>
      <c r="L103" s="8">
        <f t="shared" si="35"/>
        <v>0</v>
      </c>
      <c r="M103" s="111">
        <v>0</v>
      </c>
      <c r="N103" s="108">
        <v>0</v>
      </c>
      <c r="O103" s="10">
        <f t="shared" si="31"/>
        <v>0</v>
      </c>
      <c r="P103" s="10">
        <f>VALUE(J_normdate(J_ADDDAY($D103,$O103,1)))</f>
        <v>13980702</v>
      </c>
      <c r="Q103" s="9">
        <f t="shared" si="32"/>
        <v>0</v>
      </c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/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7"/>
      <c r="EE103" s="7"/>
      <c r="EF103" s="7"/>
      <c r="EG103" s="7"/>
      <c r="EH103" s="7"/>
      <c r="EI103" s="7"/>
      <c r="EJ103" s="7"/>
      <c r="EK103" s="7"/>
      <c r="EL103" s="7"/>
      <c r="EM103" s="7"/>
      <c r="EN103" s="7"/>
      <c r="EO103" s="7"/>
      <c r="EP103" s="7"/>
      <c r="EQ103" s="7"/>
      <c r="ER103" s="7"/>
      <c r="ES103" s="7"/>
      <c r="ET103" s="7"/>
      <c r="EU103" s="7"/>
      <c r="EV103" s="7"/>
      <c r="EW103" s="7"/>
      <c r="EX103" s="7"/>
      <c r="EY103" s="7"/>
      <c r="EZ103" s="7"/>
      <c r="FA103" s="7"/>
      <c r="FB103" s="7"/>
      <c r="FC103" s="7"/>
      <c r="FD103" s="7"/>
      <c r="FE103" s="7"/>
      <c r="FF103" s="7"/>
      <c r="FG103" s="7"/>
      <c r="FH103" s="7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7"/>
      <c r="HA103" s="7"/>
      <c r="HB103" s="7"/>
      <c r="HC103" s="7"/>
      <c r="HD103" s="7"/>
      <c r="HE103" s="7"/>
      <c r="HF103" s="7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7"/>
      <c r="HR103" s="7"/>
      <c r="HS103" s="7"/>
      <c r="HT103" s="7"/>
      <c r="HU103" s="7"/>
      <c r="HV103" s="7"/>
      <c r="HW103" s="7"/>
      <c r="HX103" s="7"/>
      <c r="HY103" s="7"/>
      <c r="HZ103" s="7"/>
      <c r="IA103" s="7"/>
      <c r="IB103" s="7"/>
      <c r="IC103" s="7"/>
      <c r="ID103" s="7"/>
      <c r="IE103" s="7"/>
      <c r="IF103" s="7"/>
      <c r="IG103" s="7"/>
      <c r="IH103" s="7"/>
      <c r="II103" s="7"/>
      <c r="IJ103" s="7"/>
      <c r="IK103" s="7"/>
      <c r="IL103" s="7"/>
      <c r="IM103" s="7"/>
      <c r="IN103" s="7"/>
      <c r="IO103" s="7"/>
      <c r="IP103" s="7"/>
      <c r="IQ103" s="7"/>
      <c r="IR103" s="7"/>
      <c r="IS103" s="7"/>
      <c r="IT103" s="7"/>
      <c r="IU103" s="7"/>
      <c r="IV103" s="7"/>
      <c r="IW103" s="7"/>
      <c r="IX103" s="7"/>
      <c r="IY103" s="29">
        <v>1</v>
      </c>
      <c r="IZ103" s="33">
        <f>(TEXT(K103,"[m]")/60)*VLOOKUP(IY103,'Income Person-hours'!A$2:C$5,3,FALSE)</f>
        <v>0</v>
      </c>
      <c r="JA103" s="113"/>
      <c r="JB103" s="113"/>
      <c r="JC103" s="113"/>
      <c r="JD103" s="66">
        <f>SUM((TEXT(JA103,"[M]")/60)*'Income Person-hours'!$D$3,(TEXT(JB103,"[M]")/60)*'Income Person-hours'!$D$4,(TEXT(JC103,"[M]")/60)*'Income Person-hours'!$D$5)</f>
        <v>0</v>
      </c>
    </row>
    <row r="104" spans="1:264" s="11" customFormat="1" ht="11.25" hidden="1">
      <c r="A104" s="168">
        <v>4.9000000000000004</v>
      </c>
      <c r="B104" s="106"/>
      <c r="C104" s="107"/>
      <c r="D104" s="12" t="str">
        <f>IF(OR(j_WEEKDAY(J_ADDDAY(VLOOKUP(I104,A:F,6,FALSE),H104,1),0)=6,SUMIFS(Holieday[ok],Holieday[date],J_ADDDAY(VLOOKUP(I104,A:F,6,FALSE),H104,1)))=FALSE(),J_ADDDAY(VLOOKUP(I104,A:F,6,FALSE),H104,1),IF(OR(j_WEEKDAY(J_ADDDAY(VLOOKUP(I104,A:F,6,FALSE),H104+1,1),0)=6,SUMIFS(Holieday[ok],Holieday[date],J_ADDDAY(VLOOKUP(I104,A:F,6,FALSE),H104+1,1)))=FALSE(),J_ADDDAY(VLOOKUP(I104,A:F,6,FALSE),H104+1,1),IF(OR(j_WEEKDAY(J_ADDDAY(VLOOKUP(I104,A:F,6,FALSE),H104+2,1),0)=6,SUMIFS(Holieday[ok],Holieday[date],J_ADDDAY(VLOOKUP(I104,A:F,6,FALSE),H104+2,1)))=FALSE(),J_ADDDAY(VLOOKUP(I104,A:F,6,FALSE),H104+2,1),IF(OR(j_WEEKDAY(J_ADDDAY(VLOOKUP(I104,A:F,6,FALSE),H104+3,1),0)=6,SUMIFS(Holieday[ok],Holieday[date],J_ADDDAY(VLOOKUP(I104,A:F,6,FALSE),H104+3,1)))=FALSE(),J_ADDDAY(VLOOKUP(I104,A:F,6,FALSE),H104+3,1),IF(OR(j_WEEKDAY(J_ADDDAY(VLOOKUP(I104,A:F,6,FALSE),H104+4,1),0)=6,SUMIFS(Holieday[ok],Holieday[date],J_ADDDAY(VLOOKUP(I104,A:F,6,FALSE),H104+4,1)))=FALSE(),J_ADDDAY(VLOOKUP(I104,A:F,6,FALSE),H104+4,1),J_ADDDAY(VLOOKUP(I104,A:F,6,FALSE),H104+5,1))))))</f>
        <v>1398/07/02</v>
      </c>
      <c r="E104" s="1">
        <f t="shared" si="33"/>
        <v>13980702</v>
      </c>
      <c r="F104" s="12" t="str">
        <f>IF(N104=0,J_SUBDAY(D104,1,1),IF((N104-NETWORKDAYS.INTL(J_GregorianDate(D104,1),J_GregorianDate(J_SUBDAY(J_ADDDAY(D104,N104,1),1,1),1),16,1)-SUMIFS(Holieday[ok],Holieday[date],CONCATENATE("&gt;","=",D104),Holieday[date],CONCATENATE("&lt;","=",J_SUBDAY(J_ADDDAY(D104,N104,1),1,1)))+SUMIFS(Holieday[Friday],Holieday[date],CONCATENATE("&gt;","=",D104),Holieday[date],CONCATENATE("&lt;","=",J_SUBDAY(J_ADDDAY(D104,N104,1),1,1))))=0,J_SUBDAY(J_ADDDAY(D104,N104,1),1,1),IF((N104-NETWORKDAYS.INTL(J_GregorianDate(D104,1),J_GregorianDate(J_SUBDAY(J_ADDDAY(D104,N104,1),1,1),1),16,1)-SUMIFS(Holieday[ok],Holieday[date],CONCATENATE("&gt;","=",D104),Holieday[date],CONCATENATE("&lt;","=",J_SUBDAY(J_ADDDAY(D104,N104,1),1,1)))+SUMIFS(Holieday[Friday],Holieday[date],CONCATENATE("&gt;","=",D104),Holieday[date],CONCATENATE("&lt;","=",J_SUBDAY(J_ADDDAY(D104,N104,1),1,1))))=1,J_SUBDAY(J_ADDDAY(D104,N104+1,1),1,1),IF((N104-NETWORKDAYS.INTL(J_GregorianDate(D104,1),J_GregorianDate(J_SUBDAY(J_ADDDAY(D104,N104,1),1,1),1),16,1)-SUMIFS(Holieday[ok],Holieday[date],CONCATENATE("&gt;","=",D104),Holieday[date],CONCATENATE("&lt;","=",J_SUBDAY(J_ADDDAY(D104,N104,1),1,1)))+SUMIFS(Holieday[Friday],Holieday[date],CONCATENATE("&gt;","=",D104),Holieday[date],CONCATENATE("&lt;","=",J_SUBDAY(J_ADDDAY(D104,N104,1),1,1))))=2,J_SUBDAY(J_ADDDAY(D104,N104+2,1),1,1),J_SUBDAY(J_ADDDAY(D104,N104+3,1),1,1)))))</f>
        <v>1398/07/01</v>
      </c>
      <c r="G104" s="2">
        <f t="shared" si="30"/>
        <v>13980701</v>
      </c>
      <c r="H104" s="109"/>
      <c r="I104" s="110">
        <v>1.2</v>
      </c>
      <c r="J104" s="9">
        <f>j_WEEKDAY(D104,2)</f>
        <v>3</v>
      </c>
      <c r="K104" s="21">
        <f t="shared" si="34"/>
        <v>0</v>
      </c>
      <c r="L104" s="8">
        <f t="shared" si="35"/>
        <v>0</v>
      </c>
      <c r="M104" s="111">
        <v>0</v>
      </c>
      <c r="N104" s="108">
        <v>0</v>
      </c>
      <c r="O104" s="10">
        <f t="shared" si="31"/>
        <v>0</v>
      </c>
      <c r="P104" s="10">
        <f>VALUE(J_normdate(J_ADDDAY($D104,$O104,1)))</f>
        <v>13980702</v>
      </c>
      <c r="Q104" s="9">
        <f t="shared" si="32"/>
        <v>0</v>
      </c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7"/>
      <c r="EE104" s="7"/>
      <c r="EF104" s="7"/>
      <c r="EG104" s="7"/>
      <c r="EH104" s="7"/>
      <c r="EI104" s="7"/>
      <c r="EJ104" s="7"/>
      <c r="EK104" s="7"/>
      <c r="EL104" s="7"/>
      <c r="EM104" s="7"/>
      <c r="EN104" s="7"/>
      <c r="EO104" s="7"/>
      <c r="EP104" s="7"/>
      <c r="EQ104" s="7"/>
      <c r="ER104" s="7"/>
      <c r="ES104" s="7"/>
      <c r="ET104" s="7"/>
      <c r="EU104" s="7"/>
      <c r="EV104" s="7"/>
      <c r="EW104" s="7"/>
      <c r="EX104" s="7"/>
      <c r="EY104" s="7"/>
      <c r="EZ104" s="7"/>
      <c r="FA104" s="7"/>
      <c r="FB104" s="7"/>
      <c r="FC104" s="7"/>
      <c r="FD104" s="7"/>
      <c r="FE104" s="7"/>
      <c r="FF104" s="7"/>
      <c r="FG104" s="7"/>
      <c r="FH104" s="7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7"/>
      <c r="HA104" s="7"/>
      <c r="HB104" s="7"/>
      <c r="HC104" s="7"/>
      <c r="HD104" s="7"/>
      <c r="HE104" s="7"/>
      <c r="HF104" s="7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7"/>
      <c r="HR104" s="7"/>
      <c r="HS104" s="7"/>
      <c r="HT104" s="7"/>
      <c r="HU104" s="7"/>
      <c r="HV104" s="7"/>
      <c r="HW104" s="7"/>
      <c r="HX104" s="7"/>
      <c r="HY104" s="7"/>
      <c r="HZ104" s="7"/>
      <c r="IA104" s="7"/>
      <c r="IB104" s="7"/>
      <c r="IC104" s="7"/>
      <c r="ID104" s="7"/>
      <c r="IE104" s="7"/>
      <c r="IF104" s="7"/>
      <c r="IG104" s="7"/>
      <c r="IH104" s="7"/>
      <c r="II104" s="7"/>
      <c r="IJ104" s="7"/>
      <c r="IK104" s="7"/>
      <c r="IL104" s="7"/>
      <c r="IM104" s="7"/>
      <c r="IN104" s="7"/>
      <c r="IO104" s="7"/>
      <c r="IP104" s="7"/>
      <c r="IQ104" s="7"/>
      <c r="IR104" s="7"/>
      <c r="IS104" s="7"/>
      <c r="IT104" s="7"/>
      <c r="IU104" s="7"/>
      <c r="IV104" s="7"/>
      <c r="IW104" s="7"/>
      <c r="IX104" s="7"/>
      <c r="IY104" s="29">
        <v>1</v>
      </c>
      <c r="IZ104" s="33">
        <f>(TEXT(K104,"[m]")/60)*VLOOKUP(IY104,'Income Person-hours'!A$2:C$5,3,FALSE)</f>
        <v>0</v>
      </c>
      <c r="JA104" s="113"/>
      <c r="JB104" s="113"/>
      <c r="JC104" s="113"/>
      <c r="JD104" s="66">
        <f>SUM((TEXT(JA104,"[M]")/60)*'Income Person-hours'!$D$3,(TEXT(JB104,"[M]")/60)*'Income Person-hours'!$D$4,(TEXT(JC104,"[M]")/60)*'Income Person-hours'!$D$5)</f>
        <v>0</v>
      </c>
    </row>
    <row r="105" spans="1:264" s="11" customFormat="1" ht="11.25" hidden="1">
      <c r="A105" s="30">
        <v>4.1100000000000003</v>
      </c>
      <c r="B105" s="116"/>
      <c r="C105" s="107"/>
      <c r="D105" s="12" t="str">
        <f>IF(OR(j_WEEKDAY(J_ADDDAY(VLOOKUP(I105,A:F,6,FALSE),H105,1),0)=6,SUMIFS(Holieday[ok],Holieday[date],J_ADDDAY(VLOOKUP(I105,A:F,6,FALSE),H105,1)))=FALSE(),J_ADDDAY(VLOOKUP(I105,A:F,6,FALSE),H105,1),IF(OR(j_WEEKDAY(J_ADDDAY(VLOOKUP(I105,A:F,6,FALSE),H105+1,1),0)=6,SUMIFS(Holieday[ok],Holieday[date],J_ADDDAY(VLOOKUP(I105,A:F,6,FALSE),H105+1,1)))=FALSE(),J_ADDDAY(VLOOKUP(I105,A:F,6,FALSE),H105+1,1),IF(OR(j_WEEKDAY(J_ADDDAY(VLOOKUP(I105,A:F,6,FALSE),H105+2,1),0)=6,SUMIFS(Holieday[ok],Holieday[date],J_ADDDAY(VLOOKUP(I105,A:F,6,FALSE),H105+2,1)))=FALSE(),J_ADDDAY(VLOOKUP(I105,A:F,6,FALSE),H105+2,1),IF(OR(j_WEEKDAY(J_ADDDAY(VLOOKUP(I105,A:F,6,FALSE),H105+3,1),0)=6,SUMIFS(Holieday[ok],Holieday[date],J_ADDDAY(VLOOKUP(I105,A:F,6,FALSE),H105+3,1)))=FALSE(),J_ADDDAY(VLOOKUP(I105,A:F,6,FALSE),H105+3,1),IF(OR(j_WEEKDAY(J_ADDDAY(VLOOKUP(I105,A:F,6,FALSE),H105+4,1),0)=6,SUMIFS(Holieday[ok],Holieday[date],J_ADDDAY(VLOOKUP(I105,A:F,6,FALSE),H105+4,1)))=FALSE(),J_ADDDAY(VLOOKUP(I105,A:F,6,FALSE),H105+4,1),J_ADDDAY(VLOOKUP(I105,A:F,6,FALSE),H105+5,1))))))</f>
        <v>1398/07/02</v>
      </c>
      <c r="E105" s="1">
        <f t="shared" si="33"/>
        <v>13980702</v>
      </c>
      <c r="F105" s="12" t="str">
        <f>IF(N105=0,J_SUBDAY(D105,1,1),IF((N105-NETWORKDAYS.INTL(J_GregorianDate(D105,1),J_GregorianDate(J_SUBDAY(J_ADDDAY(D105,N105,1),1,1),1),16,1)-SUMIFS(Holieday[ok],Holieday[date],CONCATENATE("&gt;","=",D105),Holieday[date],CONCATENATE("&lt;","=",J_SUBDAY(J_ADDDAY(D105,N105,1),1,1)))+SUMIFS(Holieday[Friday],Holieday[date],CONCATENATE("&gt;","=",D105),Holieday[date],CONCATENATE("&lt;","=",J_SUBDAY(J_ADDDAY(D105,N105,1),1,1))))=0,J_SUBDAY(J_ADDDAY(D105,N105,1),1,1),IF((N105-NETWORKDAYS.INTL(J_GregorianDate(D105,1),J_GregorianDate(J_SUBDAY(J_ADDDAY(D105,N105,1),1,1),1),16,1)-SUMIFS(Holieday[ok],Holieday[date],CONCATENATE("&gt;","=",D105),Holieday[date],CONCATENATE("&lt;","=",J_SUBDAY(J_ADDDAY(D105,N105,1),1,1)))+SUMIFS(Holieday[Friday],Holieday[date],CONCATENATE("&gt;","=",D105),Holieday[date],CONCATENATE("&lt;","=",J_SUBDAY(J_ADDDAY(D105,N105,1),1,1))))=1,J_SUBDAY(J_ADDDAY(D105,N105+1,1),1,1),IF((N105-NETWORKDAYS.INTL(J_GregorianDate(D105,1),J_GregorianDate(J_SUBDAY(J_ADDDAY(D105,N105,1),1,1),1),16,1)-SUMIFS(Holieday[ok],Holieday[date],CONCATENATE("&gt;","=",D105),Holieday[date],CONCATENATE("&lt;","=",J_SUBDAY(J_ADDDAY(D105,N105,1),1,1)))+SUMIFS(Holieday[Friday],Holieday[date],CONCATENATE("&gt;","=",D105),Holieday[date],CONCATENATE("&lt;","=",J_SUBDAY(J_ADDDAY(D105,N105,1),1,1))))=2,J_SUBDAY(J_ADDDAY(D105,N105+2,1),1,1),J_SUBDAY(J_ADDDAY(D105,N105+3,1),1,1)))))</f>
        <v>1398/07/01</v>
      </c>
      <c r="G105" s="2">
        <f t="shared" si="30"/>
        <v>13980701</v>
      </c>
      <c r="H105" s="109"/>
      <c r="I105" s="110">
        <v>1.2</v>
      </c>
      <c r="J105" s="9">
        <f>j_WEEKDAY(D105,2)</f>
        <v>3</v>
      </c>
      <c r="K105" s="21">
        <f t="shared" si="34"/>
        <v>0</v>
      </c>
      <c r="L105" s="8">
        <f t="shared" si="35"/>
        <v>0</v>
      </c>
      <c r="M105" s="111">
        <v>0</v>
      </c>
      <c r="N105" s="108">
        <v>0</v>
      </c>
      <c r="O105" s="10">
        <f t="shared" si="31"/>
        <v>0</v>
      </c>
      <c r="P105" s="10">
        <f>VALUE(J_normdate(J_ADDDAY($D105,$O105,1)))</f>
        <v>13980702</v>
      </c>
      <c r="Q105" s="9">
        <f t="shared" si="32"/>
        <v>0</v>
      </c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7"/>
      <c r="EE105" s="7"/>
      <c r="EF105" s="7"/>
      <c r="EG105" s="7"/>
      <c r="EH105" s="7"/>
      <c r="EI105" s="7"/>
      <c r="EJ105" s="7"/>
      <c r="EK105" s="7"/>
      <c r="EL105" s="7"/>
      <c r="EM105" s="7"/>
      <c r="EN105" s="7"/>
      <c r="EO105" s="7"/>
      <c r="EP105" s="7"/>
      <c r="EQ105" s="7"/>
      <c r="ER105" s="7"/>
      <c r="ES105" s="7"/>
      <c r="ET105" s="7"/>
      <c r="EU105" s="7"/>
      <c r="EV105" s="7"/>
      <c r="EW105" s="7"/>
      <c r="EX105" s="7"/>
      <c r="EY105" s="7"/>
      <c r="EZ105" s="7"/>
      <c r="FA105" s="7"/>
      <c r="FB105" s="7"/>
      <c r="FC105" s="7"/>
      <c r="FD105" s="7"/>
      <c r="FE105" s="7"/>
      <c r="FF105" s="7"/>
      <c r="FG105" s="7"/>
      <c r="FH105" s="7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7"/>
      <c r="HA105" s="7"/>
      <c r="HB105" s="7"/>
      <c r="HC105" s="7"/>
      <c r="HD105" s="7"/>
      <c r="HE105" s="7"/>
      <c r="HF105" s="7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7"/>
      <c r="HR105" s="7"/>
      <c r="HS105" s="7"/>
      <c r="HT105" s="7"/>
      <c r="HU105" s="7"/>
      <c r="HV105" s="7"/>
      <c r="HW105" s="7"/>
      <c r="HX105" s="7"/>
      <c r="HY105" s="7"/>
      <c r="HZ105" s="7"/>
      <c r="IA105" s="7"/>
      <c r="IB105" s="7"/>
      <c r="IC105" s="7"/>
      <c r="ID105" s="7"/>
      <c r="IE105" s="7"/>
      <c r="IF105" s="7"/>
      <c r="IG105" s="7"/>
      <c r="IH105" s="7"/>
      <c r="II105" s="7"/>
      <c r="IJ105" s="7"/>
      <c r="IK105" s="7"/>
      <c r="IL105" s="7"/>
      <c r="IM105" s="7"/>
      <c r="IN105" s="7"/>
      <c r="IO105" s="7"/>
      <c r="IP105" s="7"/>
      <c r="IQ105" s="7"/>
      <c r="IR105" s="7"/>
      <c r="IS105" s="7"/>
      <c r="IT105" s="7"/>
      <c r="IU105" s="7"/>
      <c r="IV105" s="7"/>
      <c r="IW105" s="7"/>
      <c r="IX105" s="7"/>
      <c r="IY105" s="29">
        <v>1</v>
      </c>
      <c r="IZ105" s="33">
        <f>(TEXT(K105,"[m]")/60)*VLOOKUP(IY105,'Income Person-hours'!A$2:C$5,3,FALSE)</f>
        <v>0</v>
      </c>
      <c r="JA105" s="113"/>
      <c r="JB105" s="113"/>
      <c r="JC105" s="113"/>
      <c r="JD105" s="66">
        <f>SUM((TEXT(JA105,"[M]")/60)*'Income Person-hours'!$D$3,(TEXT(JB105,"[M]")/60)*'Income Person-hours'!$D$4,(TEXT(JC105,"[M]")/60)*'Income Person-hours'!$D$5)</f>
        <v>0</v>
      </c>
    </row>
    <row r="106" spans="1:264" s="11" customFormat="1" ht="11.25" hidden="1">
      <c r="A106" s="30">
        <v>4.12</v>
      </c>
      <c r="B106" s="116"/>
      <c r="C106" s="107"/>
      <c r="D106" s="12" t="str">
        <f>IF(OR(j_WEEKDAY(J_ADDDAY(VLOOKUP(I106,A:F,6,FALSE),H106,1),0)=6,SUMIFS(Holieday[ok],Holieday[date],J_ADDDAY(VLOOKUP(I106,A:F,6,FALSE),H106,1)))=FALSE(),J_ADDDAY(VLOOKUP(I106,A:F,6,FALSE),H106,1),IF(OR(j_WEEKDAY(J_ADDDAY(VLOOKUP(I106,A:F,6,FALSE),H106+1,1),0)=6,SUMIFS(Holieday[ok],Holieday[date],J_ADDDAY(VLOOKUP(I106,A:F,6,FALSE),H106+1,1)))=FALSE(),J_ADDDAY(VLOOKUP(I106,A:F,6,FALSE),H106+1,1),IF(OR(j_WEEKDAY(J_ADDDAY(VLOOKUP(I106,A:F,6,FALSE),H106+2,1),0)=6,SUMIFS(Holieday[ok],Holieday[date],J_ADDDAY(VLOOKUP(I106,A:F,6,FALSE),H106+2,1)))=FALSE(),J_ADDDAY(VLOOKUP(I106,A:F,6,FALSE),H106+2,1),IF(OR(j_WEEKDAY(J_ADDDAY(VLOOKUP(I106,A:F,6,FALSE),H106+3,1),0)=6,SUMIFS(Holieday[ok],Holieday[date],J_ADDDAY(VLOOKUP(I106,A:F,6,FALSE),H106+3,1)))=FALSE(),J_ADDDAY(VLOOKUP(I106,A:F,6,FALSE),H106+3,1),IF(OR(j_WEEKDAY(J_ADDDAY(VLOOKUP(I106,A:F,6,FALSE),H106+4,1),0)=6,SUMIFS(Holieday[ok],Holieday[date],J_ADDDAY(VLOOKUP(I106,A:F,6,FALSE),H106+4,1)))=FALSE(),J_ADDDAY(VLOOKUP(I106,A:F,6,FALSE),H106+4,1),J_ADDDAY(VLOOKUP(I106,A:F,6,FALSE),H106+5,1))))))</f>
        <v>1398/07/02</v>
      </c>
      <c r="E106" s="1">
        <f t="shared" si="33"/>
        <v>13980702</v>
      </c>
      <c r="F106" s="12" t="str">
        <f>IF(N106=0,J_SUBDAY(D106,1,1),IF((N106-NETWORKDAYS.INTL(J_GregorianDate(D106,1),J_GregorianDate(J_SUBDAY(J_ADDDAY(D106,N106,1),1,1),1),16,1)-SUMIFS(Holieday[ok],Holieday[date],CONCATENATE("&gt;","=",D106),Holieday[date],CONCATENATE("&lt;","=",J_SUBDAY(J_ADDDAY(D106,N106,1),1,1)))+SUMIFS(Holieday[Friday],Holieday[date],CONCATENATE("&gt;","=",D106),Holieday[date],CONCATENATE("&lt;","=",J_SUBDAY(J_ADDDAY(D106,N106,1),1,1))))=0,J_SUBDAY(J_ADDDAY(D106,N106,1),1,1),IF((N106-NETWORKDAYS.INTL(J_GregorianDate(D106,1),J_GregorianDate(J_SUBDAY(J_ADDDAY(D106,N106,1),1,1),1),16,1)-SUMIFS(Holieday[ok],Holieday[date],CONCATENATE("&gt;","=",D106),Holieday[date],CONCATENATE("&lt;","=",J_SUBDAY(J_ADDDAY(D106,N106,1),1,1)))+SUMIFS(Holieday[Friday],Holieday[date],CONCATENATE("&gt;","=",D106),Holieday[date],CONCATENATE("&lt;","=",J_SUBDAY(J_ADDDAY(D106,N106,1),1,1))))=1,J_SUBDAY(J_ADDDAY(D106,N106+1,1),1,1),IF((N106-NETWORKDAYS.INTL(J_GregorianDate(D106,1),J_GregorianDate(J_SUBDAY(J_ADDDAY(D106,N106,1),1,1),1),16,1)-SUMIFS(Holieday[ok],Holieday[date],CONCATENATE("&gt;","=",D106),Holieday[date],CONCATENATE("&lt;","=",J_SUBDAY(J_ADDDAY(D106,N106,1),1,1)))+SUMIFS(Holieday[Friday],Holieday[date],CONCATENATE("&gt;","=",D106),Holieday[date],CONCATENATE("&lt;","=",J_SUBDAY(J_ADDDAY(D106,N106,1),1,1))))=2,J_SUBDAY(J_ADDDAY(D106,N106+2,1),1,1),J_SUBDAY(J_ADDDAY(D106,N106+3,1),1,1)))))</f>
        <v>1398/07/01</v>
      </c>
      <c r="G106" s="2">
        <f t="shared" si="30"/>
        <v>13980701</v>
      </c>
      <c r="H106" s="109"/>
      <c r="I106" s="110">
        <v>1.2</v>
      </c>
      <c r="J106" s="9">
        <f>j_WEEKDAY(D106,2)</f>
        <v>3</v>
      </c>
      <c r="K106" s="21">
        <f t="shared" si="34"/>
        <v>0</v>
      </c>
      <c r="L106" s="8">
        <f t="shared" si="35"/>
        <v>0</v>
      </c>
      <c r="M106" s="111">
        <v>0</v>
      </c>
      <c r="N106" s="108">
        <v>0</v>
      </c>
      <c r="O106" s="10">
        <f t="shared" si="31"/>
        <v>0</v>
      </c>
      <c r="P106" s="10">
        <f>VALUE(J_normdate(J_ADDDAY($D106,$O106,1)))</f>
        <v>13980702</v>
      </c>
      <c r="Q106" s="9">
        <f t="shared" si="32"/>
        <v>0</v>
      </c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/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7"/>
      <c r="EE106" s="7"/>
      <c r="EF106" s="7"/>
      <c r="EG106" s="7"/>
      <c r="EH106" s="7"/>
      <c r="EI106" s="7"/>
      <c r="EJ106" s="7"/>
      <c r="EK106" s="7"/>
      <c r="EL106" s="7"/>
      <c r="EM106" s="7"/>
      <c r="EN106" s="7"/>
      <c r="EO106" s="7"/>
      <c r="EP106" s="7"/>
      <c r="EQ106" s="7"/>
      <c r="ER106" s="7"/>
      <c r="ES106" s="7"/>
      <c r="ET106" s="7"/>
      <c r="EU106" s="7"/>
      <c r="EV106" s="7"/>
      <c r="EW106" s="7"/>
      <c r="EX106" s="7"/>
      <c r="EY106" s="7"/>
      <c r="EZ106" s="7"/>
      <c r="FA106" s="7"/>
      <c r="FB106" s="7"/>
      <c r="FC106" s="7"/>
      <c r="FD106" s="7"/>
      <c r="FE106" s="7"/>
      <c r="FF106" s="7"/>
      <c r="FG106" s="7"/>
      <c r="FH106" s="7"/>
      <c r="FI106" s="7"/>
      <c r="FJ106" s="7"/>
      <c r="FK106" s="7"/>
      <c r="FL106" s="7"/>
      <c r="FM106" s="7"/>
      <c r="FN106" s="7"/>
      <c r="FO106" s="7"/>
      <c r="FP106" s="7"/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7"/>
      <c r="HA106" s="7"/>
      <c r="HB106" s="7"/>
      <c r="HC106" s="7"/>
      <c r="HD106" s="7"/>
      <c r="HE106" s="7"/>
      <c r="HF106" s="7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7"/>
      <c r="HR106" s="7"/>
      <c r="HS106" s="7"/>
      <c r="HT106" s="7"/>
      <c r="HU106" s="7"/>
      <c r="HV106" s="7"/>
      <c r="HW106" s="7"/>
      <c r="HX106" s="7"/>
      <c r="HY106" s="7"/>
      <c r="HZ106" s="7"/>
      <c r="IA106" s="7"/>
      <c r="IB106" s="7"/>
      <c r="IC106" s="7"/>
      <c r="ID106" s="7"/>
      <c r="IE106" s="7"/>
      <c r="IF106" s="7"/>
      <c r="IG106" s="7"/>
      <c r="IH106" s="7"/>
      <c r="II106" s="7"/>
      <c r="IJ106" s="7"/>
      <c r="IK106" s="7"/>
      <c r="IL106" s="7"/>
      <c r="IM106" s="7"/>
      <c r="IN106" s="7"/>
      <c r="IO106" s="7"/>
      <c r="IP106" s="7"/>
      <c r="IQ106" s="7"/>
      <c r="IR106" s="7"/>
      <c r="IS106" s="7"/>
      <c r="IT106" s="7"/>
      <c r="IU106" s="7"/>
      <c r="IV106" s="7"/>
      <c r="IW106" s="7"/>
      <c r="IX106" s="7"/>
      <c r="IY106" s="29">
        <v>1</v>
      </c>
      <c r="IZ106" s="33">
        <f>(TEXT(K106,"[m]")/60)*VLOOKUP(IY106,'Income Person-hours'!A$2:C$5,3,FALSE)</f>
        <v>0</v>
      </c>
      <c r="JA106" s="113"/>
      <c r="JB106" s="113"/>
      <c r="JC106" s="113"/>
      <c r="JD106" s="66">
        <f>SUM((TEXT(JA106,"[M]")/60)*'Income Person-hours'!$D$3,(TEXT(JB106,"[M]")/60)*'Income Person-hours'!$D$4,(TEXT(JC106,"[M]")/60)*'Income Person-hours'!$D$5)</f>
        <v>0</v>
      </c>
    </row>
    <row r="107" spans="1:264" s="11" customFormat="1" ht="11.25" hidden="1">
      <c r="A107" s="30">
        <v>4.13</v>
      </c>
      <c r="B107" s="116"/>
      <c r="C107" s="107"/>
      <c r="D107" s="12" t="str">
        <f>IF(OR(j_WEEKDAY(J_ADDDAY(VLOOKUP(I107,A:F,6,FALSE),H107,1),0)=6,SUMIFS(Holieday[ok],Holieday[date],J_ADDDAY(VLOOKUP(I107,A:F,6,FALSE),H107,1)))=FALSE(),J_ADDDAY(VLOOKUP(I107,A:F,6,FALSE),H107,1),IF(OR(j_WEEKDAY(J_ADDDAY(VLOOKUP(I107,A:F,6,FALSE),H107+1,1),0)=6,SUMIFS(Holieday[ok],Holieday[date],J_ADDDAY(VLOOKUP(I107,A:F,6,FALSE),H107+1,1)))=FALSE(),J_ADDDAY(VLOOKUP(I107,A:F,6,FALSE),H107+1,1),IF(OR(j_WEEKDAY(J_ADDDAY(VLOOKUP(I107,A:F,6,FALSE),H107+2,1),0)=6,SUMIFS(Holieday[ok],Holieday[date],J_ADDDAY(VLOOKUP(I107,A:F,6,FALSE),H107+2,1)))=FALSE(),J_ADDDAY(VLOOKUP(I107,A:F,6,FALSE),H107+2,1),IF(OR(j_WEEKDAY(J_ADDDAY(VLOOKUP(I107,A:F,6,FALSE),H107+3,1),0)=6,SUMIFS(Holieday[ok],Holieday[date],J_ADDDAY(VLOOKUP(I107,A:F,6,FALSE),H107+3,1)))=FALSE(),J_ADDDAY(VLOOKUP(I107,A:F,6,FALSE),H107+3,1),IF(OR(j_WEEKDAY(J_ADDDAY(VLOOKUP(I107,A:F,6,FALSE),H107+4,1),0)=6,SUMIFS(Holieday[ok],Holieday[date],J_ADDDAY(VLOOKUP(I107,A:F,6,FALSE),H107+4,1)))=FALSE(),J_ADDDAY(VLOOKUP(I107,A:F,6,FALSE),H107+4,1),J_ADDDAY(VLOOKUP(I107,A:F,6,FALSE),H107+5,1))))))</f>
        <v>1398/07/02</v>
      </c>
      <c r="E107" s="1">
        <f t="shared" si="33"/>
        <v>13980702</v>
      </c>
      <c r="F107" s="12" t="str">
        <f>IF(N107=0,J_SUBDAY(D107,1,1),IF((N107-NETWORKDAYS.INTL(J_GregorianDate(D107,1),J_GregorianDate(J_SUBDAY(J_ADDDAY(D107,N107,1),1,1),1),16,1)-SUMIFS(Holieday[ok],Holieday[date],CONCATENATE("&gt;","=",D107),Holieday[date],CONCATENATE("&lt;","=",J_SUBDAY(J_ADDDAY(D107,N107,1),1,1)))+SUMIFS(Holieday[Friday],Holieday[date],CONCATENATE("&gt;","=",D107),Holieday[date],CONCATENATE("&lt;","=",J_SUBDAY(J_ADDDAY(D107,N107,1),1,1))))=0,J_SUBDAY(J_ADDDAY(D107,N107,1),1,1),IF((N107-NETWORKDAYS.INTL(J_GregorianDate(D107,1),J_GregorianDate(J_SUBDAY(J_ADDDAY(D107,N107,1),1,1),1),16,1)-SUMIFS(Holieday[ok],Holieday[date],CONCATENATE("&gt;","=",D107),Holieday[date],CONCATENATE("&lt;","=",J_SUBDAY(J_ADDDAY(D107,N107,1),1,1)))+SUMIFS(Holieday[Friday],Holieday[date],CONCATENATE("&gt;","=",D107),Holieday[date],CONCATENATE("&lt;","=",J_SUBDAY(J_ADDDAY(D107,N107,1),1,1))))=1,J_SUBDAY(J_ADDDAY(D107,N107+1,1),1,1),IF((N107-NETWORKDAYS.INTL(J_GregorianDate(D107,1),J_GregorianDate(J_SUBDAY(J_ADDDAY(D107,N107,1),1,1),1),16,1)-SUMIFS(Holieday[ok],Holieday[date],CONCATENATE("&gt;","=",D107),Holieday[date],CONCATENATE("&lt;","=",J_SUBDAY(J_ADDDAY(D107,N107,1),1,1)))+SUMIFS(Holieday[Friday],Holieday[date],CONCATENATE("&gt;","=",D107),Holieday[date],CONCATENATE("&lt;","=",J_SUBDAY(J_ADDDAY(D107,N107,1),1,1))))=2,J_SUBDAY(J_ADDDAY(D107,N107+2,1),1,1),J_SUBDAY(J_ADDDAY(D107,N107+3,1),1,1)))))</f>
        <v>1398/07/01</v>
      </c>
      <c r="G107" s="2">
        <f t="shared" si="30"/>
        <v>13980701</v>
      </c>
      <c r="H107" s="109"/>
      <c r="I107" s="110">
        <v>1.2</v>
      </c>
      <c r="J107" s="9">
        <f>j_WEEKDAY(D107,2)</f>
        <v>3</v>
      </c>
      <c r="K107" s="21">
        <f t="shared" si="34"/>
        <v>0</v>
      </c>
      <c r="L107" s="8">
        <f t="shared" si="35"/>
        <v>0</v>
      </c>
      <c r="M107" s="111">
        <v>0</v>
      </c>
      <c r="N107" s="108">
        <v>0</v>
      </c>
      <c r="O107" s="10">
        <f t="shared" si="31"/>
        <v>0</v>
      </c>
      <c r="P107" s="10">
        <f>VALUE(J_normdate(J_ADDDAY($D107,$O107,1)))</f>
        <v>13980702</v>
      </c>
      <c r="Q107" s="9">
        <f t="shared" si="32"/>
        <v>0</v>
      </c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7"/>
      <c r="EE107" s="7"/>
      <c r="EF107" s="7"/>
      <c r="EG107" s="7"/>
      <c r="EH107" s="7"/>
      <c r="EI107" s="7"/>
      <c r="EJ107" s="7"/>
      <c r="EK107" s="7"/>
      <c r="EL107" s="7"/>
      <c r="EM107" s="7"/>
      <c r="EN107" s="7"/>
      <c r="EO107" s="7"/>
      <c r="EP107" s="7"/>
      <c r="EQ107" s="7"/>
      <c r="ER107" s="7"/>
      <c r="ES107" s="7"/>
      <c r="ET107" s="7"/>
      <c r="EU107" s="7"/>
      <c r="EV107" s="7"/>
      <c r="EW107" s="7"/>
      <c r="EX107" s="7"/>
      <c r="EY107" s="7"/>
      <c r="EZ107" s="7"/>
      <c r="FA107" s="7"/>
      <c r="FB107" s="7"/>
      <c r="FC107" s="7"/>
      <c r="FD107" s="7"/>
      <c r="FE107" s="7"/>
      <c r="FF107" s="7"/>
      <c r="FG107" s="7"/>
      <c r="FH107" s="7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7"/>
      <c r="HA107" s="7"/>
      <c r="HB107" s="7"/>
      <c r="HC107" s="7"/>
      <c r="HD107" s="7"/>
      <c r="HE107" s="7"/>
      <c r="HF107" s="7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7"/>
      <c r="HR107" s="7"/>
      <c r="HS107" s="7"/>
      <c r="HT107" s="7"/>
      <c r="HU107" s="7"/>
      <c r="HV107" s="7"/>
      <c r="HW107" s="7"/>
      <c r="HX107" s="7"/>
      <c r="HY107" s="7"/>
      <c r="HZ107" s="7"/>
      <c r="IA107" s="7"/>
      <c r="IB107" s="7"/>
      <c r="IC107" s="7"/>
      <c r="ID107" s="7"/>
      <c r="IE107" s="7"/>
      <c r="IF107" s="7"/>
      <c r="IG107" s="7"/>
      <c r="IH107" s="7"/>
      <c r="II107" s="7"/>
      <c r="IJ107" s="7"/>
      <c r="IK107" s="7"/>
      <c r="IL107" s="7"/>
      <c r="IM107" s="7"/>
      <c r="IN107" s="7"/>
      <c r="IO107" s="7"/>
      <c r="IP107" s="7"/>
      <c r="IQ107" s="7"/>
      <c r="IR107" s="7"/>
      <c r="IS107" s="7"/>
      <c r="IT107" s="7"/>
      <c r="IU107" s="7"/>
      <c r="IV107" s="7"/>
      <c r="IW107" s="7"/>
      <c r="IX107" s="7"/>
      <c r="IY107" s="29">
        <v>1</v>
      </c>
      <c r="IZ107" s="33">
        <f>(TEXT(K107,"[m]")/60)*VLOOKUP(IY107,'Income Person-hours'!A$2:C$5,3,FALSE)</f>
        <v>0</v>
      </c>
      <c r="JA107" s="113"/>
      <c r="JB107" s="113"/>
      <c r="JC107" s="113"/>
      <c r="JD107" s="66">
        <f>SUM((TEXT(JA107,"[M]")/60)*'Income Person-hours'!$D$3,(TEXT(JB107,"[M]")/60)*'Income Person-hours'!$D$4,(TEXT(JC107,"[M]")/60)*'Income Person-hours'!$D$5)</f>
        <v>0</v>
      </c>
    </row>
    <row r="108" spans="1:264" s="11" customFormat="1" ht="11.25" hidden="1">
      <c r="A108" s="30">
        <v>4.1399999999999997</v>
      </c>
      <c r="B108" s="116"/>
      <c r="C108" s="107"/>
      <c r="D108" s="12" t="str">
        <f>IF(OR(j_WEEKDAY(J_ADDDAY(VLOOKUP(I108,A:F,6,FALSE),H108,1),0)=6,SUMIFS(Holieday[ok],Holieday[date],J_ADDDAY(VLOOKUP(I108,A:F,6,FALSE),H108,1)))=FALSE(),J_ADDDAY(VLOOKUP(I108,A:F,6,FALSE),H108,1),IF(OR(j_WEEKDAY(J_ADDDAY(VLOOKUP(I108,A:F,6,FALSE),H108+1,1),0)=6,SUMIFS(Holieday[ok],Holieday[date],J_ADDDAY(VLOOKUP(I108,A:F,6,FALSE),H108+1,1)))=FALSE(),J_ADDDAY(VLOOKUP(I108,A:F,6,FALSE),H108+1,1),IF(OR(j_WEEKDAY(J_ADDDAY(VLOOKUP(I108,A:F,6,FALSE),H108+2,1),0)=6,SUMIFS(Holieday[ok],Holieday[date],J_ADDDAY(VLOOKUP(I108,A:F,6,FALSE),H108+2,1)))=FALSE(),J_ADDDAY(VLOOKUP(I108,A:F,6,FALSE),H108+2,1),IF(OR(j_WEEKDAY(J_ADDDAY(VLOOKUP(I108,A:F,6,FALSE),H108+3,1),0)=6,SUMIFS(Holieday[ok],Holieday[date],J_ADDDAY(VLOOKUP(I108,A:F,6,FALSE),H108+3,1)))=FALSE(),J_ADDDAY(VLOOKUP(I108,A:F,6,FALSE),H108+3,1),IF(OR(j_WEEKDAY(J_ADDDAY(VLOOKUP(I108,A:F,6,FALSE),H108+4,1),0)=6,SUMIFS(Holieday[ok],Holieday[date],J_ADDDAY(VLOOKUP(I108,A:F,6,FALSE),H108+4,1)))=FALSE(),J_ADDDAY(VLOOKUP(I108,A:F,6,FALSE),H108+4,1),J_ADDDAY(VLOOKUP(I108,A:F,6,FALSE),H108+5,1))))))</f>
        <v>1398/07/02</v>
      </c>
      <c r="E108" s="1">
        <f t="shared" si="33"/>
        <v>13980702</v>
      </c>
      <c r="F108" s="12" t="str">
        <f>IF(N108=0,J_SUBDAY(D108,1,1),IF((N108-NETWORKDAYS.INTL(J_GregorianDate(D108,1),J_GregorianDate(J_SUBDAY(J_ADDDAY(D108,N108,1),1,1),1),16,1)-SUMIFS(Holieday[ok],Holieday[date],CONCATENATE("&gt;","=",D108),Holieday[date],CONCATENATE("&lt;","=",J_SUBDAY(J_ADDDAY(D108,N108,1),1,1)))+SUMIFS(Holieday[Friday],Holieday[date],CONCATENATE("&gt;","=",D108),Holieday[date],CONCATENATE("&lt;","=",J_SUBDAY(J_ADDDAY(D108,N108,1),1,1))))=0,J_SUBDAY(J_ADDDAY(D108,N108,1),1,1),IF((N108-NETWORKDAYS.INTL(J_GregorianDate(D108,1),J_GregorianDate(J_SUBDAY(J_ADDDAY(D108,N108,1),1,1),1),16,1)-SUMIFS(Holieday[ok],Holieday[date],CONCATENATE("&gt;","=",D108),Holieday[date],CONCATENATE("&lt;","=",J_SUBDAY(J_ADDDAY(D108,N108,1),1,1)))+SUMIFS(Holieday[Friday],Holieday[date],CONCATENATE("&gt;","=",D108),Holieday[date],CONCATENATE("&lt;","=",J_SUBDAY(J_ADDDAY(D108,N108,1),1,1))))=1,J_SUBDAY(J_ADDDAY(D108,N108+1,1),1,1),IF((N108-NETWORKDAYS.INTL(J_GregorianDate(D108,1),J_GregorianDate(J_SUBDAY(J_ADDDAY(D108,N108,1),1,1),1),16,1)-SUMIFS(Holieday[ok],Holieday[date],CONCATENATE("&gt;","=",D108),Holieday[date],CONCATENATE("&lt;","=",J_SUBDAY(J_ADDDAY(D108,N108,1),1,1)))+SUMIFS(Holieday[Friday],Holieday[date],CONCATENATE("&gt;","=",D108),Holieday[date],CONCATENATE("&lt;","=",J_SUBDAY(J_ADDDAY(D108,N108,1),1,1))))=2,J_SUBDAY(J_ADDDAY(D108,N108+2,1),1,1),J_SUBDAY(J_ADDDAY(D108,N108+3,1),1,1)))))</f>
        <v>1398/07/01</v>
      </c>
      <c r="G108" s="2">
        <f t="shared" si="30"/>
        <v>13980701</v>
      </c>
      <c r="H108" s="109"/>
      <c r="I108" s="110">
        <v>1.2</v>
      </c>
      <c r="J108" s="9">
        <f>j_WEEKDAY(D108,2)</f>
        <v>3</v>
      </c>
      <c r="K108" s="21">
        <f t="shared" si="34"/>
        <v>0</v>
      </c>
      <c r="L108" s="8">
        <f t="shared" si="35"/>
        <v>0</v>
      </c>
      <c r="M108" s="111">
        <v>0</v>
      </c>
      <c r="N108" s="108">
        <v>0</v>
      </c>
      <c r="O108" s="10">
        <f t="shared" si="31"/>
        <v>0</v>
      </c>
      <c r="P108" s="10">
        <f>VALUE(J_normdate(J_ADDDAY($D108,$O108,1)))</f>
        <v>13980702</v>
      </c>
      <c r="Q108" s="9">
        <f t="shared" si="32"/>
        <v>0</v>
      </c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  <c r="DY108" s="7"/>
      <c r="DZ108" s="7"/>
      <c r="EA108" s="7"/>
      <c r="EB108" s="7"/>
      <c r="EC108" s="7"/>
      <c r="ED108" s="7"/>
      <c r="EE108" s="7"/>
      <c r="EF108" s="7"/>
      <c r="EG108" s="7"/>
      <c r="EH108" s="7"/>
      <c r="EI108" s="7"/>
      <c r="EJ108" s="7"/>
      <c r="EK108" s="7"/>
      <c r="EL108" s="7"/>
      <c r="EM108" s="7"/>
      <c r="EN108" s="7"/>
      <c r="EO108" s="7"/>
      <c r="EP108" s="7"/>
      <c r="EQ108" s="7"/>
      <c r="ER108" s="7"/>
      <c r="ES108" s="7"/>
      <c r="ET108" s="7"/>
      <c r="EU108" s="7"/>
      <c r="EV108" s="7"/>
      <c r="EW108" s="7"/>
      <c r="EX108" s="7"/>
      <c r="EY108" s="7"/>
      <c r="EZ108" s="7"/>
      <c r="FA108" s="7"/>
      <c r="FB108" s="7"/>
      <c r="FC108" s="7"/>
      <c r="FD108" s="7"/>
      <c r="FE108" s="7"/>
      <c r="FF108" s="7"/>
      <c r="FG108" s="7"/>
      <c r="FH108" s="7"/>
      <c r="FI108" s="7"/>
      <c r="FJ108" s="7"/>
      <c r="FK108" s="7"/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/>
      <c r="GR108" s="7"/>
      <c r="GS108" s="7"/>
      <c r="GT108" s="7"/>
      <c r="GU108" s="7"/>
      <c r="GV108" s="7"/>
      <c r="GW108" s="7"/>
      <c r="GX108" s="7"/>
      <c r="GY108" s="7"/>
      <c r="GZ108" s="7"/>
      <c r="HA108" s="7"/>
      <c r="HB108" s="7"/>
      <c r="HC108" s="7"/>
      <c r="HD108" s="7"/>
      <c r="HE108" s="7"/>
      <c r="HF108" s="7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7"/>
      <c r="HR108" s="7"/>
      <c r="HS108" s="7"/>
      <c r="HT108" s="7"/>
      <c r="HU108" s="7"/>
      <c r="HV108" s="7"/>
      <c r="HW108" s="7"/>
      <c r="HX108" s="7"/>
      <c r="HY108" s="7"/>
      <c r="HZ108" s="7"/>
      <c r="IA108" s="7"/>
      <c r="IB108" s="7"/>
      <c r="IC108" s="7"/>
      <c r="ID108" s="7"/>
      <c r="IE108" s="7"/>
      <c r="IF108" s="7"/>
      <c r="IG108" s="7"/>
      <c r="IH108" s="7"/>
      <c r="II108" s="7"/>
      <c r="IJ108" s="7"/>
      <c r="IK108" s="7"/>
      <c r="IL108" s="7"/>
      <c r="IM108" s="7"/>
      <c r="IN108" s="7"/>
      <c r="IO108" s="7"/>
      <c r="IP108" s="7"/>
      <c r="IQ108" s="7"/>
      <c r="IR108" s="7"/>
      <c r="IS108" s="7"/>
      <c r="IT108" s="7"/>
      <c r="IU108" s="7"/>
      <c r="IV108" s="7"/>
      <c r="IW108" s="7"/>
      <c r="IX108" s="7"/>
      <c r="JA108" s="113"/>
      <c r="JB108" s="113"/>
      <c r="JC108" s="113"/>
      <c r="JD108" s="66">
        <f>SUM((TEXT(JA108,"[M]")/60)*'Income Person-hours'!$D$3,(TEXT(JB108,"[M]")/60)*'Income Person-hours'!$D$4,(TEXT(JC108,"[M]")/60)*'Income Person-hours'!$D$5)</f>
        <v>0</v>
      </c>
    </row>
    <row r="109" spans="1:264" s="11" customFormat="1" ht="11.25" hidden="1">
      <c r="A109" s="30">
        <v>4.1500000000000004</v>
      </c>
      <c r="B109" s="116"/>
      <c r="C109" s="107"/>
      <c r="D109" s="12" t="str">
        <f>IF(OR(j_WEEKDAY(J_ADDDAY(VLOOKUP(I109,A:F,6,FALSE),H109,1),0)=6,SUMIFS(Holieday[ok],Holieday[date],J_ADDDAY(VLOOKUP(I109,A:F,6,FALSE),H109,1)))=FALSE(),J_ADDDAY(VLOOKUP(I109,A:F,6,FALSE),H109,1),IF(OR(j_WEEKDAY(J_ADDDAY(VLOOKUP(I109,A:F,6,FALSE),H109+1,1),0)=6,SUMIFS(Holieday[ok],Holieday[date],J_ADDDAY(VLOOKUP(I109,A:F,6,FALSE),H109+1,1)))=FALSE(),J_ADDDAY(VLOOKUP(I109,A:F,6,FALSE),H109+1,1),IF(OR(j_WEEKDAY(J_ADDDAY(VLOOKUP(I109,A:F,6,FALSE),H109+2,1),0)=6,SUMIFS(Holieday[ok],Holieday[date],J_ADDDAY(VLOOKUP(I109,A:F,6,FALSE),H109+2,1)))=FALSE(),J_ADDDAY(VLOOKUP(I109,A:F,6,FALSE),H109+2,1),IF(OR(j_WEEKDAY(J_ADDDAY(VLOOKUP(I109,A:F,6,FALSE),H109+3,1),0)=6,SUMIFS(Holieday[ok],Holieday[date],J_ADDDAY(VLOOKUP(I109,A:F,6,FALSE),H109+3,1)))=FALSE(),J_ADDDAY(VLOOKUP(I109,A:F,6,FALSE),H109+3,1),IF(OR(j_WEEKDAY(J_ADDDAY(VLOOKUP(I109,A:F,6,FALSE),H109+4,1),0)=6,SUMIFS(Holieday[ok],Holieday[date],J_ADDDAY(VLOOKUP(I109,A:F,6,FALSE),H109+4,1)))=FALSE(),J_ADDDAY(VLOOKUP(I109,A:F,6,FALSE),H109+4,1),J_ADDDAY(VLOOKUP(I109,A:F,6,FALSE),H109+5,1))))))</f>
        <v>1398/07/02</v>
      </c>
      <c r="E109" s="1">
        <f t="shared" si="33"/>
        <v>13980702</v>
      </c>
      <c r="F109" s="12" t="str">
        <f>IF(N109=0,J_SUBDAY(D109,1,1),IF((N109-NETWORKDAYS.INTL(J_GregorianDate(D109,1),J_GregorianDate(J_SUBDAY(J_ADDDAY(D109,N109,1),1,1),1),16,1)-SUMIFS(Holieday[ok],Holieday[date],CONCATENATE("&gt;","=",D109),Holieday[date],CONCATENATE("&lt;","=",J_SUBDAY(J_ADDDAY(D109,N109,1),1,1)))+SUMIFS(Holieday[Friday],Holieday[date],CONCATENATE("&gt;","=",D109),Holieday[date],CONCATENATE("&lt;","=",J_SUBDAY(J_ADDDAY(D109,N109,1),1,1))))=0,J_SUBDAY(J_ADDDAY(D109,N109,1),1,1),IF((N109-NETWORKDAYS.INTL(J_GregorianDate(D109,1),J_GregorianDate(J_SUBDAY(J_ADDDAY(D109,N109,1),1,1),1),16,1)-SUMIFS(Holieday[ok],Holieday[date],CONCATENATE("&gt;","=",D109),Holieday[date],CONCATENATE("&lt;","=",J_SUBDAY(J_ADDDAY(D109,N109,1),1,1)))+SUMIFS(Holieday[Friday],Holieday[date],CONCATENATE("&gt;","=",D109),Holieday[date],CONCATENATE("&lt;","=",J_SUBDAY(J_ADDDAY(D109,N109,1),1,1))))=1,J_SUBDAY(J_ADDDAY(D109,N109+1,1),1,1),IF((N109-NETWORKDAYS.INTL(J_GregorianDate(D109,1),J_GregorianDate(J_SUBDAY(J_ADDDAY(D109,N109,1),1,1),1),16,1)-SUMIFS(Holieday[ok],Holieday[date],CONCATENATE("&gt;","=",D109),Holieday[date],CONCATENATE("&lt;","=",J_SUBDAY(J_ADDDAY(D109,N109,1),1,1)))+SUMIFS(Holieday[Friday],Holieday[date],CONCATENATE("&gt;","=",D109),Holieday[date],CONCATENATE("&lt;","=",J_SUBDAY(J_ADDDAY(D109,N109,1),1,1))))=2,J_SUBDAY(J_ADDDAY(D109,N109+2,1),1,1),J_SUBDAY(J_ADDDAY(D109,N109+3,1),1,1)))))</f>
        <v>1398/07/01</v>
      </c>
      <c r="G109" s="2">
        <f t="shared" si="30"/>
        <v>13980701</v>
      </c>
      <c r="H109" s="109"/>
      <c r="I109" s="110">
        <v>1.2</v>
      </c>
      <c r="J109" s="9">
        <f>j_WEEKDAY(D109,2)</f>
        <v>3</v>
      </c>
      <c r="K109" s="21">
        <f t="shared" si="34"/>
        <v>0</v>
      </c>
      <c r="L109" s="8">
        <f t="shared" si="35"/>
        <v>0</v>
      </c>
      <c r="M109" s="111">
        <v>0</v>
      </c>
      <c r="N109" s="108">
        <v>0</v>
      </c>
      <c r="O109" s="10">
        <f t="shared" ref="O109:O116" si="36">ROUNDDOWN(M109*L109,0)</f>
        <v>0</v>
      </c>
      <c r="P109" s="10">
        <f>VALUE(J_normdate(J_ADDDAY($D109,$O109,1)))</f>
        <v>13980702</v>
      </c>
      <c r="Q109" s="9">
        <f t="shared" ref="Q109:Q116" si="37">L109-O109</f>
        <v>0</v>
      </c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7"/>
      <c r="EE109" s="7"/>
      <c r="EF109" s="7"/>
      <c r="EG109" s="7"/>
      <c r="EH109" s="7"/>
      <c r="EI109" s="7"/>
      <c r="EJ109" s="7"/>
      <c r="EK109" s="7"/>
      <c r="EL109" s="7"/>
      <c r="EM109" s="7"/>
      <c r="EN109" s="7"/>
      <c r="EO109" s="7"/>
      <c r="EP109" s="7"/>
      <c r="EQ109" s="7"/>
      <c r="ER109" s="7"/>
      <c r="ES109" s="7"/>
      <c r="ET109" s="7"/>
      <c r="EU109" s="7"/>
      <c r="EV109" s="7"/>
      <c r="EW109" s="7"/>
      <c r="EX109" s="7"/>
      <c r="EY109" s="7"/>
      <c r="EZ109" s="7"/>
      <c r="FA109" s="7"/>
      <c r="FB109" s="7"/>
      <c r="FC109" s="7"/>
      <c r="FD109" s="7"/>
      <c r="FE109" s="7"/>
      <c r="FF109" s="7"/>
      <c r="FG109" s="7"/>
      <c r="FH109" s="7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7"/>
      <c r="HA109" s="7"/>
      <c r="HB109" s="7"/>
      <c r="HC109" s="7"/>
      <c r="HD109" s="7"/>
      <c r="HE109" s="7"/>
      <c r="HF109" s="7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7"/>
      <c r="HR109" s="7"/>
      <c r="HS109" s="7"/>
      <c r="HT109" s="7"/>
      <c r="HU109" s="7"/>
      <c r="HV109" s="7"/>
      <c r="HW109" s="7"/>
      <c r="HX109" s="7"/>
      <c r="HY109" s="7"/>
      <c r="HZ109" s="7"/>
      <c r="IA109" s="7"/>
      <c r="IB109" s="7"/>
      <c r="IC109" s="7"/>
      <c r="ID109" s="7"/>
      <c r="IE109" s="7"/>
      <c r="IF109" s="7"/>
      <c r="IG109" s="7"/>
      <c r="IH109" s="7"/>
      <c r="II109" s="7"/>
      <c r="IJ109" s="7"/>
      <c r="IK109" s="7"/>
      <c r="IL109" s="7"/>
      <c r="IM109" s="7"/>
      <c r="IN109" s="7"/>
      <c r="IO109" s="7"/>
      <c r="IP109" s="7"/>
      <c r="IQ109" s="7"/>
      <c r="IR109" s="7"/>
      <c r="IS109" s="7"/>
      <c r="IT109" s="7"/>
      <c r="IU109" s="7"/>
      <c r="IV109" s="7"/>
      <c r="IW109" s="7"/>
      <c r="IX109" s="7"/>
      <c r="JA109" s="113"/>
      <c r="JB109" s="113"/>
      <c r="JC109" s="113"/>
      <c r="JD109" s="66">
        <f>SUM((TEXT(JA109,"[M]")/60)*'Income Person-hours'!$D$3,(TEXT(JB109,"[M]")/60)*'Income Person-hours'!$D$4,(TEXT(JC109,"[M]")/60)*'Income Person-hours'!$D$5)</f>
        <v>0</v>
      </c>
    </row>
    <row r="110" spans="1:264" s="11" customFormat="1" ht="11.25" hidden="1">
      <c r="A110" s="30">
        <v>4.16</v>
      </c>
      <c r="B110" s="116"/>
      <c r="C110" s="107"/>
      <c r="D110" s="12" t="str">
        <f>IF(OR(j_WEEKDAY(J_ADDDAY(VLOOKUP(I110,A:F,6,FALSE),H110,1),0)=6,SUMIFS(Holieday[ok],Holieday[date],J_ADDDAY(VLOOKUP(I110,A:F,6,FALSE),H110,1)))=FALSE(),J_ADDDAY(VLOOKUP(I110,A:F,6,FALSE),H110,1),IF(OR(j_WEEKDAY(J_ADDDAY(VLOOKUP(I110,A:F,6,FALSE),H110+1,1),0)=6,SUMIFS(Holieday[ok],Holieday[date],J_ADDDAY(VLOOKUP(I110,A:F,6,FALSE),H110+1,1)))=FALSE(),J_ADDDAY(VLOOKUP(I110,A:F,6,FALSE),H110+1,1),IF(OR(j_WEEKDAY(J_ADDDAY(VLOOKUP(I110,A:F,6,FALSE),H110+2,1),0)=6,SUMIFS(Holieday[ok],Holieday[date],J_ADDDAY(VLOOKUP(I110,A:F,6,FALSE),H110+2,1)))=FALSE(),J_ADDDAY(VLOOKUP(I110,A:F,6,FALSE),H110+2,1),IF(OR(j_WEEKDAY(J_ADDDAY(VLOOKUP(I110,A:F,6,FALSE),H110+3,1),0)=6,SUMIFS(Holieday[ok],Holieday[date],J_ADDDAY(VLOOKUP(I110,A:F,6,FALSE),H110+3,1)))=FALSE(),J_ADDDAY(VLOOKUP(I110,A:F,6,FALSE),H110+3,1),IF(OR(j_WEEKDAY(J_ADDDAY(VLOOKUP(I110,A:F,6,FALSE),H110+4,1),0)=6,SUMIFS(Holieday[ok],Holieday[date],J_ADDDAY(VLOOKUP(I110,A:F,6,FALSE),H110+4,1)))=FALSE(),J_ADDDAY(VLOOKUP(I110,A:F,6,FALSE),H110+4,1),J_ADDDAY(VLOOKUP(I110,A:F,6,FALSE),H110+5,1))))))</f>
        <v>1398/07/02</v>
      </c>
      <c r="E110" s="1">
        <f t="shared" si="33"/>
        <v>13980702</v>
      </c>
      <c r="F110" s="12" t="str">
        <f>IF(N110=0,J_SUBDAY(D110,1,1),IF((N110-NETWORKDAYS.INTL(J_GregorianDate(D110,1),J_GregorianDate(J_SUBDAY(J_ADDDAY(D110,N110,1),1,1),1),16,1)-SUMIFS(Holieday[ok],Holieday[date],CONCATENATE("&gt;","=",D110),Holieday[date],CONCATENATE("&lt;","=",J_SUBDAY(J_ADDDAY(D110,N110,1),1,1)))+SUMIFS(Holieday[Friday],Holieday[date],CONCATENATE("&gt;","=",D110),Holieday[date],CONCATENATE("&lt;","=",J_SUBDAY(J_ADDDAY(D110,N110,1),1,1))))=0,J_SUBDAY(J_ADDDAY(D110,N110,1),1,1),IF((N110-NETWORKDAYS.INTL(J_GregorianDate(D110,1),J_GregorianDate(J_SUBDAY(J_ADDDAY(D110,N110,1),1,1),1),16,1)-SUMIFS(Holieday[ok],Holieday[date],CONCATENATE("&gt;","=",D110),Holieday[date],CONCATENATE("&lt;","=",J_SUBDAY(J_ADDDAY(D110,N110,1),1,1)))+SUMIFS(Holieday[Friday],Holieday[date],CONCATENATE("&gt;","=",D110),Holieday[date],CONCATENATE("&lt;","=",J_SUBDAY(J_ADDDAY(D110,N110,1),1,1))))=1,J_SUBDAY(J_ADDDAY(D110,N110+1,1),1,1),IF((N110-NETWORKDAYS.INTL(J_GregorianDate(D110,1),J_GregorianDate(J_SUBDAY(J_ADDDAY(D110,N110,1),1,1),1),16,1)-SUMIFS(Holieday[ok],Holieday[date],CONCATENATE("&gt;","=",D110),Holieday[date],CONCATENATE("&lt;","=",J_SUBDAY(J_ADDDAY(D110,N110,1),1,1)))+SUMIFS(Holieday[Friday],Holieday[date],CONCATENATE("&gt;","=",D110),Holieday[date],CONCATENATE("&lt;","=",J_SUBDAY(J_ADDDAY(D110,N110,1),1,1))))=2,J_SUBDAY(J_ADDDAY(D110,N110+2,1),1,1),J_SUBDAY(J_ADDDAY(D110,N110+3,1),1,1)))))</f>
        <v>1398/07/01</v>
      </c>
      <c r="G110" s="2">
        <f t="shared" si="30"/>
        <v>13980701</v>
      </c>
      <c r="H110" s="109"/>
      <c r="I110" s="110">
        <v>1.2</v>
      </c>
      <c r="J110" s="9">
        <f>j_WEEKDAY(D110,2)</f>
        <v>3</v>
      </c>
      <c r="K110" s="21">
        <f t="shared" si="34"/>
        <v>0</v>
      </c>
      <c r="L110" s="8">
        <f t="shared" si="35"/>
        <v>0</v>
      </c>
      <c r="M110" s="111">
        <v>0</v>
      </c>
      <c r="N110" s="108">
        <v>0</v>
      </c>
      <c r="O110" s="10">
        <f t="shared" si="36"/>
        <v>0</v>
      </c>
      <c r="P110" s="10">
        <f>VALUE(J_normdate(J_ADDDAY($D110,$O110,1)))</f>
        <v>13980702</v>
      </c>
      <c r="Q110" s="9">
        <f t="shared" si="37"/>
        <v>0</v>
      </c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7"/>
      <c r="EE110" s="7"/>
      <c r="EF110" s="7"/>
      <c r="EG110" s="7"/>
      <c r="EH110" s="7"/>
      <c r="EI110" s="7"/>
      <c r="EJ110" s="7"/>
      <c r="EK110" s="7"/>
      <c r="EL110" s="7"/>
      <c r="EM110" s="7"/>
      <c r="EN110" s="7"/>
      <c r="EO110" s="7"/>
      <c r="EP110" s="7"/>
      <c r="EQ110" s="7"/>
      <c r="ER110" s="7"/>
      <c r="ES110" s="7"/>
      <c r="ET110" s="7"/>
      <c r="EU110" s="7"/>
      <c r="EV110" s="7"/>
      <c r="EW110" s="7"/>
      <c r="EX110" s="7"/>
      <c r="EY110" s="7"/>
      <c r="EZ110" s="7"/>
      <c r="FA110" s="7"/>
      <c r="FB110" s="7"/>
      <c r="FC110" s="7"/>
      <c r="FD110" s="7"/>
      <c r="FE110" s="7"/>
      <c r="FF110" s="7"/>
      <c r="FG110" s="7"/>
      <c r="FH110" s="7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7"/>
      <c r="HA110" s="7"/>
      <c r="HB110" s="7"/>
      <c r="HC110" s="7"/>
      <c r="HD110" s="7"/>
      <c r="HE110" s="7"/>
      <c r="HF110" s="7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7"/>
      <c r="HR110" s="7"/>
      <c r="HS110" s="7"/>
      <c r="HT110" s="7"/>
      <c r="HU110" s="7"/>
      <c r="HV110" s="7"/>
      <c r="HW110" s="7"/>
      <c r="HX110" s="7"/>
      <c r="HY110" s="7"/>
      <c r="HZ110" s="7"/>
      <c r="IA110" s="7"/>
      <c r="IB110" s="7"/>
      <c r="IC110" s="7"/>
      <c r="ID110" s="7"/>
      <c r="IE110" s="7"/>
      <c r="IF110" s="7"/>
      <c r="IG110" s="7"/>
      <c r="IH110" s="7"/>
      <c r="II110" s="7"/>
      <c r="IJ110" s="7"/>
      <c r="IK110" s="7"/>
      <c r="IL110" s="7"/>
      <c r="IM110" s="7"/>
      <c r="IN110" s="7"/>
      <c r="IO110" s="7"/>
      <c r="IP110" s="7"/>
      <c r="IQ110" s="7"/>
      <c r="IR110" s="7"/>
      <c r="IS110" s="7"/>
      <c r="IT110" s="7"/>
      <c r="IU110" s="7"/>
      <c r="IV110" s="7"/>
      <c r="IW110" s="7"/>
      <c r="IX110" s="7"/>
      <c r="JA110" s="113"/>
      <c r="JB110" s="113"/>
      <c r="JC110" s="113"/>
      <c r="JD110" s="66">
        <f>SUM((TEXT(JA110,"[M]")/60)*'Income Person-hours'!$D$3,(TEXT(JB110,"[M]")/60)*'Income Person-hours'!$D$4,(TEXT(JC110,"[M]")/60)*'Income Person-hours'!$D$5)</f>
        <v>0</v>
      </c>
    </row>
    <row r="111" spans="1:264" s="11" customFormat="1" ht="11.25" hidden="1">
      <c r="A111" s="30">
        <v>4.17</v>
      </c>
      <c r="B111" s="116"/>
      <c r="C111" s="107"/>
      <c r="D111" s="12" t="str">
        <f>IF(OR(j_WEEKDAY(J_ADDDAY(VLOOKUP(I111,A:F,6,FALSE),H111,1),0)=6,SUMIFS(Holieday[ok],Holieday[date],J_ADDDAY(VLOOKUP(I111,A:F,6,FALSE),H111,1)))=FALSE(),J_ADDDAY(VLOOKUP(I111,A:F,6,FALSE),H111,1),IF(OR(j_WEEKDAY(J_ADDDAY(VLOOKUP(I111,A:F,6,FALSE),H111+1,1),0)=6,SUMIFS(Holieday[ok],Holieday[date],J_ADDDAY(VLOOKUP(I111,A:F,6,FALSE),H111+1,1)))=FALSE(),J_ADDDAY(VLOOKUP(I111,A:F,6,FALSE),H111+1,1),IF(OR(j_WEEKDAY(J_ADDDAY(VLOOKUP(I111,A:F,6,FALSE),H111+2,1),0)=6,SUMIFS(Holieday[ok],Holieday[date],J_ADDDAY(VLOOKUP(I111,A:F,6,FALSE),H111+2,1)))=FALSE(),J_ADDDAY(VLOOKUP(I111,A:F,6,FALSE),H111+2,1),IF(OR(j_WEEKDAY(J_ADDDAY(VLOOKUP(I111,A:F,6,FALSE),H111+3,1),0)=6,SUMIFS(Holieday[ok],Holieday[date],J_ADDDAY(VLOOKUP(I111,A:F,6,FALSE),H111+3,1)))=FALSE(),J_ADDDAY(VLOOKUP(I111,A:F,6,FALSE),H111+3,1),IF(OR(j_WEEKDAY(J_ADDDAY(VLOOKUP(I111,A:F,6,FALSE),H111+4,1),0)=6,SUMIFS(Holieday[ok],Holieday[date],J_ADDDAY(VLOOKUP(I111,A:F,6,FALSE),H111+4,1)))=FALSE(),J_ADDDAY(VLOOKUP(I111,A:F,6,FALSE),H111+4,1),J_ADDDAY(VLOOKUP(I111,A:F,6,FALSE),H111+5,1))))))</f>
        <v>1398/07/02</v>
      </c>
      <c r="E111" s="1">
        <f t="shared" si="33"/>
        <v>13980702</v>
      </c>
      <c r="F111" s="12" t="str">
        <f>IF(N111=0,J_SUBDAY(D111,1,1),IF((N111-NETWORKDAYS.INTL(J_GregorianDate(D111,1),J_GregorianDate(J_SUBDAY(J_ADDDAY(D111,N111,1),1,1),1),16,1)-SUMIFS(Holieday[ok],Holieday[date],CONCATENATE("&gt;","=",D111),Holieday[date],CONCATENATE("&lt;","=",J_SUBDAY(J_ADDDAY(D111,N111,1),1,1)))+SUMIFS(Holieday[Friday],Holieday[date],CONCATENATE("&gt;","=",D111),Holieday[date],CONCATENATE("&lt;","=",J_SUBDAY(J_ADDDAY(D111,N111,1),1,1))))=0,J_SUBDAY(J_ADDDAY(D111,N111,1),1,1),IF((N111-NETWORKDAYS.INTL(J_GregorianDate(D111,1),J_GregorianDate(J_SUBDAY(J_ADDDAY(D111,N111,1),1,1),1),16,1)-SUMIFS(Holieday[ok],Holieday[date],CONCATENATE("&gt;","=",D111),Holieday[date],CONCATENATE("&lt;","=",J_SUBDAY(J_ADDDAY(D111,N111,1),1,1)))+SUMIFS(Holieday[Friday],Holieday[date],CONCATENATE("&gt;","=",D111),Holieday[date],CONCATENATE("&lt;","=",J_SUBDAY(J_ADDDAY(D111,N111,1),1,1))))=1,J_SUBDAY(J_ADDDAY(D111,N111+1,1),1,1),IF((N111-NETWORKDAYS.INTL(J_GregorianDate(D111,1),J_GregorianDate(J_SUBDAY(J_ADDDAY(D111,N111,1),1,1),1),16,1)-SUMIFS(Holieday[ok],Holieday[date],CONCATENATE("&gt;","=",D111),Holieday[date],CONCATENATE("&lt;","=",J_SUBDAY(J_ADDDAY(D111,N111,1),1,1)))+SUMIFS(Holieday[Friday],Holieday[date],CONCATENATE("&gt;","=",D111),Holieday[date],CONCATENATE("&lt;","=",J_SUBDAY(J_ADDDAY(D111,N111,1),1,1))))=2,J_SUBDAY(J_ADDDAY(D111,N111+2,1),1,1),J_SUBDAY(J_ADDDAY(D111,N111+3,1),1,1)))))</f>
        <v>1398/07/01</v>
      </c>
      <c r="G111" s="2">
        <f t="shared" si="30"/>
        <v>13980701</v>
      </c>
      <c r="H111" s="109"/>
      <c r="I111" s="110">
        <v>1.2</v>
      </c>
      <c r="J111" s="9">
        <f>j_WEEKDAY(D111,2)</f>
        <v>3</v>
      </c>
      <c r="K111" s="21">
        <f t="shared" si="34"/>
        <v>0</v>
      </c>
      <c r="L111" s="8">
        <f t="shared" si="35"/>
        <v>0</v>
      </c>
      <c r="M111" s="111">
        <v>0</v>
      </c>
      <c r="N111" s="108">
        <v>0</v>
      </c>
      <c r="O111" s="10">
        <f t="shared" si="36"/>
        <v>0</v>
      </c>
      <c r="P111" s="10">
        <f>VALUE(J_normdate(J_ADDDAY($D111,$O111,1)))</f>
        <v>13980702</v>
      </c>
      <c r="Q111" s="9">
        <f t="shared" si="37"/>
        <v>0</v>
      </c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7"/>
      <c r="EE111" s="7"/>
      <c r="EF111" s="7"/>
      <c r="EG111" s="7"/>
      <c r="EH111" s="7"/>
      <c r="EI111" s="7"/>
      <c r="EJ111" s="7"/>
      <c r="EK111" s="7"/>
      <c r="EL111" s="7"/>
      <c r="EM111" s="7"/>
      <c r="EN111" s="7"/>
      <c r="EO111" s="7"/>
      <c r="EP111" s="7"/>
      <c r="EQ111" s="7"/>
      <c r="ER111" s="7"/>
      <c r="ES111" s="7"/>
      <c r="ET111" s="7"/>
      <c r="EU111" s="7"/>
      <c r="EV111" s="7"/>
      <c r="EW111" s="7"/>
      <c r="EX111" s="7"/>
      <c r="EY111" s="7"/>
      <c r="EZ111" s="7"/>
      <c r="FA111" s="7"/>
      <c r="FB111" s="7"/>
      <c r="FC111" s="7"/>
      <c r="FD111" s="7"/>
      <c r="FE111" s="7"/>
      <c r="FF111" s="7"/>
      <c r="FG111" s="7"/>
      <c r="FH111" s="7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/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7"/>
      <c r="HA111" s="7"/>
      <c r="HB111" s="7"/>
      <c r="HC111" s="7"/>
      <c r="HD111" s="7"/>
      <c r="HE111" s="7"/>
      <c r="HF111" s="7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7"/>
      <c r="HR111" s="7"/>
      <c r="HS111" s="7"/>
      <c r="HT111" s="7"/>
      <c r="HU111" s="7"/>
      <c r="HV111" s="7"/>
      <c r="HW111" s="7"/>
      <c r="HX111" s="7"/>
      <c r="HY111" s="7"/>
      <c r="HZ111" s="7"/>
      <c r="IA111" s="7"/>
      <c r="IB111" s="7"/>
      <c r="IC111" s="7"/>
      <c r="ID111" s="7"/>
      <c r="IE111" s="7"/>
      <c r="IF111" s="7"/>
      <c r="IG111" s="7"/>
      <c r="IH111" s="7"/>
      <c r="II111" s="7"/>
      <c r="IJ111" s="7"/>
      <c r="IK111" s="7"/>
      <c r="IL111" s="7"/>
      <c r="IM111" s="7"/>
      <c r="IN111" s="7"/>
      <c r="IO111" s="7"/>
      <c r="IP111" s="7"/>
      <c r="IQ111" s="7"/>
      <c r="IR111" s="7"/>
      <c r="IS111" s="7"/>
      <c r="IT111" s="7"/>
      <c r="IU111" s="7"/>
      <c r="IV111" s="7"/>
      <c r="IW111" s="7"/>
      <c r="IX111" s="7"/>
      <c r="JA111" s="113"/>
      <c r="JB111" s="113"/>
      <c r="JC111" s="113"/>
      <c r="JD111" s="66">
        <f>SUM((TEXT(JA111,"[M]")/60)*'Income Person-hours'!$D$3,(TEXT(JB111,"[M]")/60)*'Income Person-hours'!$D$4,(TEXT(JC111,"[M]")/60)*'Income Person-hours'!$D$5)</f>
        <v>0</v>
      </c>
    </row>
    <row r="112" spans="1:264" s="11" customFormat="1" ht="11.25" hidden="1">
      <c r="A112" s="30">
        <v>4.18</v>
      </c>
      <c r="B112" s="116"/>
      <c r="C112" s="107"/>
      <c r="D112" s="12" t="str">
        <f>IF(OR(j_WEEKDAY(J_ADDDAY(VLOOKUP(I112,A:F,6,FALSE),H112,1),0)=6,SUMIFS(Holieday[ok],Holieday[date],J_ADDDAY(VLOOKUP(I112,A:F,6,FALSE),H112,1)))=FALSE(),J_ADDDAY(VLOOKUP(I112,A:F,6,FALSE),H112,1),IF(OR(j_WEEKDAY(J_ADDDAY(VLOOKUP(I112,A:F,6,FALSE),H112+1,1),0)=6,SUMIFS(Holieday[ok],Holieday[date],J_ADDDAY(VLOOKUP(I112,A:F,6,FALSE),H112+1,1)))=FALSE(),J_ADDDAY(VLOOKUP(I112,A:F,6,FALSE),H112+1,1),IF(OR(j_WEEKDAY(J_ADDDAY(VLOOKUP(I112,A:F,6,FALSE),H112+2,1),0)=6,SUMIFS(Holieday[ok],Holieday[date],J_ADDDAY(VLOOKUP(I112,A:F,6,FALSE),H112+2,1)))=FALSE(),J_ADDDAY(VLOOKUP(I112,A:F,6,FALSE),H112+2,1),IF(OR(j_WEEKDAY(J_ADDDAY(VLOOKUP(I112,A:F,6,FALSE),H112+3,1),0)=6,SUMIFS(Holieday[ok],Holieday[date],J_ADDDAY(VLOOKUP(I112,A:F,6,FALSE),H112+3,1)))=FALSE(),J_ADDDAY(VLOOKUP(I112,A:F,6,FALSE),H112+3,1),IF(OR(j_WEEKDAY(J_ADDDAY(VLOOKUP(I112,A:F,6,FALSE),H112+4,1),0)=6,SUMIFS(Holieday[ok],Holieday[date],J_ADDDAY(VLOOKUP(I112,A:F,6,FALSE),H112+4,1)))=FALSE(),J_ADDDAY(VLOOKUP(I112,A:F,6,FALSE),H112+4,1),J_ADDDAY(VLOOKUP(I112,A:F,6,FALSE),H112+5,1))))))</f>
        <v>1398/07/02</v>
      </c>
      <c r="E112" s="1">
        <f t="shared" si="33"/>
        <v>13980702</v>
      </c>
      <c r="F112" s="12" t="str">
        <f>IF(N112=0,J_SUBDAY(D112,1,1),IF((N112-NETWORKDAYS.INTL(J_GregorianDate(D112,1),J_GregorianDate(J_SUBDAY(J_ADDDAY(D112,N112,1),1,1),1),16,1)-SUMIFS(Holieday[ok],Holieday[date],CONCATENATE("&gt;","=",D112),Holieday[date],CONCATENATE("&lt;","=",J_SUBDAY(J_ADDDAY(D112,N112,1),1,1)))+SUMIFS(Holieday[Friday],Holieday[date],CONCATENATE("&gt;","=",D112),Holieday[date],CONCATENATE("&lt;","=",J_SUBDAY(J_ADDDAY(D112,N112,1),1,1))))=0,J_SUBDAY(J_ADDDAY(D112,N112,1),1,1),IF((N112-NETWORKDAYS.INTL(J_GregorianDate(D112,1),J_GregorianDate(J_SUBDAY(J_ADDDAY(D112,N112,1),1,1),1),16,1)-SUMIFS(Holieday[ok],Holieday[date],CONCATENATE("&gt;","=",D112),Holieday[date],CONCATENATE("&lt;","=",J_SUBDAY(J_ADDDAY(D112,N112,1),1,1)))+SUMIFS(Holieday[Friday],Holieday[date],CONCATENATE("&gt;","=",D112),Holieday[date],CONCATENATE("&lt;","=",J_SUBDAY(J_ADDDAY(D112,N112,1),1,1))))=1,J_SUBDAY(J_ADDDAY(D112,N112+1,1),1,1),IF((N112-NETWORKDAYS.INTL(J_GregorianDate(D112,1),J_GregorianDate(J_SUBDAY(J_ADDDAY(D112,N112,1),1,1),1),16,1)-SUMIFS(Holieday[ok],Holieday[date],CONCATENATE("&gt;","=",D112),Holieday[date],CONCATENATE("&lt;","=",J_SUBDAY(J_ADDDAY(D112,N112,1),1,1)))+SUMIFS(Holieday[Friday],Holieday[date],CONCATENATE("&gt;","=",D112),Holieday[date],CONCATENATE("&lt;","=",J_SUBDAY(J_ADDDAY(D112,N112,1),1,1))))=2,J_SUBDAY(J_ADDDAY(D112,N112+2,1),1,1),J_SUBDAY(J_ADDDAY(D112,N112+3,1),1,1)))))</f>
        <v>1398/07/01</v>
      </c>
      <c r="G112" s="2">
        <f t="shared" si="30"/>
        <v>13980701</v>
      </c>
      <c r="H112" s="109"/>
      <c r="I112" s="110">
        <v>1.2</v>
      </c>
      <c r="J112" s="9">
        <f>j_WEEKDAY(D112,2)</f>
        <v>3</v>
      </c>
      <c r="K112" s="21">
        <f t="shared" si="34"/>
        <v>0</v>
      </c>
      <c r="L112" s="8">
        <f t="shared" si="35"/>
        <v>0</v>
      </c>
      <c r="M112" s="111">
        <v>0</v>
      </c>
      <c r="N112" s="108">
        <v>0</v>
      </c>
      <c r="O112" s="10">
        <f t="shared" si="36"/>
        <v>0</v>
      </c>
      <c r="P112" s="10">
        <f>VALUE(J_normdate(J_ADDDAY($D112,$O112,1)))</f>
        <v>13980702</v>
      </c>
      <c r="Q112" s="9">
        <f t="shared" si="37"/>
        <v>0</v>
      </c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/>
      <c r="IP112" s="7"/>
      <c r="IQ112" s="7"/>
      <c r="IR112" s="7"/>
      <c r="IS112" s="7"/>
      <c r="IT112" s="7"/>
      <c r="IU112" s="7"/>
      <c r="IV112" s="7"/>
      <c r="IW112" s="7"/>
      <c r="IX112" s="7"/>
      <c r="JA112" s="113"/>
      <c r="JB112" s="113"/>
      <c r="JC112" s="113"/>
      <c r="JD112" s="66">
        <f>SUM((TEXT(JA112,"[M]")/60)*'Income Person-hours'!$D$3,(TEXT(JB112,"[M]")/60)*'Income Person-hours'!$D$4,(TEXT(JC112,"[M]")/60)*'Income Person-hours'!$D$5)</f>
        <v>0</v>
      </c>
    </row>
    <row r="113" spans="1:264" s="11" customFormat="1" ht="11.25" hidden="1">
      <c r="A113" s="30">
        <v>4.1900000000000004</v>
      </c>
      <c r="B113" s="116"/>
      <c r="C113" s="107"/>
      <c r="D113" s="12" t="str">
        <f>IF(OR(j_WEEKDAY(J_ADDDAY(VLOOKUP(I113,A:F,6,FALSE),H113,1),0)=6,SUMIFS(Holieday[ok],Holieday[date],J_ADDDAY(VLOOKUP(I113,A:F,6,FALSE),H113,1)))=FALSE(),J_ADDDAY(VLOOKUP(I113,A:F,6,FALSE),H113,1),IF(OR(j_WEEKDAY(J_ADDDAY(VLOOKUP(I113,A:F,6,FALSE),H113+1,1),0)=6,SUMIFS(Holieday[ok],Holieday[date],J_ADDDAY(VLOOKUP(I113,A:F,6,FALSE),H113+1,1)))=FALSE(),J_ADDDAY(VLOOKUP(I113,A:F,6,FALSE),H113+1,1),IF(OR(j_WEEKDAY(J_ADDDAY(VLOOKUP(I113,A:F,6,FALSE),H113+2,1),0)=6,SUMIFS(Holieday[ok],Holieday[date],J_ADDDAY(VLOOKUP(I113,A:F,6,FALSE),H113+2,1)))=FALSE(),J_ADDDAY(VLOOKUP(I113,A:F,6,FALSE),H113+2,1),IF(OR(j_WEEKDAY(J_ADDDAY(VLOOKUP(I113,A:F,6,FALSE),H113+3,1),0)=6,SUMIFS(Holieday[ok],Holieday[date],J_ADDDAY(VLOOKUP(I113,A:F,6,FALSE),H113+3,1)))=FALSE(),J_ADDDAY(VLOOKUP(I113,A:F,6,FALSE),H113+3,1),IF(OR(j_WEEKDAY(J_ADDDAY(VLOOKUP(I113,A:F,6,FALSE),H113+4,1),0)=6,SUMIFS(Holieday[ok],Holieday[date],J_ADDDAY(VLOOKUP(I113,A:F,6,FALSE),H113+4,1)))=FALSE(),J_ADDDAY(VLOOKUP(I113,A:F,6,FALSE),H113+4,1),J_ADDDAY(VLOOKUP(I113,A:F,6,FALSE),H113+5,1))))))</f>
        <v>1398/07/02</v>
      </c>
      <c r="E113" s="1">
        <f t="shared" si="33"/>
        <v>13980702</v>
      </c>
      <c r="F113" s="12" t="str">
        <f>IF(N113=0,J_SUBDAY(D113,1,1),IF((N113-NETWORKDAYS.INTL(J_GregorianDate(D113,1),J_GregorianDate(J_SUBDAY(J_ADDDAY(D113,N113,1),1,1),1),16,1)-SUMIFS(Holieday[ok],Holieday[date],CONCATENATE("&gt;","=",D113),Holieday[date],CONCATENATE("&lt;","=",J_SUBDAY(J_ADDDAY(D113,N113,1),1,1)))+SUMIFS(Holieday[Friday],Holieday[date],CONCATENATE("&gt;","=",D113),Holieday[date],CONCATENATE("&lt;","=",J_SUBDAY(J_ADDDAY(D113,N113,1),1,1))))=0,J_SUBDAY(J_ADDDAY(D113,N113,1),1,1),IF((N113-NETWORKDAYS.INTL(J_GregorianDate(D113,1),J_GregorianDate(J_SUBDAY(J_ADDDAY(D113,N113,1),1,1),1),16,1)-SUMIFS(Holieday[ok],Holieday[date],CONCATENATE("&gt;","=",D113),Holieday[date],CONCATENATE("&lt;","=",J_SUBDAY(J_ADDDAY(D113,N113,1),1,1)))+SUMIFS(Holieday[Friday],Holieday[date],CONCATENATE("&gt;","=",D113),Holieday[date],CONCATENATE("&lt;","=",J_SUBDAY(J_ADDDAY(D113,N113,1),1,1))))=1,J_SUBDAY(J_ADDDAY(D113,N113+1,1),1,1),IF((N113-NETWORKDAYS.INTL(J_GregorianDate(D113,1),J_GregorianDate(J_SUBDAY(J_ADDDAY(D113,N113,1),1,1),1),16,1)-SUMIFS(Holieday[ok],Holieday[date],CONCATENATE("&gt;","=",D113),Holieday[date],CONCATENATE("&lt;","=",J_SUBDAY(J_ADDDAY(D113,N113,1),1,1)))+SUMIFS(Holieday[Friday],Holieday[date],CONCATENATE("&gt;","=",D113),Holieday[date],CONCATENATE("&lt;","=",J_SUBDAY(J_ADDDAY(D113,N113,1),1,1))))=2,J_SUBDAY(J_ADDDAY(D113,N113+2,1),1,1),J_SUBDAY(J_ADDDAY(D113,N113+3,1),1,1)))))</f>
        <v>1398/07/01</v>
      </c>
      <c r="G113" s="2">
        <f t="shared" si="30"/>
        <v>13980701</v>
      </c>
      <c r="H113" s="109"/>
      <c r="I113" s="110">
        <v>1.2</v>
      </c>
      <c r="J113" s="9">
        <f>j_WEEKDAY(D113,2)</f>
        <v>3</v>
      </c>
      <c r="K113" s="21">
        <f t="shared" si="34"/>
        <v>0</v>
      </c>
      <c r="L113" s="8">
        <f t="shared" si="35"/>
        <v>0</v>
      </c>
      <c r="M113" s="111">
        <v>0</v>
      </c>
      <c r="N113" s="108">
        <v>0</v>
      </c>
      <c r="O113" s="10">
        <f t="shared" si="36"/>
        <v>0</v>
      </c>
      <c r="P113" s="10">
        <f>VALUE(J_normdate(J_ADDDAY($D113,$O113,1)))</f>
        <v>13980702</v>
      </c>
      <c r="Q113" s="9">
        <f t="shared" si="37"/>
        <v>0</v>
      </c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  <c r="DR113" s="7"/>
      <c r="DS113" s="7"/>
      <c r="DT113" s="7"/>
      <c r="DU113" s="7"/>
      <c r="DV113" s="7"/>
      <c r="DW113" s="7"/>
      <c r="DX113" s="7"/>
      <c r="DY113" s="7"/>
      <c r="DZ113" s="7"/>
      <c r="EA113" s="7"/>
      <c r="EB113" s="7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/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7"/>
      <c r="HA113" s="7"/>
      <c r="HB113" s="7"/>
      <c r="HC113" s="7"/>
      <c r="HD113" s="7"/>
      <c r="HE113" s="7"/>
      <c r="HF113" s="7"/>
      <c r="HG113" s="7"/>
      <c r="HH113" s="7"/>
      <c r="HI113" s="7"/>
      <c r="HJ113" s="7"/>
      <c r="HK113" s="7"/>
      <c r="HL113" s="7"/>
      <c r="HM113" s="7"/>
      <c r="HN113" s="7"/>
      <c r="HO113" s="7"/>
      <c r="HP113" s="7"/>
      <c r="HQ113" s="7"/>
      <c r="HR113" s="7"/>
      <c r="HS113" s="7"/>
      <c r="HT113" s="7"/>
      <c r="HU113" s="7"/>
      <c r="HV113" s="7"/>
      <c r="HW113" s="7"/>
      <c r="HX113" s="7"/>
      <c r="HY113" s="7"/>
      <c r="HZ113" s="7"/>
      <c r="IA113" s="7"/>
      <c r="IB113" s="7"/>
      <c r="IC113" s="7"/>
      <c r="ID113" s="7"/>
      <c r="IE113" s="7"/>
      <c r="IF113" s="7"/>
      <c r="IG113" s="7"/>
      <c r="IH113" s="7"/>
      <c r="II113" s="7"/>
      <c r="IJ113" s="7"/>
      <c r="IK113" s="7"/>
      <c r="IL113" s="7"/>
      <c r="IM113" s="7"/>
      <c r="IN113" s="7"/>
      <c r="IO113" s="7"/>
      <c r="IP113" s="7"/>
      <c r="IQ113" s="7"/>
      <c r="IR113" s="7"/>
      <c r="IS113" s="7"/>
      <c r="IT113" s="7"/>
      <c r="IU113" s="7"/>
      <c r="IV113" s="7"/>
      <c r="IW113" s="7"/>
      <c r="IX113" s="7"/>
      <c r="JA113" s="113"/>
      <c r="JB113" s="113"/>
      <c r="JC113" s="113"/>
      <c r="JD113" s="66">
        <f>SUM((TEXT(JA113,"[M]")/60)*'Income Person-hours'!$D$3,(TEXT(JB113,"[M]")/60)*'Income Person-hours'!$D$4,(TEXT(JC113,"[M]")/60)*'Income Person-hours'!$D$5)</f>
        <v>0</v>
      </c>
    </row>
    <row r="114" spans="1:264" s="11" customFormat="1" ht="11.25" hidden="1">
      <c r="A114" s="30">
        <v>4.21</v>
      </c>
      <c r="B114" s="116"/>
      <c r="C114" s="107"/>
      <c r="D114" s="12" t="str">
        <f>IF(OR(j_WEEKDAY(J_ADDDAY(VLOOKUP(I114,A:F,6,FALSE),H114,1),0)=6,SUMIFS(Holieday[ok],Holieday[date],J_ADDDAY(VLOOKUP(I114,A:F,6,FALSE),H114,1)))=FALSE(),J_ADDDAY(VLOOKUP(I114,A:F,6,FALSE),H114,1),IF(OR(j_WEEKDAY(J_ADDDAY(VLOOKUP(I114,A:F,6,FALSE),H114+1,1),0)=6,SUMIFS(Holieday[ok],Holieday[date],J_ADDDAY(VLOOKUP(I114,A:F,6,FALSE),H114+1,1)))=FALSE(),J_ADDDAY(VLOOKUP(I114,A:F,6,FALSE),H114+1,1),IF(OR(j_WEEKDAY(J_ADDDAY(VLOOKUP(I114,A:F,6,FALSE),H114+2,1),0)=6,SUMIFS(Holieday[ok],Holieday[date],J_ADDDAY(VLOOKUP(I114,A:F,6,FALSE),H114+2,1)))=FALSE(),J_ADDDAY(VLOOKUP(I114,A:F,6,FALSE),H114+2,1),IF(OR(j_WEEKDAY(J_ADDDAY(VLOOKUP(I114,A:F,6,FALSE),H114+3,1),0)=6,SUMIFS(Holieday[ok],Holieday[date],J_ADDDAY(VLOOKUP(I114,A:F,6,FALSE),H114+3,1)))=FALSE(),J_ADDDAY(VLOOKUP(I114,A:F,6,FALSE),H114+3,1),IF(OR(j_WEEKDAY(J_ADDDAY(VLOOKUP(I114,A:F,6,FALSE),H114+4,1),0)=6,SUMIFS(Holieday[ok],Holieday[date],J_ADDDAY(VLOOKUP(I114,A:F,6,FALSE),H114+4,1)))=FALSE(),J_ADDDAY(VLOOKUP(I114,A:F,6,FALSE),H114+4,1),J_ADDDAY(VLOOKUP(I114,A:F,6,FALSE),H114+5,1))))))</f>
        <v>1398/07/02</v>
      </c>
      <c r="E114" s="1">
        <f t="shared" si="33"/>
        <v>13980702</v>
      </c>
      <c r="F114" s="12" t="str">
        <f>IF(N114=0,J_SUBDAY(D114,1,1),IF((N114-NETWORKDAYS.INTL(J_GregorianDate(D114,1),J_GregorianDate(J_SUBDAY(J_ADDDAY(D114,N114,1),1,1),1),16,1)-SUMIFS(Holieday[ok],Holieday[date],CONCATENATE("&gt;","=",D114),Holieday[date],CONCATENATE("&lt;","=",J_SUBDAY(J_ADDDAY(D114,N114,1),1,1)))+SUMIFS(Holieday[Friday],Holieday[date],CONCATENATE("&gt;","=",D114),Holieday[date],CONCATENATE("&lt;","=",J_SUBDAY(J_ADDDAY(D114,N114,1),1,1))))=0,J_SUBDAY(J_ADDDAY(D114,N114,1),1,1),IF((N114-NETWORKDAYS.INTL(J_GregorianDate(D114,1),J_GregorianDate(J_SUBDAY(J_ADDDAY(D114,N114,1),1,1),1),16,1)-SUMIFS(Holieday[ok],Holieday[date],CONCATENATE("&gt;","=",D114),Holieday[date],CONCATENATE("&lt;","=",J_SUBDAY(J_ADDDAY(D114,N114,1),1,1)))+SUMIFS(Holieday[Friday],Holieday[date],CONCATENATE("&gt;","=",D114),Holieday[date],CONCATENATE("&lt;","=",J_SUBDAY(J_ADDDAY(D114,N114,1),1,1))))=1,J_SUBDAY(J_ADDDAY(D114,N114+1,1),1,1),IF((N114-NETWORKDAYS.INTL(J_GregorianDate(D114,1),J_GregorianDate(J_SUBDAY(J_ADDDAY(D114,N114,1),1,1),1),16,1)-SUMIFS(Holieday[ok],Holieday[date],CONCATENATE("&gt;","=",D114),Holieday[date],CONCATENATE("&lt;","=",J_SUBDAY(J_ADDDAY(D114,N114,1),1,1)))+SUMIFS(Holieday[Friday],Holieday[date],CONCATENATE("&gt;","=",D114),Holieday[date],CONCATENATE("&lt;","=",J_SUBDAY(J_ADDDAY(D114,N114,1),1,1))))=2,J_SUBDAY(J_ADDDAY(D114,N114+2,1),1,1),J_SUBDAY(J_ADDDAY(D114,N114+3,1),1,1)))))</f>
        <v>1398/07/01</v>
      </c>
      <c r="G114" s="2">
        <f t="shared" si="30"/>
        <v>13980701</v>
      </c>
      <c r="H114" s="109"/>
      <c r="I114" s="110">
        <v>1.2</v>
      </c>
      <c r="J114" s="9">
        <f>j_WEEKDAY(D114,2)</f>
        <v>3</v>
      </c>
      <c r="K114" s="21">
        <f t="shared" si="34"/>
        <v>0</v>
      </c>
      <c r="L114" s="8">
        <f t="shared" si="35"/>
        <v>0</v>
      </c>
      <c r="M114" s="111">
        <v>0</v>
      </c>
      <c r="N114" s="108">
        <v>0</v>
      </c>
      <c r="O114" s="10">
        <f t="shared" si="36"/>
        <v>0</v>
      </c>
      <c r="P114" s="10">
        <f>VALUE(J_normdate(J_ADDDAY($D114,$O114,1)))</f>
        <v>13980702</v>
      </c>
      <c r="Q114" s="9">
        <f t="shared" si="37"/>
        <v>0</v>
      </c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  <c r="DY114" s="7"/>
      <c r="DZ114" s="7"/>
      <c r="EA114" s="7"/>
      <c r="EB114" s="7"/>
      <c r="EC114" s="7"/>
      <c r="ED114" s="7"/>
      <c r="EE114" s="7"/>
      <c r="EF114" s="7"/>
      <c r="EG114" s="7"/>
      <c r="EH114" s="7"/>
      <c r="EI114" s="7"/>
      <c r="EJ114" s="7"/>
      <c r="EK114" s="7"/>
      <c r="EL114" s="7"/>
      <c r="EM114" s="7"/>
      <c r="EN114" s="7"/>
      <c r="EO114" s="7"/>
      <c r="EP114" s="7"/>
      <c r="EQ114" s="7"/>
      <c r="ER114" s="7"/>
      <c r="ES114" s="7"/>
      <c r="ET114" s="7"/>
      <c r="EU114" s="7"/>
      <c r="EV114" s="7"/>
      <c r="EW114" s="7"/>
      <c r="EX114" s="7"/>
      <c r="EY114" s="7"/>
      <c r="EZ114" s="7"/>
      <c r="FA114" s="7"/>
      <c r="FB114" s="7"/>
      <c r="FC114" s="7"/>
      <c r="FD114" s="7"/>
      <c r="FE114" s="7"/>
      <c r="FF114" s="7"/>
      <c r="FG114" s="7"/>
      <c r="FH114" s="7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7"/>
      <c r="HA114" s="7"/>
      <c r="HB114" s="7"/>
      <c r="HC114" s="7"/>
      <c r="HD114" s="7"/>
      <c r="HE114" s="7"/>
      <c r="HF114" s="7"/>
      <c r="HG114" s="7"/>
      <c r="HH114" s="7"/>
      <c r="HI114" s="7"/>
      <c r="HJ114" s="7"/>
      <c r="HK114" s="7"/>
      <c r="HL114" s="7"/>
      <c r="HM114" s="7"/>
      <c r="HN114" s="7"/>
      <c r="HO114" s="7"/>
      <c r="HP114" s="7"/>
      <c r="HQ114" s="7"/>
      <c r="HR114" s="7"/>
      <c r="HS114" s="7"/>
      <c r="HT114" s="7"/>
      <c r="HU114" s="7"/>
      <c r="HV114" s="7"/>
      <c r="HW114" s="7"/>
      <c r="HX114" s="7"/>
      <c r="HY114" s="7"/>
      <c r="HZ114" s="7"/>
      <c r="IA114" s="7"/>
      <c r="IB114" s="7"/>
      <c r="IC114" s="7"/>
      <c r="ID114" s="7"/>
      <c r="IE114" s="7"/>
      <c r="IF114" s="7"/>
      <c r="IG114" s="7"/>
      <c r="IH114" s="7"/>
      <c r="II114" s="7"/>
      <c r="IJ114" s="7"/>
      <c r="IK114" s="7"/>
      <c r="IL114" s="7"/>
      <c r="IM114" s="7"/>
      <c r="IN114" s="7"/>
      <c r="IO114" s="7"/>
      <c r="IP114" s="7"/>
      <c r="IQ114" s="7"/>
      <c r="IR114" s="7"/>
      <c r="IS114" s="7"/>
      <c r="IT114" s="7"/>
      <c r="IU114" s="7"/>
      <c r="IV114" s="7"/>
      <c r="IW114" s="7"/>
      <c r="IX114" s="7"/>
      <c r="JA114" s="113"/>
      <c r="JB114" s="113"/>
      <c r="JC114" s="113"/>
      <c r="JD114" s="66">
        <f>SUM((TEXT(JA114,"[M]")/60)*'Income Person-hours'!$D$3,(TEXT(JB114,"[M]")/60)*'Income Person-hours'!$D$4,(TEXT(JC114,"[M]")/60)*'Income Person-hours'!$D$5)</f>
        <v>0</v>
      </c>
    </row>
    <row r="115" spans="1:264" s="11" customFormat="1" ht="11.25" hidden="1">
      <c r="A115" s="30">
        <v>4.22</v>
      </c>
      <c r="B115" s="116"/>
      <c r="C115" s="107"/>
      <c r="D115" s="12" t="str">
        <f>IF(OR(j_WEEKDAY(J_ADDDAY(VLOOKUP(I115,A:F,6,FALSE),H115,1),0)=6,SUMIFS(Holieday[ok],Holieday[date],J_ADDDAY(VLOOKUP(I115,A:F,6,FALSE),H115,1)))=FALSE(),J_ADDDAY(VLOOKUP(I115,A:F,6,FALSE),H115,1),IF(OR(j_WEEKDAY(J_ADDDAY(VLOOKUP(I115,A:F,6,FALSE),H115+1,1),0)=6,SUMIFS(Holieday[ok],Holieday[date],J_ADDDAY(VLOOKUP(I115,A:F,6,FALSE),H115+1,1)))=FALSE(),J_ADDDAY(VLOOKUP(I115,A:F,6,FALSE),H115+1,1),IF(OR(j_WEEKDAY(J_ADDDAY(VLOOKUP(I115,A:F,6,FALSE),H115+2,1),0)=6,SUMIFS(Holieday[ok],Holieday[date],J_ADDDAY(VLOOKUP(I115,A:F,6,FALSE),H115+2,1)))=FALSE(),J_ADDDAY(VLOOKUP(I115,A:F,6,FALSE),H115+2,1),IF(OR(j_WEEKDAY(J_ADDDAY(VLOOKUP(I115,A:F,6,FALSE),H115+3,1),0)=6,SUMIFS(Holieday[ok],Holieday[date],J_ADDDAY(VLOOKUP(I115,A:F,6,FALSE),H115+3,1)))=FALSE(),J_ADDDAY(VLOOKUP(I115,A:F,6,FALSE),H115+3,1),IF(OR(j_WEEKDAY(J_ADDDAY(VLOOKUP(I115,A:F,6,FALSE),H115+4,1),0)=6,SUMIFS(Holieday[ok],Holieday[date],J_ADDDAY(VLOOKUP(I115,A:F,6,FALSE),H115+4,1)))=FALSE(),J_ADDDAY(VLOOKUP(I115,A:F,6,FALSE),H115+4,1),J_ADDDAY(VLOOKUP(I115,A:F,6,FALSE),H115+5,1))))))</f>
        <v>1398/07/02</v>
      </c>
      <c r="E115" s="1">
        <f t="shared" si="33"/>
        <v>13980702</v>
      </c>
      <c r="F115" s="12" t="str">
        <f>IF(N115=0,J_SUBDAY(D115,1,1),IF((N115-NETWORKDAYS.INTL(J_GregorianDate(D115,1),J_GregorianDate(J_SUBDAY(J_ADDDAY(D115,N115,1),1,1),1),16,1)-SUMIFS(Holieday[ok],Holieday[date],CONCATENATE("&gt;","=",D115),Holieday[date],CONCATENATE("&lt;","=",J_SUBDAY(J_ADDDAY(D115,N115,1),1,1)))+SUMIFS(Holieday[Friday],Holieday[date],CONCATENATE("&gt;","=",D115),Holieday[date],CONCATENATE("&lt;","=",J_SUBDAY(J_ADDDAY(D115,N115,1),1,1))))=0,J_SUBDAY(J_ADDDAY(D115,N115,1),1,1),IF((N115-NETWORKDAYS.INTL(J_GregorianDate(D115,1),J_GregorianDate(J_SUBDAY(J_ADDDAY(D115,N115,1),1,1),1),16,1)-SUMIFS(Holieday[ok],Holieday[date],CONCATENATE("&gt;","=",D115),Holieday[date],CONCATENATE("&lt;","=",J_SUBDAY(J_ADDDAY(D115,N115,1),1,1)))+SUMIFS(Holieday[Friday],Holieday[date],CONCATENATE("&gt;","=",D115),Holieday[date],CONCATENATE("&lt;","=",J_SUBDAY(J_ADDDAY(D115,N115,1),1,1))))=1,J_SUBDAY(J_ADDDAY(D115,N115+1,1),1,1),IF((N115-NETWORKDAYS.INTL(J_GregorianDate(D115,1),J_GregorianDate(J_SUBDAY(J_ADDDAY(D115,N115,1),1,1),1),16,1)-SUMIFS(Holieday[ok],Holieday[date],CONCATENATE("&gt;","=",D115),Holieday[date],CONCATENATE("&lt;","=",J_SUBDAY(J_ADDDAY(D115,N115,1),1,1)))+SUMIFS(Holieday[Friday],Holieday[date],CONCATENATE("&gt;","=",D115),Holieday[date],CONCATENATE("&lt;","=",J_SUBDAY(J_ADDDAY(D115,N115,1),1,1))))=2,J_SUBDAY(J_ADDDAY(D115,N115+2,1),1,1),J_SUBDAY(J_ADDDAY(D115,N115+3,1),1,1)))))</f>
        <v>1398/07/01</v>
      </c>
      <c r="G115" s="2">
        <f t="shared" si="30"/>
        <v>13980701</v>
      </c>
      <c r="H115" s="109"/>
      <c r="I115" s="110">
        <v>1.2</v>
      </c>
      <c r="J115" s="9">
        <f>j_WEEKDAY(D115,2)</f>
        <v>3</v>
      </c>
      <c r="K115" s="21">
        <f t="shared" si="34"/>
        <v>0</v>
      </c>
      <c r="L115" s="8">
        <f t="shared" si="35"/>
        <v>0</v>
      </c>
      <c r="M115" s="111">
        <v>0</v>
      </c>
      <c r="N115" s="108">
        <v>0</v>
      </c>
      <c r="O115" s="10">
        <f t="shared" si="36"/>
        <v>0</v>
      </c>
      <c r="P115" s="10">
        <f>VALUE(J_normdate(J_ADDDAY($D115,$O115,1)))</f>
        <v>13980702</v>
      </c>
      <c r="Q115" s="9">
        <f t="shared" si="37"/>
        <v>0</v>
      </c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  <c r="EI115" s="7"/>
      <c r="EJ115" s="7"/>
      <c r="EK115" s="7"/>
      <c r="EL115" s="7"/>
      <c r="EM115" s="7"/>
      <c r="EN115" s="7"/>
      <c r="EO115" s="7"/>
      <c r="EP115" s="7"/>
      <c r="EQ115" s="7"/>
      <c r="ER115" s="7"/>
      <c r="ES115" s="7"/>
      <c r="ET115" s="7"/>
      <c r="EU115" s="7"/>
      <c r="EV115" s="7"/>
      <c r="EW115" s="7"/>
      <c r="EX115" s="7"/>
      <c r="EY115" s="7"/>
      <c r="EZ115" s="7"/>
      <c r="FA115" s="7"/>
      <c r="FB115" s="7"/>
      <c r="FC115" s="7"/>
      <c r="FD115" s="7"/>
      <c r="FE115" s="7"/>
      <c r="FF115" s="7"/>
      <c r="FG115" s="7"/>
      <c r="FH115" s="7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7"/>
      <c r="HA115" s="7"/>
      <c r="HB115" s="7"/>
      <c r="HC115" s="7"/>
      <c r="HD115" s="7"/>
      <c r="HE115" s="7"/>
      <c r="HF115" s="7"/>
      <c r="HG115" s="7"/>
      <c r="HH115" s="7"/>
      <c r="HI115" s="7"/>
      <c r="HJ115" s="7"/>
      <c r="HK115" s="7"/>
      <c r="HL115" s="7"/>
      <c r="HM115" s="7"/>
      <c r="HN115" s="7"/>
      <c r="HO115" s="7"/>
      <c r="HP115" s="7"/>
      <c r="HQ115" s="7"/>
      <c r="HR115" s="7"/>
      <c r="HS115" s="7"/>
      <c r="HT115" s="7"/>
      <c r="HU115" s="7"/>
      <c r="HV115" s="7"/>
      <c r="HW115" s="7"/>
      <c r="HX115" s="7"/>
      <c r="HY115" s="7"/>
      <c r="HZ115" s="7"/>
      <c r="IA115" s="7"/>
      <c r="IB115" s="7"/>
      <c r="IC115" s="7"/>
      <c r="ID115" s="7"/>
      <c r="IE115" s="7"/>
      <c r="IF115" s="7"/>
      <c r="IG115" s="7"/>
      <c r="IH115" s="7"/>
      <c r="II115" s="7"/>
      <c r="IJ115" s="7"/>
      <c r="IK115" s="7"/>
      <c r="IL115" s="7"/>
      <c r="IM115" s="7"/>
      <c r="IN115" s="7"/>
      <c r="IO115" s="7"/>
      <c r="IP115" s="7"/>
      <c r="IQ115" s="7"/>
      <c r="IR115" s="7"/>
      <c r="IS115" s="7"/>
      <c r="IT115" s="7"/>
      <c r="IU115" s="7"/>
      <c r="IV115" s="7"/>
      <c r="IW115" s="7"/>
      <c r="IX115" s="7"/>
      <c r="JA115" s="113"/>
      <c r="JB115" s="113"/>
      <c r="JC115" s="113"/>
      <c r="JD115" s="66">
        <f>SUM((TEXT(JA115,"[M]")/60)*'Income Person-hours'!$D$3,(TEXT(JB115,"[M]")/60)*'Income Person-hours'!$D$4,(TEXT(JC115,"[M]")/60)*'Income Person-hours'!$D$5)</f>
        <v>0</v>
      </c>
    </row>
    <row r="116" spans="1:264" s="11" customFormat="1" ht="11.25" hidden="1">
      <c r="A116" s="30">
        <v>4.2300000000000004</v>
      </c>
      <c r="B116" s="116"/>
      <c r="C116" s="107"/>
      <c r="D116" s="12" t="str">
        <f>IF(OR(j_WEEKDAY(J_ADDDAY(VLOOKUP(I116,A:F,6,FALSE),H116,1),0)=6,SUMIFS(Holieday[ok],Holieday[date],J_ADDDAY(VLOOKUP(I116,A:F,6,FALSE),H116,1)))=FALSE(),J_ADDDAY(VLOOKUP(I116,A:F,6,FALSE),H116,1),IF(OR(j_WEEKDAY(J_ADDDAY(VLOOKUP(I116,A:F,6,FALSE),H116+1,1),0)=6,SUMIFS(Holieday[ok],Holieday[date],J_ADDDAY(VLOOKUP(I116,A:F,6,FALSE),H116+1,1)))=FALSE(),J_ADDDAY(VLOOKUP(I116,A:F,6,FALSE),H116+1,1),IF(OR(j_WEEKDAY(J_ADDDAY(VLOOKUP(I116,A:F,6,FALSE),H116+2,1),0)=6,SUMIFS(Holieday[ok],Holieday[date],J_ADDDAY(VLOOKUP(I116,A:F,6,FALSE),H116+2,1)))=FALSE(),J_ADDDAY(VLOOKUP(I116,A:F,6,FALSE),H116+2,1),IF(OR(j_WEEKDAY(J_ADDDAY(VLOOKUP(I116,A:F,6,FALSE),H116+3,1),0)=6,SUMIFS(Holieday[ok],Holieday[date],J_ADDDAY(VLOOKUP(I116,A:F,6,FALSE),H116+3,1)))=FALSE(),J_ADDDAY(VLOOKUP(I116,A:F,6,FALSE),H116+3,1),IF(OR(j_WEEKDAY(J_ADDDAY(VLOOKUP(I116,A:F,6,FALSE),H116+4,1),0)=6,SUMIFS(Holieday[ok],Holieday[date],J_ADDDAY(VLOOKUP(I116,A:F,6,FALSE),H116+4,1)))=FALSE(),J_ADDDAY(VLOOKUP(I116,A:F,6,FALSE),H116+4,1),J_ADDDAY(VLOOKUP(I116,A:F,6,FALSE),H116+5,1))))))</f>
        <v>1398/07/02</v>
      </c>
      <c r="E116" s="1">
        <f t="shared" si="33"/>
        <v>13980702</v>
      </c>
      <c r="F116" s="12" t="str">
        <f>IF(N116=0,J_SUBDAY(D116,1,1),IF((N116-NETWORKDAYS.INTL(J_GregorianDate(D116,1),J_GregorianDate(J_SUBDAY(J_ADDDAY(D116,N116,1),1,1),1),16,1)-SUMIFS(Holieday[ok],Holieday[date],CONCATENATE("&gt;","=",D116),Holieday[date],CONCATENATE("&lt;","=",J_SUBDAY(J_ADDDAY(D116,N116,1),1,1)))+SUMIFS(Holieday[Friday],Holieday[date],CONCATENATE("&gt;","=",D116),Holieday[date],CONCATENATE("&lt;","=",J_SUBDAY(J_ADDDAY(D116,N116,1),1,1))))=0,J_SUBDAY(J_ADDDAY(D116,N116,1),1,1),IF((N116-NETWORKDAYS.INTL(J_GregorianDate(D116,1),J_GregorianDate(J_SUBDAY(J_ADDDAY(D116,N116,1),1,1),1),16,1)-SUMIFS(Holieday[ok],Holieday[date],CONCATENATE("&gt;","=",D116),Holieday[date],CONCATENATE("&lt;","=",J_SUBDAY(J_ADDDAY(D116,N116,1),1,1)))+SUMIFS(Holieday[Friday],Holieday[date],CONCATENATE("&gt;","=",D116),Holieday[date],CONCATENATE("&lt;","=",J_SUBDAY(J_ADDDAY(D116,N116,1),1,1))))=1,J_SUBDAY(J_ADDDAY(D116,N116+1,1),1,1),IF((N116-NETWORKDAYS.INTL(J_GregorianDate(D116,1),J_GregorianDate(J_SUBDAY(J_ADDDAY(D116,N116,1),1,1),1),16,1)-SUMIFS(Holieday[ok],Holieday[date],CONCATENATE("&gt;","=",D116),Holieday[date],CONCATENATE("&lt;","=",J_SUBDAY(J_ADDDAY(D116,N116,1),1,1)))+SUMIFS(Holieday[Friday],Holieday[date],CONCATENATE("&gt;","=",D116),Holieday[date],CONCATENATE("&lt;","=",J_SUBDAY(J_ADDDAY(D116,N116,1),1,1))))=2,J_SUBDAY(J_ADDDAY(D116,N116+2,1),1,1),J_SUBDAY(J_ADDDAY(D116,N116+3,1),1,1)))))</f>
        <v>1398/07/01</v>
      </c>
      <c r="G116" s="2">
        <f t="shared" si="30"/>
        <v>13980701</v>
      </c>
      <c r="H116" s="109"/>
      <c r="I116" s="110">
        <v>1.2</v>
      </c>
      <c r="J116" s="9">
        <f>j_WEEKDAY(D116,2)</f>
        <v>3</v>
      </c>
      <c r="K116" s="21">
        <f t="shared" si="34"/>
        <v>0</v>
      </c>
      <c r="L116" s="8">
        <f t="shared" si="35"/>
        <v>0</v>
      </c>
      <c r="M116" s="111">
        <v>0</v>
      </c>
      <c r="N116" s="108">
        <v>0</v>
      </c>
      <c r="O116" s="10">
        <f t="shared" si="36"/>
        <v>0</v>
      </c>
      <c r="P116" s="10">
        <f>VALUE(J_normdate(J_ADDDAY($D116,$O116,1)))</f>
        <v>13980702</v>
      </c>
      <c r="Q116" s="9">
        <f t="shared" si="37"/>
        <v>0</v>
      </c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  <c r="DY116" s="7"/>
      <c r="DZ116" s="7"/>
      <c r="EA116" s="7"/>
      <c r="EB116" s="7"/>
      <c r="EC116" s="7"/>
      <c r="ED116" s="7"/>
      <c r="EE116" s="7"/>
      <c r="EF116" s="7"/>
      <c r="EG116" s="7"/>
      <c r="EH116" s="7"/>
      <c r="EI116" s="7"/>
      <c r="EJ116" s="7"/>
      <c r="EK116" s="7"/>
      <c r="EL116" s="7"/>
      <c r="EM116" s="7"/>
      <c r="EN116" s="7"/>
      <c r="EO116" s="7"/>
      <c r="EP116" s="7"/>
      <c r="EQ116" s="7"/>
      <c r="ER116" s="7"/>
      <c r="ES116" s="7"/>
      <c r="ET116" s="7"/>
      <c r="EU116" s="7"/>
      <c r="EV116" s="7"/>
      <c r="EW116" s="7"/>
      <c r="EX116" s="7"/>
      <c r="EY116" s="7"/>
      <c r="EZ116" s="7"/>
      <c r="FA116" s="7"/>
      <c r="FB116" s="7"/>
      <c r="FC116" s="7"/>
      <c r="FD116" s="7"/>
      <c r="FE116" s="7"/>
      <c r="FF116" s="7"/>
      <c r="FG116" s="7"/>
      <c r="FH116" s="7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/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/>
      <c r="GR116" s="7"/>
      <c r="GS116" s="7"/>
      <c r="GT116" s="7"/>
      <c r="GU116" s="7"/>
      <c r="GV116" s="7"/>
      <c r="GW116" s="7"/>
      <c r="GX116" s="7"/>
      <c r="GY116" s="7"/>
      <c r="GZ116" s="7"/>
      <c r="HA116" s="7"/>
      <c r="HB116" s="7"/>
      <c r="HC116" s="7"/>
      <c r="HD116" s="7"/>
      <c r="HE116" s="7"/>
      <c r="HF116" s="7"/>
      <c r="HG116" s="7"/>
      <c r="HH116" s="7"/>
      <c r="HI116" s="7"/>
      <c r="HJ116" s="7"/>
      <c r="HK116" s="7"/>
      <c r="HL116" s="7"/>
      <c r="HM116" s="7"/>
      <c r="HN116" s="7"/>
      <c r="HO116" s="7"/>
      <c r="HP116" s="7"/>
      <c r="HQ116" s="7"/>
      <c r="HR116" s="7"/>
      <c r="HS116" s="7"/>
      <c r="HT116" s="7"/>
      <c r="HU116" s="7"/>
      <c r="HV116" s="7"/>
      <c r="HW116" s="7"/>
      <c r="HX116" s="7"/>
      <c r="HY116" s="7"/>
      <c r="HZ116" s="7"/>
      <c r="IA116" s="7"/>
      <c r="IB116" s="7"/>
      <c r="IC116" s="7"/>
      <c r="ID116" s="7"/>
      <c r="IE116" s="7"/>
      <c r="IF116" s="7"/>
      <c r="IG116" s="7"/>
      <c r="IH116" s="7"/>
      <c r="II116" s="7"/>
      <c r="IJ116" s="7"/>
      <c r="IK116" s="7"/>
      <c r="IL116" s="7"/>
      <c r="IM116" s="7"/>
      <c r="IN116" s="7"/>
      <c r="IO116" s="7"/>
      <c r="IP116" s="7"/>
      <c r="IQ116" s="7"/>
      <c r="IR116" s="7"/>
      <c r="IS116" s="7"/>
      <c r="IT116" s="7"/>
      <c r="IU116" s="7"/>
      <c r="IV116" s="7"/>
      <c r="IW116" s="7"/>
      <c r="IX116" s="7"/>
      <c r="JA116" s="113"/>
      <c r="JB116" s="113"/>
      <c r="JC116" s="113"/>
      <c r="JD116" s="66">
        <f>SUM((TEXT(JA116,"[M]")/60)*'Income Person-hours'!$D$3,(TEXT(JB116,"[M]")/60)*'Income Person-hours'!$D$4,(TEXT(JC116,"[M]")/60)*'Income Person-hours'!$D$5)</f>
        <v>0</v>
      </c>
    </row>
    <row r="117" spans="1:264" s="343" customFormat="1" ht="13.5">
      <c r="A117" s="339">
        <v>5</v>
      </c>
      <c r="B117" s="326" t="s">
        <v>123</v>
      </c>
      <c r="C117" s="327"/>
      <c r="D117" s="328" t="str">
        <f>FDate(MIN(E118:E138))</f>
        <v>1398/06/31</v>
      </c>
      <c r="E117" s="160">
        <f t="shared" si="33"/>
        <v>13980631</v>
      </c>
      <c r="F117" s="328" t="str">
        <f>J_SUBDAY(J_ADDDAY(D117,L117,1),1,1)</f>
        <v>1398/09/20</v>
      </c>
      <c r="G117" s="163">
        <f t="shared" si="30"/>
        <v>13980920</v>
      </c>
      <c r="H117" s="340"/>
      <c r="I117" s="341"/>
      <c r="J117" s="328">
        <f>j_WEEKDAY(D117,2)</f>
        <v>1</v>
      </c>
      <c r="K117" s="164">
        <f>SUM(K118:K138)</f>
        <v>0</v>
      </c>
      <c r="L117" s="331">
        <f>J_DIFF(D117,FDate(MAX(G118:G138)))+1</f>
        <v>81</v>
      </c>
      <c r="M117" s="332">
        <f>IF(SUM(L118:L138)&lt;&gt;0,SUMPRODUCT(L118:L138,M118:M138)/SUM(L118:L138),0)</f>
        <v>2.7027027027027029E-2</v>
      </c>
      <c r="N117" s="333">
        <f>IF(F117&gt;=D117,NETWORKDAYS.INTL(J_GregorianDate(D117,1),J_GregorianDate(F117,1),16,1)-SUMIFS(Holieday[ok],Holieday[date],CONCATENATE("&gt;","=",D117),Holieday[date],CONCATENATE("&lt;","=",F117))+SUMIFS(Holieday[Friday],Holieday[date],CONCATENATE("&gt;","=",D117),Holieday[date],CONCATENATE("&lt;","=",F117)),0)</f>
        <v>66</v>
      </c>
      <c r="O117" s="159">
        <f>ROUNDDOWN(M117*L117,0)</f>
        <v>2</v>
      </c>
      <c r="P117" s="159">
        <f>VALUE(J_normdate(J_ADDDAY($D117,$O117,1)))</f>
        <v>13980702</v>
      </c>
      <c r="Q117" s="162">
        <f>L117-O117</f>
        <v>79</v>
      </c>
      <c r="IY117" s="344"/>
      <c r="IZ117" s="345"/>
      <c r="JA117" s="346"/>
      <c r="JB117" s="346"/>
      <c r="JC117" s="346"/>
      <c r="JD117" s="347"/>
    </row>
    <row r="118" spans="1:264" s="240" customFormat="1" ht="13.5">
      <c r="A118" s="227">
        <v>5.0999999999999996</v>
      </c>
      <c r="B118" s="268" t="s">
        <v>124</v>
      </c>
      <c r="C118" s="228" t="s">
        <v>79</v>
      </c>
      <c r="D118" s="354" t="str">
        <f>IF(OR(j_WEEKDAY(J_ADDDAY(VLOOKUP(I118,A:F,6,FALSE),H118,1),0)=6,SUMIFS(Holieday[ok],Holieday[date],J_ADDDAY(VLOOKUP(I118,A:F,6,FALSE),H118,1)))=FALSE(),J_ADDDAY(VLOOKUP(I118,A:F,6,FALSE),H118,1),IF(OR(j_WEEKDAY(J_ADDDAY(VLOOKUP(I118,A:F,6,FALSE),H118+1,1),0)=6,SUMIFS(Holieday[ok],Holieday[date],J_ADDDAY(VLOOKUP(I118,A:F,6,FALSE),H118+1,1)))=FALSE(),J_ADDDAY(VLOOKUP(I118,A:F,6,FALSE),H118+1,1),IF(OR(j_WEEKDAY(J_ADDDAY(VLOOKUP(I118,A:F,6,FALSE),H118+2,1),0)=6,SUMIFS(Holieday[ok],Holieday[date],J_ADDDAY(VLOOKUP(I118,A:F,6,FALSE),H118+2,1)))=FALSE(),J_ADDDAY(VLOOKUP(I118,A:F,6,FALSE),H118+2,1),IF(OR(j_WEEKDAY(J_ADDDAY(VLOOKUP(I118,A:F,6,FALSE),H118+3,1),0)=6,SUMIFS(Holieday[ok],Holieday[date],J_ADDDAY(VLOOKUP(I118,A:F,6,FALSE),H118+3,1)))=FALSE(),J_ADDDAY(VLOOKUP(I118,A:F,6,FALSE),H118+3,1),IF(OR(j_WEEKDAY(J_ADDDAY(VLOOKUP(I118,A:F,6,FALSE),H118+4,1),0)=6,SUMIFS(Holieday[ok],Holieday[date],J_ADDDAY(VLOOKUP(I118,A:F,6,FALSE),H118+4,1)))=FALSE(),J_ADDDAY(VLOOKUP(I118,A:F,6,FALSE),H118+4,1),J_ADDDAY(VLOOKUP(I118,A:F,6,FALSE),H118+5,1))))))</f>
        <v>1398/06/31</v>
      </c>
      <c r="E118" s="160">
        <f t="shared" si="33"/>
        <v>13980631</v>
      </c>
      <c r="F118" s="354" t="str">
        <f>IF(N118=0,J_SUBDAY(D118,1,1),IF((N118-NETWORKDAYS.INTL(J_GregorianDate(D118,1),J_GregorianDate(J_SUBDAY(J_ADDDAY(D118,N118,1),1,1),1),16,1)-SUMIFS(Holieday[ok],Holieday[date],CONCATENATE("&gt;","=",D118),Holieday[date],CONCATENATE("&lt;","=",J_SUBDAY(J_ADDDAY(D118,N118,1),1,1)))+SUMIFS(Holieday[Friday],Holieday[date],CONCATENATE("&gt;","=",D118),Holieday[date],CONCATENATE("&lt;","=",J_SUBDAY(J_ADDDAY(D118,N118,1),1,1))))=0,J_SUBDAY(J_ADDDAY(D118,N118,1),1,1),IF((N118-NETWORKDAYS.INTL(J_GregorianDate(D118,1),J_GregorianDate(J_SUBDAY(J_ADDDAY(D118,N118,1),1,1),1),16,1)-SUMIFS(Holieday[ok],Holieday[date],CONCATENATE("&gt;","=",D118),Holieday[date],CONCATENATE("&lt;","=",J_SUBDAY(J_ADDDAY(D118,N118,1),1,1)))+SUMIFS(Holieday[Friday],Holieday[date],CONCATENATE("&gt;","=",D118),Holieday[date],CONCATENATE("&lt;","=",J_SUBDAY(J_ADDDAY(D118,N118,1),1,1))))=1,J_SUBDAY(J_ADDDAY(D118,N118+1,1),1,1),IF((N118-NETWORKDAYS.INTL(J_GregorianDate(D118,1),J_GregorianDate(J_SUBDAY(J_ADDDAY(D118,N118,1),1,1),1),16,1)-SUMIFS(Holieday[ok],Holieday[date],CONCATENATE("&gt;","=",D118),Holieday[date],CONCATENATE("&lt;","=",J_SUBDAY(J_ADDDAY(D118,N118,1),1,1)))+SUMIFS(Holieday[Friday],Holieday[date],CONCATENATE("&gt;","=",D118),Holieday[date],CONCATENATE("&lt;","=",J_SUBDAY(J_ADDDAY(D118,N118,1),1,1))))=2,J_SUBDAY(J_ADDDAY(D118,N118+2,1),1,1),J_SUBDAY(J_ADDDAY(D118,N118+3,1),1,1)))))</f>
        <v>1398/07/07</v>
      </c>
      <c r="G118" s="163">
        <f t="shared" si="30"/>
        <v>13980707</v>
      </c>
      <c r="H118" s="230"/>
      <c r="I118" s="231">
        <v>1.1000000000000001</v>
      </c>
      <c r="J118" s="229">
        <f>j_WEEKDAY(D118,2)</f>
        <v>1</v>
      </c>
      <c r="K118" s="173">
        <f>SUM(JA118:JC118)</f>
        <v>0</v>
      </c>
      <c r="L118" s="232">
        <f t="shared" ref="L118:L138" si="38">J_DIFF(D118,F118)+1</f>
        <v>8</v>
      </c>
      <c r="M118" s="233">
        <v>0</v>
      </c>
      <c r="N118" s="234">
        <v>7</v>
      </c>
      <c r="O118" s="175">
        <f>ROUNDDOWN(M118*L118,0)</f>
        <v>0</v>
      </c>
      <c r="P118" s="175">
        <f>VALUE(J_normdate(J_ADDDAY($D118,$O118,1)))</f>
        <v>13980631</v>
      </c>
      <c r="Q118" s="171">
        <f>L118-O118</f>
        <v>8</v>
      </c>
      <c r="R118" s="235"/>
      <c r="S118" s="235"/>
      <c r="T118" s="235"/>
      <c r="U118" s="235"/>
      <c r="V118" s="235"/>
      <c r="W118" s="235"/>
      <c r="X118" s="235"/>
      <c r="Y118" s="235"/>
      <c r="Z118" s="235"/>
      <c r="AA118" s="235"/>
      <c r="AB118" s="235"/>
      <c r="AC118" s="235"/>
      <c r="AD118" s="235"/>
      <c r="AE118" s="235"/>
      <c r="AF118" s="235"/>
      <c r="AG118" s="235"/>
      <c r="AH118" s="235"/>
      <c r="AI118" s="235"/>
      <c r="AJ118" s="235"/>
      <c r="AK118" s="235"/>
      <c r="AL118" s="235"/>
      <c r="AM118" s="235"/>
      <c r="AN118" s="235"/>
      <c r="AO118" s="235"/>
      <c r="AP118" s="235"/>
      <c r="AQ118" s="235"/>
      <c r="AR118" s="235"/>
      <c r="AS118" s="235"/>
      <c r="AT118" s="235"/>
      <c r="AU118" s="235"/>
      <c r="AV118" s="235"/>
      <c r="AW118" s="235"/>
      <c r="AX118" s="235"/>
      <c r="AY118" s="235"/>
      <c r="AZ118" s="235"/>
      <c r="BA118" s="235"/>
      <c r="BB118" s="235"/>
      <c r="BC118" s="235"/>
      <c r="BD118" s="235"/>
      <c r="BE118" s="235"/>
      <c r="BF118" s="235"/>
      <c r="BG118" s="235"/>
      <c r="BH118" s="235"/>
      <c r="BI118" s="235"/>
      <c r="BJ118" s="235"/>
      <c r="BK118" s="235"/>
      <c r="BL118" s="235"/>
      <c r="BM118" s="235"/>
      <c r="BN118" s="235"/>
      <c r="BO118" s="235"/>
      <c r="BP118" s="235"/>
      <c r="BQ118" s="235"/>
      <c r="BR118" s="235"/>
      <c r="BS118" s="235"/>
      <c r="BT118" s="235"/>
      <c r="BU118" s="235"/>
      <c r="BV118" s="235"/>
      <c r="BW118" s="235"/>
      <c r="BX118" s="235"/>
      <c r="BY118" s="235"/>
      <c r="BZ118" s="235"/>
      <c r="CA118" s="235"/>
      <c r="CB118" s="235"/>
      <c r="CC118" s="235"/>
      <c r="CD118" s="235"/>
      <c r="CE118" s="235"/>
      <c r="CF118" s="235"/>
      <c r="CG118" s="235"/>
      <c r="CH118" s="235"/>
      <c r="CI118" s="235"/>
      <c r="CJ118" s="235"/>
      <c r="CK118" s="235"/>
      <c r="CL118" s="235"/>
      <c r="CM118" s="235"/>
      <c r="CN118" s="235"/>
      <c r="CO118" s="235"/>
      <c r="CP118" s="235"/>
      <c r="CQ118" s="235"/>
      <c r="CR118" s="235"/>
      <c r="CS118" s="235"/>
      <c r="CT118" s="235"/>
      <c r="CU118" s="235"/>
      <c r="CV118" s="235"/>
      <c r="CW118" s="235"/>
      <c r="CX118" s="235"/>
      <c r="CY118" s="235"/>
      <c r="CZ118" s="235"/>
      <c r="DA118" s="235"/>
      <c r="DB118" s="235"/>
      <c r="DC118" s="235"/>
      <c r="DD118" s="235"/>
      <c r="DE118" s="235"/>
      <c r="DF118" s="235"/>
      <c r="DG118" s="235"/>
      <c r="DH118" s="235"/>
      <c r="DI118" s="235"/>
      <c r="DJ118" s="235"/>
      <c r="DK118" s="235"/>
      <c r="DL118" s="235"/>
      <c r="DM118" s="235"/>
      <c r="DN118" s="235"/>
      <c r="DO118" s="235"/>
      <c r="DP118" s="235"/>
      <c r="DQ118" s="235"/>
      <c r="DR118" s="235"/>
      <c r="DS118" s="235"/>
      <c r="DT118" s="235"/>
      <c r="DU118" s="235"/>
      <c r="DV118" s="235"/>
      <c r="DW118" s="235"/>
      <c r="DX118" s="235"/>
      <c r="DY118" s="235"/>
      <c r="DZ118" s="235"/>
      <c r="EA118" s="235"/>
      <c r="EB118" s="235"/>
      <c r="EC118" s="235"/>
      <c r="ED118" s="235"/>
      <c r="EE118" s="235"/>
      <c r="EF118" s="235"/>
      <c r="EG118" s="235"/>
      <c r="EH118" s="235"/>
      <c r="EI118" s="235"/>
      <c r="EJ118" s="235"/>
      <c r="EK118" s="235"/>
      <c r="EL118" s="235"/>
      <c r="EM118" s="235"/>
      <c r="EN118" s="235"/>
      <c r="EO118" s="235"/>
      <c r="EP118" s="235"/>
      <c r="EQ118" s="235"/>
      <c r="ER118" s="235"/>
      <c r="ES118" s="235"/>
      <c r="ET118" s="235"/>
      <c r="EU118" s="235"/>
      <c r="EV118" s="235"/>
      <c r="EW118" s="235"/>
      <c r="EX118" s="235"/>
      <c r="EY118" s="235"/>
      <c r="EZ118" s="235"/>
      <c r="FA118" s="235"/>
      <c r="FB118" s="235"/>
      <c r="FC118" s="235"/>
      <c r="FD118" s="235"/>
      <c r="FE118" s="235"/>
      <c r="FF118" s="235"/>
      <c r="FG118" s="235"/>
      <c r="FH118" s="235"/>
      <c r="FI118" s="235"/>
      <c r="FJ118" s="235"/>
      <c r="FK118" s="235"/>
      <c r="FL118" s="235"/>
      <c r="FM118" s="235"/>
      <c r="FN118" s="235"/>
      <c r="FO118" s="235"/>
      <c r="FP118" s="235"/>
      <c r="FQ118" s="235"/>
      <c r="FR118" s="235"/>
      <c r="FS118" s="235"/>
      <c r="FT118" s="235"/>
      <c r="FU118" s="235"/>
      <c r="FV118" s="235"/>
      <c r="FW118" s="235"/>
      <c r="FX118" s="235"/>
      <c r="FY118" s="235"/>
      <c r="FZ118" s="235"/>
      <c r="GA118" s="235"/>
      <c r="GB118" s="235"/>
      <c r="GC118" s="235"/>
      <c r="GD118" s="235"/>
      <c r="GE118" s="235"/>
      <c r="GF118" s="235"/>
      <c r="GG118" s="235"/>
      <c r="GH118" s="235"/>
      <c r="GI118" s="235"/>
      <c r="GJ118" s="235"/>
      <c r="GK118" s="235"/>
      <c r="GL118" s="235"/>
      <c r="GM118" s="235"/>
      <c r="GN118" s="235"/>
      <c r="GO118" s="235"/>
      <c r="GP118" s="235"/>
      <c r="GQ118" s="235"/>
      <c r="GR118" s="235"/>
      <c r="GS118" s="235"/>
      <c r="GT118" s="235"/>
      <c r="GU118" s="235"/>
      <c r="GV118" s="235"/>
      <c r="GW118" s="235"/>
      <c r="GX118" s="235"/>
      <c r="GY118" s="235"/>
      <c r="GZ118" s="235"/>
      <c r="HA118" s="235"/>
      <c r="HB118" s="235"/>
      <c r="HC118" s="235"/>
      <c r="HD118" s="235"/>
      <c r="HE118" s="235"/>
      <c r="HF118" s="235"/>
      <c r="HG118" s="235"/>
      <c r="HH118" s="235"/>
      <c r="HI118" s="235"/>
      <c r="HJ118" s="235"/>
      <c r="HK118" s="235"/>
      <c r="HL118" s="235"/>
      <c r="HM118" s="235"/>
      <c r="HN118" s="235"/>
      <c r="HO118" s="235"/>
      <c r="HP118" s="235"/>
      <c r="HQ118" s="235"/>
      <c r="HR118" s="235"/>
      <c r="HS118" s="235"/>
      <c r="HT118" s="235"/>
      <c r="HU118" s="235"/>
      <c r="HV118" s="235"/>
      <c r="HW118" s="235"/>
      <c r="HX118" s="235"/>
      <c r="HY118" s="235"/>
      <c r="HZ118" s="235"/>
      <c r="IA118" s="235"/>
      <c r="IB118" s="235"/>
      <c r="IC118" s="235"/>
      <c r="ID118" s="235"/>
      <c r="IE118" s="235"/>
      <c r="IF118" s="235"/>
      <c r="IG118" s="235"/>
      <c r="IH118" s="235"/>
      <c r="II118" s="235"/>
      <c r="IJ118" s="235"/>
      <c r="IK118" s="235"/>
      <c r="IL118" s="235"/>
      <c r="IM118" s="235"/>
      <c r="IN118" s="235"/>
      <c r="IO118" s="235"/>
      <c r="IP118" s="235"/>
      <c r="IQ118" s="235"/>
      <c r="IR118" s="235"/>
      <c r="IS118" s="235"/>
      <c r="IT118" s="235"/>
      <c r="IU118" s="235"/>
      <c r="IV118" s="235"/>
      <c r="IW118" s="235"/>
      <c r="IX118" s="235"/>
      <c r="IY118" s="236">
        <v>2</v>
      </c>
      <c r="IZ118" s="237">
        <f>(TEXT(K118,"[m]")/60)*VLOOKUP(IY118,'Income Person-hours'!A$2:C$5,3,FALSE)</f>
        <v>0</v>
      </c>
      <c r="JA118" s="238"/>
      <c r="JB118" s="238"/>
      <c r="JC118" s="238"/>
      <c r="JD118" s="239">
        <f>SUM((TEXT(JA118,"[M]")/60)*'Income Person-hours'!$D$3,(TEXT(JB118,"[M]")/60)*'Income Person-hours'!$D$4,(TEXT(JC118,"[M]")/60)*'Income Person-hours'!$D$5)</f>
        <v>0</v>
      </c>
    </row>
    <row r="119" spans="1:264" s="240" customFormat="1" ht="13.5">
      <c r="A119" s="227">
        <v>5.2</v>
      </c>
      <c r="B119" s="241" t="s">
        <v>125</v>
      </c>
      <c r="C119" s="228" t="s">
        <v>111</v>
      </c>
      <c r="D119" s="244" t="str">
        <f>IF(OR(j_WEEKDAY(J_ADDDAY(VLOOKUP(I119,A:F,6,FALSE),H119,1),0)=6,SUMIFS(Holieday[ok],Holieday[date],J_ADDDAY(VLOOKUP(I119,A:F,6,FALSE),H119,1)))=FALSE(),J_ADDDAY(VLOOKUP(I119,A:F,6,FALSE),H119,1),IF(OR(j_WEEKDAY(J_ADDDAY(VLOOKUP(I119,A:F,6,FALSE),H119+1,1),0)=6,SUMIFS(Holieday[ok],Holieday[date],J_ADDDAY(VLOOKUP(I119,A:F,6,FALSE),H119+1,1)))=FALSE(),J_ADDDAY(VLOOKUP(I119,A:F,6,FALSE),H119+1,1),IF(OR(j_WEEKDAY(J_ADDDAY(VLOOKUP(I119,A:F,6,FALSE),H119+2,1),0)=6,SUMIFS(Holieday[ok],Holieday[date],J_ADDDAY(VLOOKUP(I119,A:F,6,FALSE),H119+2,1)))=FALSE(),J_ADDDAY(VLOOKUP(I119,A:F,6,FALSE),H119+2,1),IF(OR(j_WEEKDAY(J_ADDDAY(VLOOKUP(I119,A:F,6,FALSE),H119+3,1),0)=6,SUMIFS(Holieday[ok],Holieday[date],J_ADDDAY(VLOOKUP(I119,A:F,6,FALSE),H119+3,1)))=FALSE(),J_ADDDAY(VLOOKUP(I119,A:F,6,FALSE),H119+3,1),IF(OR(j_WEEKDAY(J_ADDDAY(VLOOKUP(I119,A:F,6,FALSE),H119+4,1),0)=6,SUMIFS(Holieday[ok],Holieday[date],J_ADDDAY(VLOOKUP(I119,A:F,6,FALSE),H119+4,1)))=FALSE(),J_ADDDAY(VLOOKUP(I119,A:F,6,FALSE),H119+4,1),J_ADDDAY(VLOOKUP(I119,A:F,6,FALSE),H119+5,1))))))</f>
        <v>1398/07/08</v>
      </c>
      <c r="E119" s="160">
        <f t="shared" si="33"/>
        <v>13980708</v>
      </c>
      <c r="F119" s="354" t="str">
        <f>IF(N119=0,J_SUBDAY(D119,1,1),IF((N119-NETWORKDAYS.INTL(J_GregorianDate(D119,1),J_GregorianDate(J_SUBDAY(J_ADDDAY(D119,N119,1),1,1),1),16,1)-SUMIFS(Holieday[ok],Holieday[date],CONCATENATE("&gt;","=",D119),Holieday[date],CONCATENATE("&lt;","=",J_SUBDAY(J_ADDDAY(D119,N119,1),1,1)))+SUMIFS(Holieday[Friday],Holieday[date],CONCATENATE("&gt;","=",D119),Holieday[date],CONCATENATE("&lt;","=",J_SUBDAY(J_ADDDAY(D119,N119,1),1,1))))=0,J_SUBDAY(J_ADDDAY(D119,N119,1),1,1),IF((N119-NETWORKDAYS.INTL(J_GregorianDate(D119,1),J_GregorianDate(J_SUBDAY(J_ADDDAY(D119,N119,1),1,1),1),16,1)-SUMIFS(Holieday[ok],Holieday[date],CONCATENATE("&gt;","=",D119),Holieday[date],CONCATENATE("&lt;","=",J_SUBDAY(J_ADDDAY(D119,N119,1),1,1)))+SUMIFS(Holieday[Friday],Holieday[date],CONCATENATE("&gt;","=",D119),Holieday[date],CONCATENATE("&lt;","=",J_SUBDAY(J_ADDDAY(D119,N119,1),1,1))))=1,J_SUBDAY(J_ADDDAY(D119,N119+1,1),1,1),IF((N119-NETWORKDAYS.INTL(J_GregorianDate(D119,1),J_GregorianDate(J_SUBDAY(J_ADDDAY(D119,N119,1),1,1),1),16,1)-SUMIFS(Holieday[ok],Holieday[date],CONCATENATE("&gt;","=",D119),Holieday[date],CONCATENATE("&lt;","=",J_SUBDAY(J_ADDDAY(D119,N119,1),1,1)))+SUMIFS(Holieday[Friday],Holieday[date],CONCATENATE("&gt;","=",D119),Holieday[date],CONCATENATE("&lt;","=",J_SUBDAY(J_ADDDAY(D119,N119,1),1,1))))=2,J_SUBDAY(J_ADDDAY(D119,N119+2,1),1,1),J_SUBDAY(J_ADDDAY(D119,N119+3,1),1,1)))))</f>
        <v>1398/07/10</v>
      </c>
      <c r="G119" s="163">
        <f t="shared" si="30"/>
        <v>13980710</v>
      </c>
      <c r="H119" s="230">
        <v>1</v>
      </c>
      <c r="I119" s="231">
        <v>5.0999999999999996</v>
      </c>
      <c r="J119" s="229">
        <f>j_WEEKDAY(D119,2)</f>
        <v>2</v>
      </c>
      <c r="K119" s="173">
        <f>SUM(JA119:JC119)</f>
        <v>0</v>
      </c>
      <c r="L119" s="232">
        <f t="shared" si="38"/>
        <v>3</v>
      </c>
      <c r="M119" s="233">
        <v>1</v>
      </c>
      <c r="N119" s="234">
        <v>3</v>
      </c>
      <c r="O119" s="175">
        <f t="shared" ref="O119:O138" si="39">ROUNDDOWN(M119*L119,0)</f>
        <v>3</v>
      </c>
      <c r="P119" s="175">
        <f>VALUE(J_normdate(J_ADDDAY($D119,$O119,1)))</f>
        <v>13980711</v>
      </c>
      <c r="Q119" s="171">
        <f t="shared" ref="Q119:Q138" si="40">L119-O119</f>
        <v>0</v>
      </c>
      <c r="R119" s="235"/>
      <c r="S119" s="235"/>
      <c r="T119" s="235"/>
      <c r="U119" s="235"/>
      <c r="V119" s="235"/>
      <c r="W119" s="235"/>
      <c r="X119" s="235"/>
      <c r="Y119" s="235"/>
      <c r="Z119" s="235"/>
      <c r="AA119" s="235"/>
      <c r="AB119" s="235"/>
      <c r="AC119" s="235"/>
      <c r="AD119" s="235"/>
      <c r="AE119" s="235"/>
      <c r="AF119" s="235"/>
      <c r="AG119" s="235"/>
      <c r="AH119" s="235"/>
      <c r="AI119" s="235"/>
      <c r="AJ119" s="235"/>
      <c r="AK119" s="235"/>
      <c r="AL119" s="235"/>
      <c r="AM119" s="235"/>
      <c r="AN119" s="235"/>
      <c r="AO119" s="235"/>
      <c r="AP119" s="235"/>
      <c r="AQ119" s="235"/>
      <c r="AR119" s="235"/>
      <c r="AS119" s="235"/>
      <c r="AT119" s="235"/>
      <c r="AU119" s="235"/>
      <c r="AV119" s="235"/>
      <c r="AW119" s="235"/>
      <c r="AX119" s="235"/>
      <c r="AY119" s="235"/>
      <c r="AZ119" s="235"/>
      <c r="BA119" s="235"/>
      <c r="BB119" s="235"/>
      <c r="BC119" s="235"/>
      <c r="BD119" s="235"/>
      <c r="BE119" s="235"/>
      <c r="BF119" s="235"/>
      <c r="BG119" s="235"/>
      <c r="BH119" s="235"/>
      <c r="BI119" s="235"/>
      <c r="BJ119" s="235"/>
      <c r="BK119" s="235"/>
      <c r="BL119" s="235"/>
      <c r="BM119" s="235"/>
      <c r="BN119" s="235"/>
      <c r="BO119" s="235"/>
      <c r="BP119" s="235"/>
      <c r="BQ119" s="235"/>
      <c r="BR119" s="235"/>
      <c r="BS119" s="235"/>
      <c r="BT119" s="235"/>
      <c r="BU119" s="235"/>
      <c r="BV119" s="235"/>
      <c r="BW119" s="235"/>
      <c r="BX119" s="235"/>
      <c r="BY119" s="235"/>
      <c r="BZ119" s="235"/>
      <c r="CA119" s="235"/>
      <c r="CB119" s="235"/>
      <c r="CC119" s="235"/>
      <c r="CD119" s="235"/>
      <c r="CE119" s="235"/>
      <c r="CF119" s="235"/>
      <c r="CG119" s="235"/>
      <c r="CH119" s="235"/>
      <c r="CI119" s="235"/>
      <c r="CJ119" s="235"/>
      <c r="CK119" s="235"/>
      <c r="CL119" s="235"/>
      <c r="CM119" s="235"/>
      <c r="CN119" s="235"/>
      <c r="CO119" s="235"/>
      <c r="CP119" s="235"/>
      <c r="CQ119" s="235"/>
      <c r="CR119" s="235"/>
      <c r="CS119" s="235"/>
      <c r="CT119" s="235"/>
      <c r="CU119" s="235"/>
      <c r="CV119" s="235"/>
      <c r="CW119" s="235"/>
      <c r="CX119" s="235"/>
      <c r="CY119" s="235"/>
      <c r="CZ119" s="235"/>
      <c r="DA119" s="235"/>
      <c r="DB119" s="235"/>
      <c r="DC119" s="235"/>
      <c r="DD119" s="235"/>
      <c r="DE119" s="235"/>
      <c r="DF119" s="235"/>
      <c r="DG119" s="235"/>
      <c r="DH119" s="235"/>
      <c r="DI119" s="235"/>
      <c r="DJ119" s="235"/>
      <c r="DK119" s="235"/>
      <c r="DL119" s="235"/>
      <c r="DM119" s="235"/>
      <c r="DN119" s="235"/>
      <c r="DO119" s="235"/>
      <c r="DP119" s="235"/>
      <c r="DQ119" s="235"/>
      <c r="DR119" s="235"/>
      <c r="DS119" s="235"/>
      <c r="DT119" s="235"/>
      <c r="DU119" s="235"/>
      <c r="DV119" s="235"/>
      <c r="DW119" s="235"/>
      <c r="DX119" s="235"/>
      <c r="DY119" s="235"/>
      <c r="DZ119" s="235"/>
      <c r="EA119" s="235"/>
      <c r="EB119" s="235"/>
      <c r="EC119" s="235"/>
      <c r="ED119" s="235"/>
      <c r="EE119" s="235"/>
      <c r="EF119" s="235"/>
      <c r="EG119" s="235"/>
      <c r="EH119" s="235"/>
      <c r="EI119" s="235"/>
      <c r="EJ119" s="235"/>
      <c r="EK119" s="235"/>
      <c r="EL119" s="235"/>
      <c r="EM119" s="235"/>
      <c r="EN119" s="235"/>
      <c r="EO119" s="235"/>
      <c r="EP119" s="235"/>
      <c r="EQ119" s="235"/>
      <c r="ER119" s="235"/>
      <c r="ES119" s="235"/>
      <c r="ET119" s="235"/>
      <c r="EU119" s="235"/>
      <c r="EV119" s="235"/>
      <c r="EW119" s="235"/>
      <c r="EX119" s="235"/>
      <c r="EY119" s="235"/>
      <c r="EZ119" s="235"/>
      <c r="FA119" s="235"/>
      <c r="FB119" s="235"/>
      <c r="FC119" s="235"/>
      <c r="FD119" s="235"/>
      <c r="FE119" s="235"/>
      <c r="FF119" s="235"/>
      <c r="FG119" s="235"/>
      <c r="FH119" s="235"/>
      <c r="FI119" s="235"/>
      <c r="FJ119" s="235"/>
      <c r="FK119" s="235"/>
      <c r="FL119" s="235"/>
      <c r="FM119" s="235"/>
      <c r="FN119" s="235"/>
      <c r="FO119" s="235"/>
      <c r="FP119" s="235"/>
      <c r="FQ119" s="235"/>
      <c r="FR119" s="235"/>
      <c r="FS119" s="235"/>
      <c r="FT119" s="235"/>
      <c r="FU119" s="235"/>
      <c r="FV119" s="235"/>
      <c r="FW119" s="235"/>
      <c r="FX119" s="235"/>
      <c r="FY119" s="235"/>
      <c r="FZ119" s="235"/>
      <c r="GA119" s="235"/>
      <c r="GB119" s="235"/>
      <c r="GC119" s="235"/>
      <c r="GD119" s="235"/>
      <c r="GE119" s="235"/>
      <c r="GF119" s="235"/>
      <c r="GG119" s="235"/>
      <c r="GH119" s="235"/>
      <c r="GI119" s="235"/>
      <c r="GJ119" s="235"/>
      <c r="GK119" s="235"/>
      <c r="GL119" s="235"/>
      <c r="GM119" s="235"/>
      <c r="GN119" s="235"/>
      <c r="GO119" s="235"/>
      <c r="GP119" s="235"/>
      <c r="GQ119" s="235"/>
      <c r="GR119" s="235"/>
      <c r="GS119" s="235"/>
      <c r="GT119" s="235"/>
      <c r="GU119" s="235"/>
      <c r="GV119" s="235"/>
      <c r="GW119" s="235"/>
      <c r="GX119" s="235"/>
      <c r="GY119" s="235"/>
      <c r="GZ119" s="235"/>
      <c r="HA119" s="235"/>
      <c r="HB119" s="235"/>
      <c r="HC119" s="235"/>
      <c r="HD119" s="235"/>
      <c r="HE119" s="235"/>
      <c r="HF119" s="235"/>
      <c r="HG119" s="235"/>
      <c r="HH119" s="235"/>
      <c r="HI119" s="235"/>
      <c r="HJ119" s="235"/>
      <c r="HK119" s="235"/>
      <c r="HL119" s="235"/>
      <c r="HM119" s="235"/>
      <c r="HN119" s="235"/>
      <c r="HO119" s="235"/>
      <c r="HP119" s="235"/>
      <c r="HQ119" s="235"/>
      <c r="HR119" s="235"/>
      <c r="HS119" s="235"/>
      <c r="HT119" s="235"/>
      <c r="HU119" s="235"/>
      <c r="HV119" s="235"/>
      <c r="HW119" s="235"/>
      <c r="HX119" s="235"/>
      <c r="HY119" s="235"/>
      <c r="HZ119" s="235"/>
      <c r="IA119" s="235"/>
      <c r="IB119" s="235"/>
      <c r="IC119" s="235"/>
      <c r="ID119" s="235"/>
      <c r="IE119" s="235"/>
      <c r="IF119" s="235"/>
      <c r="IG119" s="235"/>
      <c r="IH119" s="235"/>
      <c r="II119" s="235"/>
      <c r="IJ119" s="235"/>
      <c r="IK119" s="235"/>
      <c r="IL119" s="235"/>
      <c r="IM119" s="235"/>
      <c r="IN119" s="235"/>
      <c r="IO119" s="235"/>
      <c r="IP119" s="235"/>
      <c r="IQ119" s="235"/>
      <c r="IR119" s="235"/>
      <c r="IS119" s="235"/>
      <c r="IT119" s="235"/>
      <c r="IU119" s="235"/>
      <c r="IV119" s="235"/>
      <c r="IW119" s="235"/>
      <c r="IX119" s="235"/>
      <c r="IY119" s="236">
        <v>2</v>
      </c>
      <c r="IZ119" s="237">
        <f>(TEXT(K119,"[m]")/60)*VLOOKUP(IY119,'Income Person-hours'!A$2:C$5,3,FALSE)</f>
        <v>0</v>
      </c>
      <c r="JA119" s="238"/>
      <c r="JB119" s="238"/>
      <c r="JC119" s="238"/>
      <c r="JD119" s="239">
        <f>SUM((TEXT(JA119,"[M]")/60)*'Income Person-hours'!$D$3,(TEXT(JB119,"[M]")/60)*'Income Person-hours'!$D$4,(TEXT(JC119,"[M]")/60)*'Income Person-hours'!$D$5)</f>
        <v>0</v>
      </c>
    </row>
    <row r="120" spans="1:264" s="240" customFormat="1" ht="13.5">
      <c r="A120" s="252">
        <v>5.3</v>
      </c>
      <c r="B120" s="241" t="s">
        <v>126</v>
      </c>
      <c r="C120" s="228" t="s">
        <v>79</v>
      </c>
      <c r="D120" s="354" t="str">
        <f>IF(OR(j_WEEKDAY(J_ADDDAY(VLOOKUP(I120,A:F,6,FALSE),H120,1),0)=6,SUMIFS(Holieday[ok],Holieday[date],J_ADDDAY(VLOOKUP(I120,A:F,6,FALSE),H120,1)))=FALSE(),J_ADDDAY(VLOOKUP(I120,A:F,6,FALSE),H120,1),IF(OR(j_WEEKDAY(J_ADDDAY(VLOOKUP(I120,A:F,6,FALSE),H120+1,1),0)=6,SUMIFS(Holieday[ok],Holieday[date],J_ADDDAY(VLOOKUP(I120,A:F,6,FALSE),H120+1,1)))=FALSE(),J_ADDDAY(VLOOKUP(I120,A:F,6,FALSE),H120+1,1),IF(OR(j_WEEKDAY(J_ADDDAY(VLOOKUP(I120,A:F,6,FALSE),H120+2,1),0)=6,SUMIFS(Holieday[ok],Holieday[date],J_ADDDAY(VLOOKUP(I120,A:F,6,FALSE),H120+2,1)))=FALSE(),J_ADDDAY(VLOOKUP(I120,A:F,6,FALSE),H120+2,1),IF(OR(j_WEEKDAY(J_ADDDAY(VLOOKUP(I120,A:F,6,FALSE),H120+3,1),0)=6,SUMIFS(Holieday[ok],Holieday[date],J_ADDDAY(VLOOKUP(I120,A:F,6,FALSE),H120+3,1)))=FALSE(),J_ADDDAY(VLOOKUP(I120,A:F,6,FALSE),H120+3,1),IF(OR(j_WEEKDAY(J_ADDDAY(VLOOKUP(I120,A:F,6,FALSE),H120+4,1),0)=6,SUMIFS(Holieday[ok],Holieday[date],J_ADDDAY(VLOOKUP(I120,A:F,6,FALSE),H120+4,1)))=FALSE(),J_ADDDAY(VLOOKUP(I120,A:F,6,FALSE),H120+4,1),J_ADDDAY(VLOOKUP(I120,A:F,6,FALSE),H120+5,1))))))</f>
        <v>1398/07/11</v>
      </c>
      <c r="E120" s="160">
        <f t="shared" si="33"/>
        <v>13980711</v>
      </c>
      <c r="F120" s="354" t="str">
        <f>IF(N120=0,J_SUBDAY(D120,1,1),IF((N120-NETWORKDAYS.INTL(J_GregorianDate(D120,1),J_GregorianDate(J_SUBDAY(J_ADDDAY(D120,N120,1),1,1),1),16,1)-SUMIFS(Holieday[ok],Holieday[date],CONCATENATE("&gt;","=",D120),Holieday[date],CONCATENATE("&lt;","=",J_SUBDAY(J_ADDDAY(D120,N120,1),1,1)))+SUMIFS(Holieday[Friday],Holieday[date],CONCATENATE("&gt;","=",D120),Holieday[date],CONCATENATE("&lt;","=",J_SUBDAY(J_ADDDAY(D120,N120,1),1,1))))=0,J_SUBDAY(J_ADDDAY(D120,N120,1),1,1),IF((N120-NETWORKDAYS.INTL(J_GregorianDate(D120,1),J_GregorianDate(J_SUBDAY(J_ADDDAY(D120,N120,1),1,1),1),16,1)-SUMIFS(Holieday[ok],Holieday[date],CONCATENATE("&gt;","=",D120),Holieday[date],CONCATENATE("&lt;","=",J_SUBDAY(J_ADDDAY(D120,N120,1),1,1)))+SUMIFS(Holieday[Friday],Holieday[date],CONCATENATE("&gt;","=",D120),Holieday[date],CONCATENATE("&lt;","=",J_SUBDAY(J_ADDDAY(D120,N120,1),1,1))))=1,J_SUBDAY(J_ADDDAY(D120,N120+1,1),1,1),IF((N120-NETWORKDAYS.INTL(J_GregorianDate(D120,1),J_GregorianDate(J_SUBDAY(J_ADDDAY(D120,N120,1),1,1),1),16,1)-SUMIFS(Holieday[ok],Holieday[date],CONCATENATE("&gt;","=",D120),Holieday[date],CONCATENATE("&lt;","=",J_SUBDAY(J_ADDDAY(D120,N120,1),1,1)))+SUMIFS(Holieday[Friday],Holieday[date],CONCATENATE("&gt;","=",D120),Holieday[date],CONCATENATE("&lt;","=",J_SUBDAY(J_ADDDAY(D120,N120,1),1,1))))=2,J_SUBDAY(J_ADDDAY(D120,N120+2,1),1,1),J_SUBDAY(J_ADDDAY(D120,N120+3,1),1,1)))))</f>
        <v>1398/07/22</v>
      </c>
      <c r="G120" s="163">
        <f t="shared" si="30"/>
        <v>13980722</v>
      </c>
      <c r="H120" s="230">
        <v>1</v>
      </c>
      <c r="I120" s="231">
        <v>5.2</v>
      </c>
      <c r="J120" s="229">
        <f>j_WEEKDAY(D120,2)</f>
        <v>5</v>
      </c>
      <c r="K120" s="173">
        <f>SUM(JA120:JC120)</f>
        <v>0</v>
      </c>
      <c r="L120" s="232">
        <f t="shared" si="38"/>
        <v>12</v>
      </c>
      <c r="M120" s="233">
        <v>0</v>
      </c>
      <c r="N120" s="234">
        <v>10</v>
      </c>
      <c r="O120" s="175">
        <f t="shared" si="39"/>
        <v>0</v>
      </c>
      <c r="P120" s="175">
        <f>VALUE(J_normdate(J_ADDDAY($D120,$O120,1)))</f>
        <v>13980711</v>
      </c>
      <c r="Q120" s="171">
        <f t="shared" si="40"/>
        <v>12</v>
      </c>
      <c r="R120" s="235"/>
      <c r="S120" s="235"/>
      <c r="T120" s="235"/>
      <c r="U120" s="235"/>
      <c r="V120" s="235"/>
      <c r="W120" s="235"/>
      <c r="X120" s="235"/>
      <c r="Y120" s="235"/>
      <c r="Z120" s="235"/>
      <c r="AA120" s="235"/>
      <c r="AB120" s="235"/>
      <c r="AC120" s="235"/>
      <c r="AD120" s="235"/>
      <c r="AE120" s="235"/>
      <c r="AF120" s="235"/>
      <c r="AG120" s="235"/>
      <c r="AH120" s="235"/>
      <c r="AI120" s="235"/>
      <c r="AJ120" s="235"/>
      <c r="AK120" s="235"/>
      <c r="AL120" s="235"/>
      <c r="AM120" s="235"/>
      <c r="AN120" s="235"/>
      <c r="AO120" s="235"/>
      <c r="AP120" s="235"/>
      <c r="AQ120" s="235"/>
      <c r="AR120" s="235"/>
      <c r="AS120" s="235"/>
      <c r="AT120" s="235"/>
      <c r="AU120" s="235"/>
      <c r="AV120" s="235"/>
      <c r="AW120" s="235"/>
      <c r="AX120" s="235"/>
      <c r="AY120" s="235"/>
      <c r="AZ120" s="235"/>
      <c r="BA120" s="235"/>
      <c r="BB120" s="235"/>
      <c r="BC120" s="235"/>
      <c r="BD120" s="235"/>
      <c r="BE120" s="235"/>
      <c r="BF120" s="235"/>
      <c r="BG120" s="235"/>
      <c r="BH120" s="235"/>
      <c r="BI120" s="235"/>
      <c r="BJ120" s="235"/>
      <c r="BK120" s="235"/>
      <c r="BL120" s="235"/>
      <c r="BM120" s="235"/>
      <c r="BN120" s="235"/>
      <c r="BO120" s="235"/>
      <c r="BP120" s="235"/>
      <c r="BQ120" s="235"/>
      <c r="BR120" s="235"/>
      <c r="BS120" s="235"/>
      <c r="BT120" s="235"/>
      <c r="BU120" s="235"/>
      <c r="BV120" s="235"/>
      <c r="BW120" s="235"/>
      <c r="BX120" s="235"/>
      <c r="BY120" s="235"/>
      <c r="BZ120" s="235"/>
      <c r="CA120" s="235"/>
      <c r="CB120" s="235"/>
      <c r="CC120" s="235"/>
      <c r="CD120" s="235"/>
      <c r="CE120" s="235"/>
      <c r="CF120" s="235"/>
      <c r="CG120" s="235"/>
      <c r="CH120" s="235"/>
      <c r="CI120" s="235"/>
      <c r="CJ120" s="235"/>
      <c r="CK120" s="235"/>
      <c r="CL120" s="235"/>
      <c r="CM120" s="235"/>
      <c r="CN120" s="235"/>
      <c r="CO120" s="235"/>
      <c r="CP120" s="235"/>
      <c r="CQ120" s="235"/>
      <c r="CR120" s="235"/>
      <c r="CS120" s="235"/>
      <c r="CT120" s="235"/>
      <c r="CU120" s="235"/>
      <c r="CV120" s="235"/>
      <c r="CW120" s="235"/>
      <c r="CX120" s="235"/>
      <c r="CY120" s="235"/>
      <c r="CZ120" s="235"/>
      <c r="DA120" s="235"/>
      <c r="DB120" s="235"/>
      <c r="DC120" s="235"/>
      <c r="DD120" s="235"/>
      <c r="DE120" s="235"/>
      <c r="DF120" s="235"/>
      <c r="DG120" s="235"/>
      <c r="DH120" s="235"/>
      <c r="DI120" s="235"/>
      <c r="DJ120" s="235"/>
      <c r="DK120" s="235"/>
      <c r="DL120" s="235"/>
      <c r="DM120" s="235"/>
      <c r="DN120" s="235"/>
      <c r="DO120" s="235"/>
      <c r="DP120" s="235"/>
      <c r="DQ120" s="235"/>
      <c r="DR120" s="235"/>
      <c r="DS120" s="235"/>
      <c r="DT120" s="235"/>
      <c r="DU120" s="235"/>
      <c r="DV120" s="235"/>
      <c r="DW120" s="235"/>
      <c r="DX120" s="235"/>
      <c r="DY120" s="235"/>
      <c r="DZ120" s="235"/>
      <c r="EA120" s="235"/>
      <c r="EB120" s="235"/>
      <c r="EC120" s="235"/>
      <c r="ED120" s="235"/>
      <c r="EE120" s="235"/>
      <c r="EF120" s="235"/>
      <c r="EG120" s="235"/>
      <c r="EH120" s="235"/>
      <c r="EI120" s="235"/>
      <c r="EJ120" s="235"/>
      <c r="EK120" s="235"/>
      <c r="EL120" s="235"/>
      <c r="EM120" s="235"/>
      <c r="EN120" s="235"/>
      <c r="EO120" s="235"/>
      <c r="EP120" s="235"/>
      <c r="EQ120" s="235"/>
      <c r="ER120" s="235"/>
      <c r="ES120" s="235"/>
      <c r="ET120" s="235"/>
      <c r="EU120" s="235"/>
      <c r="EV120" s="235"/>
      <c r="EW120" s="235"/>
      <c r="EX120" s="235"/>
      <c r="EY120" s="235"/>
      <c r="EZ120" s="235"/>
      <c r="FA120" s="235"/>
      <c r="FB120" s="235"/>
      <c r="FC120" s="235"/>
      <c r="FD120" s="235"/>
      <c r="FE120" s="235"/>
      <c r="FF120" s="235"/>
      <c r="FG120" s="235"/>
      <c r="FH120" s="235"/>
      <c r="FI120" s="235"/>
      <c r="FJ120" s="235"/>
      <c r="FK120" s="235"/>
      <c r="FL120" s="235"/>
      <c r="FM120" s="235"/>
      <c r="FN120" s="235"/>
      <c r="FO120" s="235"/>
      <c r="FP120" s="235"/>
      <c r="FQ120" s="235"/>
      <c r="FR120" s="235"/>
      <c r="FS120" s="235"/>
      <c r="FT120" s="235"/>
      <c r="FU120" s="235"/>
      <c r="FV120" s="235"/>
      <c r="FW120" s="235"/>
      <c r="FX120" s="235"/>
      <c r="FY120" s="235"/>
      <c r="FZ120" s="235"/>
      <c r="GA120" s="235"/>
      <c r="GB120" s="235"/>
      <c r="GC120" s="235"/>
      <c r="GD120" s="235"/>
      <c r="GE120" s="235"/>
      <c r="GF120" s="235"/>
      <c r="GG120" s="235"/>
      <c r="GH120" s="235"/>
      <c r="GI120" s="235"/>
      <c r="GJ120" s="235"/>
      <c r="GK120" s="235"/>
      <c r="GL120" s="235"/>
      <c r="GM120" s="235"/>
      <c r="GN120" s="235"/>
      <c r="GO120" s="235"/>
      <c r="GP120" s="235"/>
      <c r="GQ120" s="235"/>
      <c r="GR120" s="235"/>
      <c r="GS120" s="235"/>
      <c r="GT120" s="235"/>
      <c r="GU120" s="235"/>
      <c r="GV120" s="235"/>
      <c r="GW120" s="235"/>
      <c r="GX120" s="235"/>
      <c r="GY120" s="235"/>
      <c r="GZ120" s="235"/>
      <c r="HA120" s="235"/>
      <c r="HB120" s="235"/>
      <c r="HC120" s="235"/>
      <c r="HD120" s="235"/>
      <c r="HE120" s="235"/>
      <c r="HF120" s="235"/>
      <c r="HG120" s="235"/>
      <c r="HH120" s="235"/>
      <c r="HI120" s="235"/>
      <c r="HJ120" s="235"/>
      <c r="HK120" s="235"/>
      <c r="HL120" s="235"/>
      <c r="HM120" s="235"/>
      <c r="HN120" s="235"/>
      <c r="HO120" s="235"/>
      <c r="HP120" s="235"/>
      <c r="HQ120" s="235"/>
      <c r="HR120" s="235"/>
      <c r="HS120" s="235"/>
      <c r="HT120" s="235"/>
      <c r="HU120" s="235"/>
      <c r="HV120" s="235"/>
      <c r="HW120" s="235"/>
      <c r="HX120" s="235"/>
      <c r="HY120" s="235"/>
      <c r="HZ120" s="235"/>
      <c r="IA120" s="235"/>
      <c r="IB120" s="235"/>
      <c r="IC120" s="235"/>
      <c r="ID120" s="235"/>
      <c r="IE120" s="235"/>
      <c r="IF120" s="235"/>
      <c r="IG120" s="235"/>
      <c r="IH120" s="235"/>
      <c r="II120" s="235"/>
      <c r="IJ120" s="235"/>
      <c r="IK120" s="235"/>
      <c r="IL120" s="235"/>
      <c r="IM120" s="235"/>
      <c r="IN120" s="235"/>
      <c r="IO120" s="235"/>
      <c r="IP120" s="235"/>
      <c r="IQ120" s="235"/>
      <c r="IR120" s="235"/>
      <c r="IS120" s="235"/>
      <c r="IT120" s="235"/>
      <c r="IU120" s="235"/>
      <c r="IV120" s="235"/>
      <c r="IW120" s="235"/>
      <c r="IX120" s="235"/>
      <c r="IY120" s="236">
        <v>3</v>
      </c>
      <c r="IZ120" s="237">
        <f>(TEXT(K120,"[m]")/60)*VLOOKUP(IY120,'Income Person-hours'!A$2:C$5,3,FALSE)</f>
        <v>0</v>
      </c>
      <c r="JA120" s="238"/>
      <c r="JB120" s="238"/>
      <c r="JC120" s="238"/>
      <c r="JD120" s="239">
        <f>SUM((TEXT(JA120,"[M]")/60)*'Income Person-hours'!$D$3,(TEXT(JB120,"[M]")/60)*'Income Person-hours'!$D$4,(TEXT(JC120,"[M]")/60)*'Income Person-hours'!$D$5)</f>
        <v>0</v>
      </c>
    </row>
    <row r="121" spans="1:264" s="255" customFormat="1" ht="13.5">
      <c r="A121" s="227">
        <v>5.4</v>
      </c>
      <c r="B121" s="241" t="s">
        <v>123</v>
      </c>
      <c r="C121" s="228" t="s">
        <v>111</v>
      </c>
      <c r="D121" s="251" t="str">
        <f>IF(OR(j_WEEKDAY(J_ADDDAY(VLOOKUP(I121,A:F,6,FALSE),H121,1),0)=6,SUMIFS(Holieday[ok],Holieday[date],J_ADDDAY(VLOOKUP(I121,A:F,6,FALSE),H121,1)))=FALSE(),J_ADDDAY(VLOOKUP(I121,A:F,6,FALSE),H121,1),IF(OR(j_WEEKDAY(J_ADDDAY(VLOOKUP(I121,A:F,6,FALSE),H121+1,1),0)=6,SUMIFS(Holieday[ok],Holieday[date],J_ADDDAY(VLOOKUP(I121,A:F,6,FALSE),H121+1,1)))=FALSE(),J_ADDDAY(VLOOKUP(I121,A:F,6,FALSE),H121+1,1),IF(OR(j_WEEKDAY(J_ADDDAY(VLOOKUP(I121,A:F,6,FALSE),H121+2,1),0)=6,SUMIFS(Holieday[ok],Holieday[date],J_ADDDAY(VLOOKUP(I121,A:F,6,FALSE),H121+2,1)))=FALSE(),J_ADDDAY(VLOOKUP(I121,A:F,6,FALSE),H121+2,1),IF(OR(j_WEEKDAY(J_ADDDAY(VLOOKUP(I121,A:F,6,FALSE),H121+3,1),0)=6,SUMIFS(Holieday[ok],Holieday[date],J_ADDDAY(VLOOKUP(I121,A:F,6,FALSE),H121+3,1)))=FALSE(),J_ADDDAY(VLOOKUP(I121,A:F,6,FALSE),H121+3,1),IF(OR(j_WEEKDAY(J_ADDDAY(VLOOKUP(I121,A:F,6,FALSE),H121+4,1),0)=6,SUMIFS(Holieday[ok],Holieday[date],J_ADDDAY(VLOOKUP(I121,A:F,6,FALSE),H121+4,1)))=FALSE(),J_ADDDAY(VLOOKUP(I121,A:F,6,FALSE),H121+4,1),J_ADDDAY(VLOOKUP(I121,A:F,6,FALSE),H121+5,1))))))</f>
        <v>1398/07/23</v>
      </c>
      <c r="E121" s="1">
        <f t="shared" si="33"/>
        <v>13980723</v>
      </c>
      <c r="F121" s="251" t="str">
        <f>IF(N121=0,J_SUBDAY(D121,1,1),IF((N121-NETWORKDAYS.INTL(J_GregorianDate(D121,1),J_GregorianDate(J_SUBDAY(J_ADDDAY(D121,N121,1),1,1),1),16,1)-SUMIFS(Holieday[ok],Holieday[date],CONCATENATE("&gt;","=",D121),Holieday[date],CONCATENATE("&lt;","=",J_SUBDAY(J_ADDDAY(D121,N121,1),1,1)))+SUMIFS(Holieday[Friday],Holieday[date],CONCATENATE("&gt;","=",D121),Holieday[date],CONCATENATE("&lt;","=",J_SUBDAY(J_ADDDAY(D121,N121,1),1,1))))=0,J_SUBDAY(J_ADDDAY(D121,N121,1),1,1),IF((N121-NETWORKDAYS.INTL(J_GregorianDate(D121,1),J_GregorianDate(J_SUBDAY(J_ADDDAY(D121,N121,1),1,1),1),16,1)-SUMIFS(Holieday[ok],Holieday[date],CONCATENATE("&gt;","=",D121),Holieday[date],CONCATENATE("&lt;","=",J_SUBDAY(J_ADDDAY(D121,N121,1),1,1)))+SUMIFS(Holieday[Friday],Holieday[date],CONCATENATE("&gt;","=",D121),Holieday[date],CONCATENATE("&lt;","=",J_SUBDAY(J_ADDDAY(D121,N121,1),1,1))))=1,J_SUBDAY(J_ADDDAY(D121,N121+1,1),1,1),IF((N121-NETWORKDAYS.INTL(J_GregorianDate(D121,1),J_GregorianDate(J_SUBDAY(J_ADDDAY(D121,N121,1),1,1),1),16,1)-SUMIFS(Holieday[ok],Holieday[date],CONCATENATE("&gt;","=",D121),Holieday[date],CONCATENATE("&lt;","=",J_SUBDAY(J_ADDDAY(D121,N121,1),1,1)))+SUMIFS(Holieday[Friday],Holieday[date],CONCATENATE("&gt;","=",D121),Holieday[date],CONCATENATE("&lt;","=",J_SUBDAY(J_ADDDAY(D121,N121,1),1,1))))=2,J_SUBDAY(J_ADDDAY(D121,N121+2,1),1,1),J_SUBDAY(J_ADDDAY(D121,N121+3,1),1,1)))))</f>
        <v>1398/08/12</v>
      </c>
      <c r="G121" s="2">
        <f t="shared" si="30"/>
        <v>13980812</v>
      </c>
      <c r="H121" s="230">
        <v>1</v>
      </c>
      <c r="I121" s="231">
        <v>5.3</v>
      </c>
      <c r="J121" s="245">
        <f>j_WEEKDAY(D121,2)</f>
        <v>3</v>
      </c>
      <c r="K121" s="21">
        <f>SUM(JA121:JC121)</f>
        <v>0</v>
      </c>
      <c r="L121" s="246">
        <f t="shared" si="38"/>
        <v>20</v>
      </c>
      <c r="M121" s="233">
        <v>0</v>
      </c>
      <c r="N121" s="234">
        <v>20</v>
      </c>
      <c r="O121" s="10">
        <f t="shared" si="39"/>
        <v>0</v>
      </c>
      <c r="P121" s="10">
        <f>VALUE(J_normdate(J_ADDDAY($D121,$O121,1)))</f>
        <v>13980723</v>
      </c>
      <c r="Q121" s="9">
        <f t="shared" si="40"/>
        <v>20</v>
      </c>
      <c r="R121" s="247"/>
      <c r="S121" s="247"/>
      <c r="T121" s="247"/>
      <c r="U121" s="247"/>
      <c r="V121" s="247"/>
      <c r="W121" s="247"/>
      <c r="X121" s="247"/>
      <c r="Y121" s="247"/>
      <c r="Z121" s="247"/>
      <c r="AA121" s="247"/>
      <c r="AB121" s="247"/>
      <c r="AC121" s="247"/>
      <c r="AD121" s="247"/>
      <c r="AE121" s="247"/>
      <c r="AF121" s="247"/>
      <c r="AG121" s="247"/>
      <c r="AH121" s="247"/>
      <c r="AI121" s="247"/>
      <c r="AJ121" s="247"/>
      <c r="AK121" s="247"/>
      <c r="AL121" s="247"/>
      <c r="AM121" s="247"/>
      <c r="AN121" s="247"/>
      <c r="AO121" s="247"/>
      <c r="AP121" s="247"/>
      <c r="AQ121" s="247"/>
      <c r="AR121" s="247"/>
      <c r="AS121" s="247"/>
      <c r="AT121" s="247"/>
      <c r="AU121" s="247"/>
      <c r="AV121" s="247"/>
      <c r="AW121" s="247"/>
      <c r="AX121" s="247"/>
      <c r="AY121" s="247"/>
      <c r="AZ121" s="247"/>
      <c r="BA121" s="247"/>
      <c r="BB121" s="247"/>
      <c r="BC121" s="247"/>
      <c r="BD121" s="247"/>
      <c r="BE121" s="247"/>
      <c r="BF121" s="247"/>
      <c r="BG121" s="247"/>
      <c r="BH121" s="247"/>
      <c r="BI121" s="247"/>
      <c r="BJ121" s="247"/>
      <c r="BK121" s="247"/>
      <c r="BL121" s="247"/>
      <c r="BM121" s="247"/>
      <c r="BN121" s="247"/>
      <c r="BO121" s="247"/>
      <c r="BP121" s="247"/>
      <c r="BQ121" s="247"/>
      <c r="BR121" s="247"/>
      <c r="BS121" s="247"/>
      <c r="BT121" s="247"/>
      <c r="BU121" s="247"/>
      <c r="BV121" s="247"/>
      <c r="BW121" s="247"/>
      <c r="BX121" s="247"/>
      <c r="BY121" s="247"/>
      <c r="BZ121" s="247"/>
      <c r="CA121" s="247"/>
      <c r="CB121" s="247"/>
      <c r="CC121" s="247"/>
      <c r="CD121" s="247"/>
      <c r="CE121" s="247"/>
      <c r="CF121" s="247"/>
      <c r="CG121" s="247"/>
      <c r="CH121" s="247"/>
      <c r="CI121" s="247"/>
      <c r="CJ121" s="247"/>
      <c r="CK121" s="247"/>
      <c r="CL121" s="247"/>
      <c r="CM121" s="247"/>
      <c r="CN121" s="247"/>
      <c r="CO121" s="247"/>
      <c r="CP121" s="247"/>
      <c r="CQ121" s="247"/>
      <c r="CR121" s="247"/>
      <c r="CS121" s="247"/>
      <c r="CT121" s="247"/>
      <c r="CU121" s="247"/>
      <c r="CV121" s="247"/>
      <c r="CW121" s="247"/>
      <c r="CX121" s="247"/>
      <c r="CY121" s="247"/>
      <c r="CZ121" s="247"/>
      <c r="DA121" s="247"/>
      <c r="DB121" s="247"/>
      <c r="DC121" s="247"/>
      <c r="DD121" s="247"/>
      <c r="DE121" s="247"/>
      <c r="DF121" s="247"/>
      <c r="DG121" s="247"/>
      <c r="DH121" s="247"/>
      <c r="DI121" s="247"/>
      <c r="DJ121" s="247"/>
      <c r="DK121" s="247"/>
      <c r="DL121" s="247"/>
      <c r="DM121" s="247"/>
      <c r="DN121" s="247"/>
      <c r="DO121" s="247"/>
      <c r="DP121" s="247"/>
      <c r="DQ121" s="247"/>
      <c r="DR121" s="247"/>
      <c r="DS121" s="247"/>
      <c r="DT121" s="247"/>
      <c r="DU121" s="247"/>
      <c r="DV121" s="247"/>
      <c r="DW121" s="247"/>
      <c r="DX121" s="247"/>
      <c r="DY121" s="247"/>
      <c r="DZ121" s="247"/>
      <c r="EA121" s="247"/>
      <c r="EB121" s="247"/>
      <c r="EC121" s="247"/>
      <c r="ED121" s="247"/>
      <c r="EE121" s="247"/>
      <c r="EF121" s="247"/>
      <c r="EG121" s="247"/>
      <c r="EH121" s="247"/>
      <c r="EI121" s="247"/>
      <c r="EJ121" s="247"/>
      <c r="EK121" s="247"/>
      <c r="EL121" s="247"/>
      <c r="EM121" s="247"/>
      <c r="EN121" s="247"/>
      <c r="EO121" s="247"/>
      <c r="EP121" s="247"/>
      <c r="EQ121" s="247"/>
      <c r="ER121" s="247"/>
      <c r="ES121" s="247"/>
      <c r="ET121" s="247"/>
      <c r="EU121" s="247"/>
      <c r="EV121" s="247"/>
      <c r="EW121" s="247"/>
      <c r="EX121" s="247"/>
      <c r="EY121" s="247"/>
      <c r="EZ121" s="247"/>
      <c r="FA121" s="247"/>
      <c r="FB121" s="247"/>
      <c r="FC121" s="247"/>
      <c r="FD121" s="247"/>
      <c r="FE121" s="247"/>
      <c r="FF121" s="247"/>
      <c r="FG121" s="247"/>
      <c r="FH121" s="247"/>
      <c r="FI121" s="247"/>
      <c r="FJ121" s="247"/>
      <c r="FK121" s="247"/>
      <c r="FL121" s="247"/>
      <c r="FM121" s="247"/>
      <c r="FN121" s="247"/>
      <c r="FO121" s="247"/>
      <c r="FP121" s="247"/>
      <c r="FQ121" s="247"/>
      <c r="FR121" s="247"/>
      <c r="FS121" s="247"/>
      <c r="FT121" s="247"/>
      <c r="FU121" s="247"/>
      <c r="FV121" s="247"/>
      <c r="FW121" s="247"/>
      <c r="FX121" s="247"/>
      <c r="FY121" s="247"/>
      <c r="FZ121" s="247"/>
      <c r="GA121" s="247"/>
      <c r="GB121" s="247"/>
      <c r="GC121" s="247"/>
      <c r="GD121" s="247"/>
      <c r="GE121" s="247"/>
      <c r="GF121" s="247"/>
      <c r="GG121" s="247"/>
      <c r="GH121" s="247"/>
      <c r="GI121" s="247"/>
      <c r="GJ121" s="247"/>
      <c r="GK121" s="247"/>
      <c r="GL121" s="247"/>
      <c r="GM121" s="247"/>
      <c r="GN121" s="247"/>
      <c r="GO121" s="247"/>
      <c r="GP121" s="247"/>
      <c r="GQ121" s="247"/>
      <c r="GR121" s="247"/>
      <c r="GS121" s="247"/>
      <c r="GT121" s="247"/>
      <c r="GU121" s="247"/>
      <c r="GV121" s="247"/>
      <c r="GW121" s="247"/>
      <c r="GX121" s="247"/>
      <c r="GY121" s="247"/>
      <c r="GZ121" s="247"/>
      <c r="HA121" s="247"/>
      <c r="HB121" s="247"/>
      <c r="HC121" s="247"/>
      <c r="HD121" s="247"/>
      <c r="HE121" s="247"/>
      <c r="HF121" s="247"/>
      <c r="HG121" s="247"/>
      <c r="HH121" s="247"/>
      <c r="HI121" s="247"/>
      <c r="HJ121" s="247"/>
      <c r="HK121" s="247"/>
      <c r="HL121" s="247"/>
      <c r="HM121" s="247"/>
      <c r="HN121" s="247"/>
      <c r="HO121" s="247"/>
      <c r="HP121" s="247"/>
      <c r="HQ121" s="247"/>
      <c r="HR121" s="247"/>
      <c r="HS121" s="247"/>
      <c r="HT121" s="247"/>
      <c r="HU121" s="247"/>
      <c r="HV121" s="247"/>
      <c r="HW121" s="247"/>
      <c r="HX121" s="247"/>
      <c r="HY121" s="247"/>
      <c r="HZ121" s="247"/>
      <c r="IA121" s="247"/>
      <c r="IB121" s="247"/>
      <c r="IC121" s="247"/>
      <c r="ID121" s="247"/>
      <c r="IE121" s="247"/>
      <c r="IF121" s="247"/>
      <c r="IG121" s="247"/>
      <c r="IH121" s="247"/>
      <c r="II121" s="247"/>
      <c r="IJ121" s="247"/>
      <c r="IK121" s="247"/>
      <c r="IL121" s="247"/>
      <c r="IM121" s="247"/>
      <c r="IN121" s="247"/>
      <c r="IO121" s="247"/>
      <c r="IP121" s="247"/>
      <c r="IQ121" s="247"/>
      <c r="IR121" s="247"/>
      <c r="IS121" s="247"/>
      <c r="IT121" s="247"/>
      <c r="IU121" s="247"/>
      <c r="IV121" s="247"/>
      <c r="IW121" s="247"/>
      <c r="IX121" s="247"/>
      <c r="IY121" s="236">
        <v>3</v>
      </c>
      <c r="IZ121" s="237">
        <f>(TEXT(K121,"[m]")/60)*VLOOKUP(IY121,'Income Person-hours'!A$2:C$5,3,FALSE)</f>
        <v>0</v>
      </c>
      <c r="JA121" s="238"/>
      <c r="JB121" s="238"/>
      <c r="JC121" s="238"/>
      <c r="JD121" s="254">
        <f>SUM((TEXT(JA121,"[M]")/60)*'Income Person-hours'!$D$3,(TEXT(JB121,"[M]")/60)*'Income Person-hours'!$D$4,(TEXT(JC121,"[M]")/60)*'Income Person-hours'!$D$5)</f>
        <v>0</v>
      </c>
    </row>
    <row r="122" spans="1:264" s="255" customFormat="1" ht="13.5">
      <c r="A122" s="227">
        <v>5.5</v>
      </c>
      <c r="B122" s="241" t="s">
        <v>127</v>
      </c>
      <c r="C122" s="228" t="s">
        <v>79</v>
      </c>
      <c r="D122" s="251" t="str">
        <f>IF(OR(j_WEEKDAY(J_ADDDAY(VLOOKUP(I122,A:F,6,FALSE),H122,1),0)=6,SUMIFS(Holieday[ok],Holieday[date],J_ADDDAY(VLOOKUP(I122,A:F,6,FALSE),H122,1)))=FALSE(),J_ADDDAY(VLOOKUP(I122,A:F,6,FALSE),H122,1),IF(OR(j_WEEKDAY(J_ADDDAY(VLOOKUP(I122,A:F,6,FALSE),H122+1,1),0)=6,SUMIFS(Holieday[ok],Holieday[date],J_ADDDAY(VLOOKUP(I122,A:F,6,FALSE),H122+1,1)))=FALSE(),J_ADDDAY(VLOOKUP(I122,A:F,6,FALSE),H122+1,1),IF(OR(j_WEEKDAY(J_ADDDAY(VLOOKUP(I122,A:F,6,FALSE),H122+2,1),0)=6,SUMIFS(Holieday[ok],Holieday[date],J_ADDDAY(VLOOKUP(I122,A:F,6,FALSE),H122+2,1)))=FALSE(),J_ADDDAY(VLOOKUP(I122,A:F,6,FALSE),H122+2,1),IF(OR(j_WEEKDAY(J_ADDDAY(VLOOKUP(I122,A:F,6,FALSE),H122+3,1),0)=6,SUMIFS(Holieday[ok],Holieday[date],J_ADDDAY(VLOOKUP(I122,A:F,6,FALSE),H122+3,1)))=FALSE(),J_ADDDAY(VLOOKUP(I122,A:F,6,FALSE),H122+3,1),IF(OR(j_WEEKDAY(J_ADDDAY(VLOOKUP(I122,A:F,6,FALSE),H122+4,1),0)=6,SUMIFS(Holieday[ok],Holieday[date],J_ADDDAY(VLOOKUP(I122,A:F,6,FALSE),H122+4,1)))=FALSE(),J_ADDDAY(VLOOKUP(I122,A:F,6,FALSE),H122+4,1),J_ADDDAY(VLOOKUP(I122,A:F,6,FALSE),H122+5,1))))))</f>
        <v>1398/08/13</v>
      </c>
      <c r="E122" s="1">
        <f t="shared" si="33"/>
        <v>13980813</v>
      </c>
      <c r="F122" s="251" t="str">
        <f>IF(N122=0,J_SUBDAY(D122,1,1),IF((N122-NETWORKDAYS.INTL(J_GregorianDate(D122,1),J_GregorianDate(J_SUBDAY(J_ADDDAY(D122,N122,1),1,1),1),16,1)-SUMIFS(Holieday[ok],Holieday[date],CONCATENATE("&gt;","=",D122),Holieday[date],CONCATENATE("&lt;","=",J_SUBDAY(J_ADDDAY(D122,N122,1),1,1)))+SUMIFS(Holieday[Friday],Holieday[date],CONCATENATE("&gt;","=",D122),Holieday[date],CONCATENATE("&lt;","=",J_SUBDAY(J_ADDDAY(D122,N122,1),1,1))))=0,J_SUBDAY(J_ADDDAY(D122,N122,1),1,1),IF((N122-NETWORKDAYS.INTL(J_GregorianDate(D122,1),J_GregorianDate(J_SUBDAY(J_ADDDAY(D122,N122,1),1,1),1),16,1)-SUMIFS(Holieday[ok],Holieday[date],CONCATENATE("&gt;","=",D122),Holieday[date],CONCATENATE("&lt;","=",J_SUBDAY(J_ADDDAY(D122,N122,1),1,1)))+SUMIFS(Holieday[Friday],Holieday[date],CONCATENATE("&gt;","=",D122),Holieday[date],CONCATENATE("&lt;","=",J_SUBDAY(J_ADDDAY(D122,N122,1),1,1))))=1,J_SUBDAY(J_ADDDAY(D122,N122+1,1),1,1),IF((N122-NETWORKDAYS.INTL(J_GregorianDate(D122,1),J_GregorianDate(J_SUBDAY(J_ADDDAY(D122,N122,1),1,1),1),16,1)-SUMIFS(Holieday[ok],Holieday[date],CONCATENATE("&gt;","=",D122),Holieday[date],CONCATENATE("&lt;","=",J_SUBDAY(J_ADDDAY(D122,N122,1),1,1)))+SUMIFS(Holieday[Friday],Holieday[date],CONCATENATE("&gt;","=",D122),Holieday[date],CONCATENATE("&lt;","=",J_SUBDAY(J_ADDDAY(D122,N122,1),1,1))))=2,J_SUBDAY(J_ADDDAY(D122,N122+2,1),1,1),J_SUBDAY(J_ADDDAY(D122,N122+3,1),1,1)))))</f>
        <v>1398/08/22</v>
      </c>
      <c r="G122" s="2">
        <f t="shared" si="30"/>
        <v>13980822</v>
      </c>
      <c r="H122" s="230">
        <v>1</v>
      </c>
      <c r="I122" s="231">
        <v>5.4</v>
      </c>
      <c r="J122" s="245">
        <f>j_WEEKDAY(D122,2)</f>
        <v>2</v>
      </c>
      <c r="K122" s="21">
        <f t="shared" ref="K122:K138" si="41">SUM(JA122:JC122)</f>
        <v>0</v>
      </c>
      <c r="L122" s="246">
        <f t="shared" si="38"/>
        <v>10</v>
      </c>
      <c r="M122" s="233">
        <v>0</v>
      </c>
      <c r="N122" s="234">
        <v>10</v>
      </c>
      <c r="O122" s="10">
        <f t="shared" si="39"/>
        <v>0</v>
      </c>
      <c r="P122" s="10">
        <f>VALUE(J_normdate(J_ADDDAY($D122,$O122,1)))</f>
        <v>13980813</v>
      </c>
      <c r="Q122" s="9">
        <f t="shared" si="40"/>
        <v>10</v>
      </c>
      <c r="R122" s="247"/>
      <c r="S122" s="247"/>
      <c r="T122" s="247"/>
      <c r="U122" s="247"/>
      <c r="V122" s="247"/>
      <c r="W122" s="247"/>
      <c r="X122" s="247"/>
      <c r="Y122" s="247"/>
      <c r="Z122" s="247"/>
      <c r="AA122" s="247"/>
      <c r="AB122" s="247"/>
      <c r="AC122" s="247"/>
      <c r="AD122" s="247"/>
      <c r="AE122" s="247"/>
      <c r="AF122" s="247"/>
      <c r="AG122" s="247"/>
      <c r="AH122" s="247"/>
      <c r="AI122" s="247"/>
      <c r="AJ122" s="247"/>
      <c r="AK122" s="247"/>
      <c r="AL122" s="247"/>
      <c r="AM122" s="247"/>
      <c r="AN122" s="247"/>
      <c r="AO122" s="247"/>
      <c r="AP122" s="247"/>
      <c r="AQ122" s="247"/>
      <c r="AR122" s="247"/>
      <c r="AS122" s="247"/>
      <c r="AT122" s="247"/>
      <c r="AU122" s="247"/>
      <c r="AV122" s="247"/>
      <c r="AW122" s="247"/>
      <c r="AX122" s="247"/>
      <c r="AY122" s="247"/>
      <c r="AZ122" s="247"/>
      <c r="BA122" s="247"/>
      <c r="BB122" s="247"/>
      <c r="BC122" s="247"/>
      <c r="BD122" s="247"/>
      <c r="BE122" s="247"/>
      <c r="BF122" s="247"/>
      <c r="BG122" s="247"/>
      <c r="BH122" s="247"/>
      <c r="BI122" s="247"/>
      <c r="BJ122" s="247"/>
      <c r="BK122" s="247"/>
      <c r="BL122" s="247"/>
      <c r="BM122" s="247"/>
      <c r="BN122" s="247"/>
      <c r="BO122" s="247"/>
      <c r="BP122" s="247"/>
      <c r="BQ122" s="247"/>
      <c r="BR122" s="247"/>
      <c r="BS122" s="247"/>
      <c r="BT122" s="247"/>
      <c r="BU122" s="247"/>
      <c r="BV122" s="247"/>
      <c r="BW122" s="247"/>
      <c r="BX122" s="247"/>
      <c r="BY122" s="247"/>
      <c r="BZ122" s="247"/>
      <c r="CA122" s="247"/>
      <c r="CB122" s="247"/>
      <c r="CC122" s="247"/>
      <c r="CD122" s="247"/>
      <c r="CE122" s="247"/>
      <c r="CF122" s="247"/>
      <c r="CG122" s="247"/>
      <c r="CH122" s="247"/>
      <c r="CI122" s="247"/>
      <c r="CJ122" s="247"/>
      <c r="CK122" s="247"/>
      <c r="CL122" s="247"/>
      <c r="CM122" s="247"/>
      <c r="CN122" s="247"/>
      <c r="CO122" s="247"/>
      <c r="CP122" s="247"/>
      <c r="CQ122" s="247"/>
      <c r="CR122" s="247"/>
      <c r="CS122" s="247"/>
      <c r="CT122" s="247"/>
      <c r="CU122" s="247"/>
      <c r="CV122" s="247"/>
      <c r="CW122" s="247"/>
      <c r="CX122" s="247"/>
      <c r="CY122" s="247"/>
      <c r="CZ122" s="247"/>
      <c r="DA122" s="247"/>
      <c r="DB122" s="247"/>
      <c r="DC122" s="247"/>
      <c r="DD122" s="247"/>
      <c r="DE122" s="247"/>
      <c r="DF122" s="247"/>
      <c r="DG122" s="247"/>
      <c r="DH122" s="247"/>
      <c r="DI122" s="247"/>
      <c r="DJ122" s="247"/>
      <c r="DK122" s="247"/>
      <c r="DL122" s="247"/>
      <c r="DM122" s="247"/>
      <c r="DN122" s="247"/>
      <c r="DO122" s="247"/>
      <c r="DP122" s="247"/>
      <c r="DQ122" s="247"/>
      <c r="DR122" s="247"/>
      <c r="DS122" s="247"/>
      <c r="DT122" s="247"/>
      <c r="DU122" s="247"/>
      <c r="DV122" s="247"/>
      <c r="DW122" s="247"/>
      <c r="DX122" s="247"/>
      <c r="DY122" s="247"/>
      <c r="DZ122" s="247"/>
      <c r="EA122" s="247"/>
      <c r="EB122" s="247"/>
      <c r="EC122" s="247"/>
      <c r="ED122" s="247"/>
      <c r="EE122" s="247"/>
      <c r="EF122" s="247"/>
      <c r="EG122" s="247"/>
      <c r="EH122" s="247"/>
      <c r="EI122" s="247"/>
      <c r="EJ122" s="247"/>
      <c r="EK122" s="247"/>
      <c r="EL122" s="247"/>
      <c r="EM122" s="247"/>
      <c r="EN122" s="247"/>
      <c r="EO122" s="247"/>
      <c r="EP122" s="247"/>
      <c r="EQ122" s="247"/>
      <c r="ER122" s="247"/>
      <c r="ES122" s="247"/>
      <c r="ET122" s="247"/>
      <c r="EU122" s="247"/>
      <c r="EV122" s="247"/>
      <c r="EW122" s="247"/>
      <c r="EX122" s="247"/>
      <c r="EY122" s="247"/>
      <c r="EZ122" s="247"/>
      <c r="FA122" s="247"/>
      <c r="FB122" s="247"/>
      <c r="FC122" s="247"/>
      <c r="FD122" s="247"/>
      <c r="FE122" s="247"/>
      <c r="FF122" s="247"/>
      <c r="FG122" s="247"/>
      <c r="FH122" s="247"/>
      <c r="FI122" s="247"/>
      <c r="FJ122" s="247"/>
      <c r="FK122" s="247"/>
      <c r="FL122" s="247"/>
      <c r="FM122" s="247"/>
      <c r="FN122" s="247"/>
      <c r="FO122" s="247"/>
      <c r="FP122" s="247"/>
      <c r="FQ122" s="247"/>
      <c r="FR122" s="247"/>
      <c r="FS122" s="247"/>
      <c r="FT122" s="247"/>
      <c r="FU122" s="247"/>
      <c r="FV122" s="247"/>
      <c r="FW122" s="247"/>
      <c r="FX122" s="247"/>
      <c r="FY122" s="247"/>
      <c r="FZ122" s="247"/>
      <c r="GA122" s="247"/>
      <c r="GB122" s="247"/>
      <c r="GC122" s="247"/>
      <c r="GD122" s="247"/>
      <c r="GE122" s="247"/>
      <c r="GF122" s="247"/>
      <c r="GG122" s="247"/>
      <c r="GH122" s="247"/>
      <c r="GI122" s="247"/>
      <c r="GJ122" s="247"/>
      <c r="GK122" s="247"/>
      <c r="GL122" s="247"/>
      <c r="GM122" s="247"/>
      <c r="GN122" s="247"/>
      <c r="GO122" s="247"/>
      <c r="GP122" s="247"/>
      <c r="GQ122" s="247"/>
      <c r="GR122" s="247"/>
      <c r="GS122" s="247"/>
      <c r="GT122" s="247"/>
      <c r="GU122" s="247"/>
      <c r="GV122" s="247"/>
      <c r="GW122" s="247"/>
      <c r="GX122" s="247"/>
      <c r="GY122" s="247"/>
      <c r="GZ122" s="247"/>
      <c r="HA122" s="247"/>
      <c r="HB122" s="247"/>
      <c r="HC122" s="247"/>
      <c r="HD122" s="247"/>
      <c r="HE122" s="247"/>
      <c r="HF122" s="247"/>
      <c r="HG122" s="247"/>
      <c r="HH122" s="247"/>
      <c r="HI122" s="247"/>
      <c r="HJ122" s="247"/>
      <c r="HK122" s="247"/>
      <c r="HL122" s="247"/>
      <c r="HM122" s="247"/>
      <c r="HN122" s="247"/>
      <c r="HO122" s="247"/>
      <c r="HP122" s="247"/>
      <c r="HQ122" s="247"/>
      <c r="HR122" s="247"/>
      <c r="HS122" s="247"/>
      <c r="HT122" s="247"/>
      <c r="HU122" s="247"/>
      <c r="HV122" s="247"/>
      <c r="HW122" s="247"/>
      <c r="HX122" s="247"/>
      <c r="HY122" s="247"/>
      <c r="HZ122" s="247"/>
      <c r="IA122" s="247"/>
      <c r="IB122" s="247"/>
      <c r="IC122" s="247"/>
      <c r="ID122" s="247"/>
      <c r="IE122" s="247"/>
      <c r="IF122" s="247"/>
      <c r="IG122" s="247"/>
      <c r="IH122" s="247"/>
      <c r="II122" s="247"/>
      <c r="IJ122" s="247"/>
      <c r="IK122" s="247"/>
      <c r="IL122" s="247"/>
      <c r="IM122" s="247"/>
      <c r="IN122" s="247"/>
      <c r="IO122" s="247"/>
      <c r="IP122" s="247"/>
      <c r="IQ122" s="247"/>
      <c r="IR122" s="247"/>
      <c r="IS122" s="247"/>
      <c r="IT122" s="247"/>
      <c r="IU122" s="247"/>
      <c r="IV122" s="247"/>
      <c r="IW122" s="247"/>
      <c r="IX122" s="247"/>
      <c r="JA122" s="253"/>
      <c r="JB122" s="253"/>
      <c r="JC122" s="253"/>
      <c r="JD122" s="254">
        <f>SUM((TEXT(JA122,"[M]")/60)*'Income Person-hours'!$D$3,(TEXT(JB122,"[M]")/60)*'Income Person-hours'!$D$4,(TEXT(JC122,"[M]")/60)*'Income Person-hours'!$D$5)</f>
        <v>0</v>
      </c>
    </row>
    <row r="123" spans="1:264" s="255" customFormat="1" ht="13.5">
      <c r="A123" s="243">
        <v>5.6</v>
      </c>
      <c r="B123" s="241" t="s">
        <v>128</v>
      </c>
      <c r="C123" s="228" t="s">
        <v>79</v>
      </c>
      <c r="D123" s="251" t="str">
        <f>IF(OR(j_WEEKDAY(J_ADDDAY(VLOOKUP(I123,A:F,6,FALSE),H123,1),0)=6,SUMIFS(Holieday[ok],Holieday[date],J_ADDDAY(VLOOKUP(I123,A:F,6,FALSE),H123,1)))=FALSE(),J_ADDDAY(VLOOKUP(I123,A:F,6,FALSE),H123,1),IF(OR(j_WEEKDAY(J_ADDDAY(VLOOKUP(I123,A:F,6,FALSE),H123+1,1),0)=6,SUMIFS(Holieday[ok],Holieday[date],J_ADDDAY(VLOOKUP(I123,A:F,6,FALSE),H123+1,1)))=FALSE(),J_ADDDAY(VLOOKUP(I123,A:F,6,FALSE),H123+1,1),IF(OR(j_WEEKDAY(J_ADDDAY(VLOOKUP(I123,A:F,6,FALSE),H123+2,1),0)=6,SUMIFS(Holieday[ok],Holieday[date],J_ADDDAY(VLOOKUP(I123,A:F,6,FALSE),H123+2,1)))=FALSE(),J_ADDDAY(VLOOKUP(I123,A:F,6,FALSE),H123+2,1),IF(OR(j_WEEKDAY(J_ADDDAY(VLOOKUP(I123,A:F,6,FALSE),H123+3,1),0)=6,SUMIFS(Holieday[ok],Holieday[date],J_ADDDAY(VLOOKUP(I123,A:F,6,FALSE),H123+3,1)))=FALSE(),J_ADDDAY(VLOOKUP(I123,A:F,6,FALSE),H123+3,1),IF(OR(j_WEEKDAY(J_ADDDAY(VLOOKUP(I123,A:F,6,FALSE),H123+4,1),0)=6,SUMIFS(Holieday[ok],Holieday[date],J_ADDDAY(VLOOKUP(I123,A:F,6,FALSE),H123+4,1)))=FALSE(),J_ADDDAY(VLOOKUP(I123,A:F,6,FALSE),H123+4,1),J_ADDDAY(VLOOKUP(I123,A:F,6,FALSE),H123+5,1))))))</f>
        <v>1398/07/23</v>
      </c>
      <c r="E123" s="1">
        <f t="shared" si="33"/>
        <v>13980723</v>
      </c>
      <c r="F123" s="251" t="str">
        <f>IF(N123=0,J_SUBDAY(D123,1,1),IF((N123-NETWORKDAYS.INTL(J_GregorianDate(D123,1),J_GregorianDate(J_SUBDAY(J_ADDDAY(D123,N123,1),1,1),1),16,1)-SUMIFS(Holieday[ok],Holieday[date],CONCATENATE("&gt;","=",D123),Holieday[date],CONCATENATE("&lt;","=",J_SUBDAY(J_ADDDAY(D123,N123,1),1,1)))+SUMIFS(Holieday[Friday],Holieday[date],CONCATENATE("&gt;","=",D123),Holieday[date],CONCATENATE("&lt;","=",J_SUBDAY(J_ADDDAY(D123,N123,1),1,1))))=0,J_SUBDAY(J_ADDDAY(D123,N123,1),1,1),IF((N123-NETWORKDAYS.INTL(J_GregorianDate(D123,1),J_GregorianDate(J_SUBDAY(J_ADDDAY(D123,N123,1),1,1),1),16,1)-SUMIFS(Holieday[ok],Holieday[date],CONCATENATE("&gt;","=",D123),Holieday[date],CONCATENATE("&lt;","=",J_SUBDAY(J_ADDDAY(D123,N123,1),1,1)))+SUMIFS(Holieday[Friday],Holieday[date],CONCATENATE("&gt;","=",D123),Holieday[date],CONCATENATE("&lt;","=",J_SUBDAY(J_ADDDAY(D123,N123,1),1,1))))=1,J_SUBDAY(J_ADDDAY(D123,N123+1,1),1,1),IF((N123-NETWORKDAYS.INTL(J_GregorianDate(D123,1),J_GregorianDate(J_SUBDAY(J_ADDDAY(D123,N123,1),1,1),1),16,1)-SUMIFS(Holieday[ok],Holieday[date],CONCATENATE("&gt;","=",D123),Holieday[date],CONCATENATE("&lt;","=",J_SUBDAY(J_ADDDAY(D123,N123,1),1,1)))+SUMIFS(Holieday[Friday],Holieday[date],CONCATENATE("&gt;","=",D123),Holieday[date],CONCATENATE("&lt;","=",J_SUBDAY(J_ADDDAY(D123,N123,1),1,1))))=2,J_SUBDAY(J_ADDDAY(D123,N123+2,1),1,1),J_SUBDAY(J_ADDDAY(D123,N123+3,1),1,1)))))</f>
        <v>1398/09/20</v>
      </c>
      <c r="G123" s="2">
        <f t="shared" si="30"/>
        <v>13980920</v>
      </c>
      <c r="H123" s="230">
        <v>1</v>
      </c>
      <c r="I123" s="231">
        <v>5.3</v>
      </c>
      <c r="J123" s="245">
        <f>j_WEEKDAY(D123,2)</f>
        <v>3</v>
      </c>
      <c r="K123" s="21">
        <f t="shared" si="41"/>
        <v>0</v>
      </c>
      <c r="L123" s="246">
        <f t="shared" si="38"/>
        <v>58</v>
      </c>
      <c r="M123" s="233">
        <v>0</v>
      </c>
      <c r="N123" s="234">
        <v>55</v>
      </c>
      <c r="O123" s="10">
        <f t="shared" si="39"/>
        <v>0</v>
      </c>
      <c r="P123" s="10">
        <f>VALUE(J_normdate(J_ADDDAY($D123,$O123,1)))</f>
        <v>13980723</v>
      </c>
      <c r="Q123" s="9">
        <f t="shared" si="40"/>
        <v>58</v>
      </c>
      <c r="R123" s="247"/>
      <c r="S123" s="247"/>
      <c r="T123" s="247"/>
      <c r="U123" s="247"/>
      <c r="V123" s="247"/>
      <c r="W123" s="247"/>
      <c r="X123" s="247"/>
      <c r="Y123" s="247"/>
      <c r="Z123" s="247"/>
      <c r="AA123" s="247"/>
      <c r="AB123" s="247"/>
      <c r="AC123" s="247"/>
      <c r="AD123" s="247"/>
      <c r="AE123" s="247"/>
      <c r="AF123" s="247"/>
      <c r="AG123" s="247"/>
      <c r="AH123" s="247"/>
      <c r="AI123" s="247"/>
      <c r="AJ123" s="247"/>
      <c r="AK123" s="247"/>
      <c r="AL123" s="247"/>
      <c r="AM123" s="247"/>
      <c r="AN123" s="247"/>
      <c r="AO123" s="247"/>
      <c r="AP123" s="247"/>
      <c r="AQ123" s="247"/>
      <c r="AR123" s="247"/>
      <c r="AS123" s="247"/>
      <c r="AT123" s="247"/>
      <c r="AU123" s="247"/>
      <c r="AV123" s="247"/>
      <c r="AW123" s="247"/>
      <c r="AX123" s="247"/>
      <c r="AY123" s="247"/>
      <c r="AZ123" s="247"/>
      <c r="BA123" s="247"/>
      <c r="BB123" s="247"/>
      <c r="BC123" s="247"/>
      <c r="BD123" s="247"/>
      <c r="BE123" s="247"/>
      <c r="BF123" s="247"/>
      <c r="BG123" s="247"/>
      <c r="BH123" s="247"/>
      <c r="BI123" s="247"/>
      <c r="BJ123" s="247"/>
      <c r="BK123" s="247"/>
      <c r="BL123" s="247"/>
      <c r="BM123" s="247"/>
      <c r="BN123" s="247"/>
      <c r="BO123" s="247"/>
      <c r="BP123" s="247"/>
      <c r="BQ123" s="247"/>
      <c r="BR123" s="247"/>
      <c r="BS123" s="247"/>
      <c r="BT123" s="247"/>
      <c r="BU123" s="247"/>
      <c r="BV123" s="247"/>
      <c r="BW123" s="247"/>
      <c r="BX123" s="247"/>
      <c r="BY123" s="247"/>
      <c r="BZ123" s="247"/>
      <c r="CA123" s="247"/>
      <c r="CB123" s="247"/>
      <c r="CC123" s="247"/>
      <c r="CD123" s="247"/>
      <c r="CE123" s="247"/>
      <c r="CF123" s="247"/>
      <c r="CG123" s="247"/>
      <c r="CH123" s="247"/>
      <c r="CI123" s="247"/>
      <c r="CJ123" s="247"/>
      <c r="CK123" s="247"/>
      <c r="CL123" s="247"/>
      <c r="CM123" s="247"/>
      <c r="CN123" s="247"/>
      <c r="CO123" s="247"/>
      <c r="CP123" s="247"/>
      <c r="CQ123" s="247"/>
      <c r="CR123" s="247"/>
      <c r="CS123" s="247"/>
      <c r="CT123" s="247"/>
      <c r="CU123" s="247"/>
      <c r="CV123" s="247"/>
      <c r="CW123" s="247"/>
      <c r="CX123" s="247"/>
      <c r="CY123" s="247"/>
      <c r="CZ123" s="247"/>
      <c r="DA123" s="247"/>
      <c r="DB123" s="247"/>
      <c r="DC123" s="247"/>
      <c r="DD123" s="247"/>
      <c r="DE123" s="247"/>
      <c r="DF123" s="247"/>
      <c r="DG123" s="247"/>
      <c r="DH123" s="247"/>
      <c r="DI123" s="247"/>
      <c r="DJ123" s="247"/>
      <c r="DK123" s="247"/>
      <c r="DL123" s="247"/>
      <c r="DM123" s="247"/>
      <c r="DN123" s="247"/>
      <c r="DO123" s="247"/>
      <c r="DP123" s="247"/>
      <c r="DQ123" s="247"/>
      <c r="DR123" s="247"/>
      <c r="DS123" s="247"/>
      <c r="DT123" s="247"/>
      <c r="DU123" s="247"/>
      <c r="DV123" s="247"/>
      <c r="DW123" s="247"/>
      <c r="DX123" s="247"/>
      <c r="DY123" s="247"/>
      <c r="DZ123" s="247"/>
      <c r="EA123" s="247"/>
      <c r="EB123" s="247"/>
      <c r="EC123" s="247"/>
      <c r="ED123" s="247"/>
      <c r="EE123" s="247"/>
      <c r="EF123" s="247"/>
      <c r="EG123" s="247"/>
      <c r="EH123" s="247"/>
      <c r="EI123" s="247"/>
      <c r="EJ123" s="247"/>
      <c r="EK123" s="247"/>
      <c r="EL123" s="247"/>
      <c r="EM123" s="247"/>
      <c r="EN123" s="247"/>
      <c r="EO123" s="247"/>
      <c r="EP123" s="247"/>
      <c r="EQ123" s="247"/>
      <c r="ER123" s="247"/>
      <c r="ES123" s="247"/>
      <c r="ET123" s="247"/>
      <c r="EU123" s="247"/>
      <c r="EV123" s="247"/>
      <c r="EW123" s="247"/>
      <c r="EX123" s="247"/>
      <c r="EY123" s="247"/>
      <c r="EZ123" s="247"/>
      <c r="FA123" s="247"/>
      <c r="FB123" s="247"/>
      <c r="FC123" s="247"/>
      <c r="FD123" s="247"/>
      <c r="FE123" s="247"/>
      <c r="FF123" s="247"/>
      <c r="FG123" s="247"/>
      <c r="FH123" s="247"/>
      <c r="FI123" s="247"/>
      <c r="FJ123" s="247"/>
      <c r="FK123" s="247"/>
      <c r="FL123" s="247"/>
      <c r="FM123" s="247"/>
      <c r="FN123" s="247"/>
      <c r="FO123" s="247"/>
      <c r="FP123" s="247"/>
      <c r="FQ123" s="247"/>
      <c r="FR123" s="247"/>
      <c r="FS123" s="247"/>
      <c r="FT123" s="247"/>
      <c r="FU123" s="247"/>
      <c r="FV123" s="247"/>
      <c r="FW123" s="247"/>
      <c r="FX123" s="247"/>
      <c r="FY123" s="247"/>
      <c r="FZ123" s="247"/>
      <c r="GA123" s="247"/>
      <c r="GB123" s="247"/>
      <c r="GC123" s="247"/>
      <c r="GD123" s="247"/>
      <c r="GE123" s="247"/>
      <c r="GF123" s="247"/>
      <c r="GG123" s="247"/>
      <c r="GH123" s="247"/>
      <c r="GI123" s="247"/>
      <c r="GJ123" s="247"/>
      <c r="GK123" s="247"/>
      <c r="GL123" s="247"/>
      <c r="GM123" s="247"/>
      <c r="GN123" s="247"/>
      <c r="GO123" s="247"/>
      <c r="GP123" s="247"/>
      <c r="GQ123" s="247"/>
      <c r="GR123" s="247"/>
      <c r="GS123" s="247"/>
      <c r="GT123" s="247"/>
      <c r="GU123" s="247"/>
      <c r="GV123" s="247"/>
      <c r="GW123" s="247"/>
      <c r="GX123" s="247"/>
      <c r="GY123" s="247"/>
      <c r="GZ123" s="247"/>
      <c r="HA123" s="247"/>
      <c r="HB123" s="247"/>
      <c r="HC123" s="247"/>
      <c r="HD123" s="247"/>
      <c r="HE123" s="247"/>
      <c r="HF123" s="247"/>
      <c r="HG123" s="247"/>
      <c r="HH123" s="247"/>
      <c r="HI123" s="247"/>
      <c r="HJ123" s="247"/>
      <c r="HK123" s="247"/>
      <c r="HL123" s="247"/>
      <c r="HM123" s="247"/>
      <c r="HN123" s="247"/>
      <c r="HO123" s="247"/>
      <c r="HP123" s="247"/>
      <c r="HQ123" s="247"/>
      <c r="HR123" s="247"/>
      <c r="HS123" s="247"/>
      <c r="HT123" s="247"/>
      <c r="HU123" s="247"/>
      <c r="HV123" s="247"/>
      <c r="HW123" s="247"/>
      <c r="HX123" s="247"/>
      <c r="HY123" s="247"/>
      <c r="HZ123" s="247"/>
      <c r="IA123" s="247"/>
      <c r="IB123" s="247"/>
      <c r="IC123" s="247"/>
      <c r="ID123" s="247"/>
      <c r="IE123" s="247"/>
      <c r="IF123" s="247"/>
      <c r="IG123" s="247"/>
      <c r="IH123" s="247"/>
      <c r="II123" s="247"/>
      <c r="IJ123" s="247"/>
      <c r="IK123" s="247"/>
      <c r="IL123" s="247"/>
      <c r="IM123" s="247"/>
      <c r="IN123" s="247"/>
      <c r="IO123" s="247"/>
      <c r="IP123" s="247"/>
      <c r="IQ123" s="247"/>
      <c r="IR123" s="247"/>
      <c r="IS123" s="247"/>
      <c r="IT123" s="247"/>
      <c r="IU123" s="247"/>
      <c r="IV123" s="247"/>
      <c r="IW123" s="247"/>
      <c r="IX123" s="247"/>
      <c r="JA123" s="238"/>
      <c r="JB123" s="238"/>
      <c r="JC123" s="238"/>
      <c r="JD123" s="254">
        <f>SUM((TEXT(JA123,"[M]")/60)*'Income Person-hours'!$D$3,(TEXT(JB123,"[M]")/60)*'Income Person-hours'!$D$4,(TEXT(JC123,"[M]")/60)*'Income Person-hours'!$D$5)</f>
        <v>0</v>
      </c>
    </row>
    <row r="124" spans="1:264" s="11" customFormat="1" ht="11.25" hidden="1">
      <c r="A124" s="168">
        <v>5.7</v>
      </c>
      <c r="B124" s="106"/>
      <c r="C124" s="107"/>
      <c r="D124" s="12" t="str">
        <f>IF(OR(j_WEEKDAY(J_ADDDAY(VLOOKUP(I124,A:F,6,FALSE),H124,1),0)=6,SUMIFS(Holieday[ok],Holieday[date],J_ADDDAY(VLOOKUP(I124,A:F,6,FALSE),H124,1)))=FALSE(),J_ADDDAY(VLOOKUP(I124,A:F,6,FALSE),H124,1),IF(OR(j_WEEKDAY(J_ADDDAY(VLOOKUP(I124,A:F,6,FALSE),H124+1,1),0)=6,SUMIFS(Holieday[ok],Holieday[date],J_ADDDAY(VLOOKUP(I124,A:F,6,FALSE),H124+1,1)))=FALSE(),J_ADDDAY(VLOOKUP(I124,A:F,6,FALSE),H124+1,1),IF(OR(j_WEEKDAY(J_ADDDAY(VLOOKUP(I124,A:F,6,FALSE),H124+2,1),0)=6,SUMIFS(Holieday[ok],Holieday[date],J_ADDDAY(VLOOKUP(I124,A:F,6,FALSE),H124+2,1)))=FALSE(),J_ADDDAY(VLOOKUP(I124,A:F,6,FALSE),H124+2,1),IF(OR(j_WEEKDAY(J_ADDDAY(VLOOKUP(I124,A:F,6,FALSE),H124+3,1),0)=6,SUMIFS(Holieday[ok],Holieday[date],J_ADDDAY(VLOOKUP(I124,A:F,6,FALSE),H124+3,1)))=FALSE(),J_ADDDAY(VLOOKUP(I124,A:F,6,FALSE),H124+3,1),IF(OR(j_WEEKDAY(J_ADDDAY(VLOOKUP(I124,A:F,6,FALSE),H124+4,1),0)=6,SUMIFS(Holieday[ok],Holieday[date],J_ADDDAY(VLOOKUP(I124,A:F,6,FALSE),H124+4,1)))=FALSE(),J_ADDDAY(VLOOKUP(I124,A:F,6,FALSE),H124+4,1),J_ADDDAY(VLOOKUP(I124,A:F,6,FALSE),H124+5,1))))))</f>
        <v>1398/09/12</v>
      </c>
      <c r="E124" s="1">
        <f t="shared" si="33"/>
        <v>13980912</v>
      </c>
      <c r="F124" s="12" t="str">
        <f>IF(N124=0,J_SUBDAY(D124,1,1),IF((N124-NETWORKDAYS.INTL(J_GregorianDate(D124,1),J_GregorianDate(J_SUBDAY(J_ADDDAY(D124,N124,1),1,1),1),16,1)-SUMIFS(Holieday[ok],Holieday[date],CONCATENATE("&gt;","=",D124),Holieday[date],CONCATENATE("&lt;","=",J_SUBDAY(J_ADDDAY(D124,N124,1),1,1)))+SUMIFS(Holieday[Friday],Holieday[date],CONCATENATE("&gt;","=",D124),Holieday[date],CONCATENATE("&lt;","=",J_SUBDAY(J_ADDDAY(D124,N124,1),1,1))))=0,J_SUBDAY(J_ADDDAY(D124,N124,1),1,1),IF((N124-NETWORKDAYS.INTL(J_GregorianDate(D124,1),J_GregorianDate(J_SUBDAY(J_ADDDAY(D124,N124,1),1,1),1),16,1)-SUMIFS(Holieday[ok],Holieday[date],CONCATENATE("&gt;","=",D124),Holieday[date],CONCATENATE("&lt;","=",J_SUBDAY(J_ADDDAY(D124,N124,1),1,1)))+SUMIFS(Holieday[Friday],Holieday[date],CONCATENATE("&gt;","=",D124),Holieday[date],CONCATENATE("&lt;","=",J_SUBDAY(J_ADDDAY(D124,N124,1),1,1))))=1,J_SUBDAY(J_ADDDAY(D124,N124+1,1),1,1),IF((N124-NETWORKDAYS.INTL(J_GregorianDate(D124,1),J_GregorianDate(J_SUBDAY(J_ADDDAY(D124,N124,1),1,1),1),16,1)-SUMIFS(Holieday[ok],Holieday[date],CONCATENATE("&gt;","=",D124),Holieday[date],CONCATENATE("&lt;","=",J_SUBDAY(J_ADDDAY(D124,N124,1),1,1)))+SUMIFS(Holieday[Friday],Holieday[date],CONCATENATE("&gt;","=",D124),Holieday[date],CONCATENATE("&lt;","=",J_SUBDAY(J_ADDDAY(D124,N124,1),1,1))))=2,J_SUBDAY(J_ADDDAY(D124,N124+2,1),1,1),J_SUBDAY(J_ADDDAY(D124,N124+3,1),1,1)))))</f>
        <v>1398/09/11</v>
      </c>
      <c r="G124" s="2">
        <f t="shared" si="30"/>
        <v>13980911</v>
      </c>
      <c r="H124" s="109">
        <v>-8</v>
      </c>
      <c r="I124" s="110">
        <v>5.6</v>
      </c>
      <c r="J124" s="9">
        <f>j_WEEKDAY(D124,2)</f>
        <v>3</v>
      </c>
      <c r="K124" s="21">
        <f t="shared" si="41"/>
        <v>0</v>
      </c>
      <c r="L124" s="8">
        <f t="shared" si="38"/>
        <v>0</v>
      </c>
      <c r="M124" s="111">
        <v>0</v>
      </c>
      <c r="N124" s="108">
        <v>0</v>
      </c>
      <c r="O124" s="10">
        <f t="shared" si="39"/>
        <v>0</v>
      </c>
      <c r="P124" s="10">
        <f>VALUE(J_normdate(J_ADDDAY($D124,$O124,1)))</f>
        <v>13980912</v>
      </c>
      <c r="Q124" s="9">
        <f t="shared" si="40"/>
        <v>0</v>
      </c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  <c r="DO124" s="7"/>
      <c r="DP124" s="7"/>
      <c r="DQ124" s="7"/>
      <c r="DR124" s="7"/>
      <c r="DS124" s="7"/>
      <c r="DT124" s="7"/>
      <c r="DU124" s="7"/>
      <c r="DV124" s="7"/>
      <c r="DW124" s="7"/>
      <c r="DX124" s="7"/>
      <c r="DY124" s="7"/>
      <c r="DZ124" s="7"/>
      <c r="EA124" s="7"/>
      <c r="EB124" s="7"/>
      <c r="EC124" s="7"/>
      <c r="ED124" s="7"/>
      <c r="EE124" s="7"/>
      <c r="EF124" s="7"/>
      <c r="EG124" s="7"/>
      <c r="EH124" s="7"/>
      <c r="EI124" s="7"/>
      <c r="EJ124" s="7"/>
      <c r="EK124" s="7"/>
      <c r="EL124" s="7"/>
      <c r="EM124" s="7"/>
      <c r="EN124" s="7"/>
      <c r="EO124" s="7"/>
      <c r="EP124" s="7"/>
      <c r="EQ124" s="7"/>
      <c r="ER124" s="7"/>
      <c r="ES124" s="7"/>
      <c r="ET124" s="7"/>
      <c r="EU124" s="7"/>
      <c r="EV124" s="7"/>
      <c r="EW124" s="7"/>
      <c r="EX124" s="7"/>
      <c r="EY124" s="7"/>
      <c r="EZ124" s="7"/>
      <c r="FA124" s="7"/>
      <c r="FB124" s="7"/>
      <c r="FC124" s="7"/>
      <c r="FD124" s="7"/>
      <c r="FE124" s="7"/>
      <c r="FF124" s="7"/>
      <c r="FG124" s="7"/>
      <c r="FH124" s="7"/>
      <c r="FI124" s="7"/>
      <c r="FJ124" s="7"/>
      <c r="FK124" s="7"/>
      <c r="FL124" s="7"/>
      <c r="FM124" s="7"/>
      <c r="FN124" s="7"/>
      <c r="FO124" s="7"/>
      <c r="FP124" s="7"/>
      <c r="FQ124" s="7"/>
      <c r="FR124" s="7"/>
      <c r="FS124" s="7"/>
      <c r="FT124" s="7"/>
      <c r="FU124" s="7"/>
      <c r="FV124" s="7"/>
      <c r="FW124" s="7"/>
      <c r="FX124" s="7"/>
      <c r="FY124" s="7"/>
      <c r="FZ124" s="7"/>
      <c r="GA124" s="7"/>
      <c r="GB124" s="7"/>
      <c r="GC124" s="7"/>
      <c r="GD124" s="7"/>
      <c r="GE124" s="7"/>
      <c r="GF124" s="7"/>
      <c r="GG124" s="7"/>
      <c r="GH124" s="7"/>
      <c r="GI124" s="7"/>
      <c r="GJ124" s="7"/>
      <c r="GK124" s="7"/>
      <c r="GL124" s="7"/>
      <c r="GM124" s="7"/>
      <c r="GN124" s="7"/>
      <c r="GO124" s="7"/>
      <c r="GP124" s="7"/>
      <c r="GQ124" s="7"/>
      <c r="GR124" s="7"/>
      <c r="GS124" s="7"/>
      <c r="GT124" s="7"/>
      <c r="GU124" s="7"/>
      <c r="GV124" s="7"/>
      <c r="GW124" s="7"/>
      <c r="GX124" s="7"/>
      <c r="GY124" s="7"/>
      <c r="GZ124" s="7"/>
      <c r="HA124" s="7"/>
      <c r="HB124" s="7"/>
      <c r="HC124" s="7"/>
      <c r="HD124" s="7"/>
      <c r="HE124" s="7"/>
      <c r="HF124" s="7"/>
      <c r="HG124" s="7"/>
      <c r="HH124" s="7"/>
      <c r="HI124" s="7"/>
      <c r="HJ124" s="7"/>
      <c r="HK124" s="7"/>
      <c r="HL124" s="7"/>
      <c r="HM124" s="7"/>
      <c r="HN124" s="7"/>
      <c r="HO124" s="7"/>
      <c r="HP124" s="7"/>
      <c r="HQ124" s="7"/>
      <c r="HR124" s="7"/>
      <c r="HS124" s="7"/>
      <c r="HT124" s="7"/>
      <c r="HU124" s="7"/>
      <c r="HV124" s="7"/>
      <c r="HW124" s="7"/>
      <c r="HX124" s="7"/>
      <c r="HY124" s="7"/>
      <c r="HZ124" s="7"/>
      <c r="IA124" s="7"/>
      <c r="IB124" s="7"/>
      <c r="IC124" s="7"/>
      <c r="ID124" s="7"/>
      <c r="IE124" s="7"/>
      <c r="IF124" s="7"/>
      <c r="IG124" s="7"/>
      <c r="IH124" s="7"/>
      <c r="II124" s="7"/>
      <c r="IJ124" s="7"/>
      <c r="IK124" s="7"/>
      <c r="IL124" s="7"/>
      <c r="IM124" s="7"/>
      <c r="IN124" s="7"/>
      <c r="IO124" s="7"/>
      <c r="IP124" s="7"/>
      <c r="IQ124" s="7"/>
      <c r="IR124" s="7"/>
      <c r="IS124" s="7"/>
      <c r="IT124" s="7"/>
      <c r="IU124" s="7"/>
      <c r="IV124" s="7"/>
      <c r="IW124" s="7"/>
      <c r="IX124" s="7"/>
      <c r="JA124" s="112"/>
      <c r="JB124" s="112"/>
      <c r="JC124" s="112"/>
      <c r="JD124" s="66">
        <f>SUM((TEXT(JA124,"[M]")/60)*'Income Person-hours'!$D$3,(TEXT(JB124,"[M]")/60)*'Income Person-hours'!$D$4,(TEXT(JC124,"[M]")/60)*'Income Person-hours'!$D$5)</f>
        <v>0</v>
      </c>
    </row>
    <row r="125" spans="1:264" s="11" customFormat="1" ht="11.25" hidden="1">
      <c r="A125" s="168">
        <v>5.8</v>
      </c>
      <c r="B125" s="106"/>
      <c r="C125" s="107"/>
      <c r="D125" s="12" t="str">
        <f>IF(OR(j_WEEKDAY(J_ADDDAY(VLOOKUP(I125,A:F,6,FALSE),H125,1),0)=6,SUMIFS(Holieday[ok],Holieday[date],J_ADDDAY(VLOOKUP(I125,A:F,6,FALSE),H125,1)))=FALSE(),J_ADDDAY(VLOOKUP(I125,A:F,6,FALSE),H125,1),IF(OR(j_WEEKDAY(J_ADDDAY(VLOOKUP(I125,A:F,6,FALSE),H125+1,1),0)=6,SUMIFS(Holieday[ok],Holieday[date],J_ADDDAY(VLOOKUP(I125,A:F,6,FALSE),H125+1,1)))=FALSE(),J_ADDDAY(VLOOKUP(I125,A:F,6,FALSE),H125+1,1),IF(OR(j_WEEKDAY(J_ADDDAY(VLOOKUP(I125,A:F,6,FALSE),H125+2,1),0)=6,SUMIFS(Holieday[ok],Holieday[date],J_ADDDAY(VLOOKUP(I125,A:F,6,FALSE),H125+2,1)))=FALSE(),J_ADDDAY(VLOOKUP(I125,A:F,6,FALSE),H125+2,1),IF(OR(j_WEEKDAY(J_ADDDAY(VLOOKUP(I125,A:F,6,FALSE),H125+3,1),0)=6,SUMIFS(Holieday[ok],Holieday[date],J_ADDDAY(VLOOKUP(I125,A:F,6,FALSE),H125+3,1)))=FALSE(),J_ADDDAY(VLOOKUP(I125,A:F,6,FALSE),H125+3,1),IF(OR(j_WEEKDAY(J_ADDDAY(VLOOKUP(I125,A:F,6,FALSE),H125+4,1),0)=6,SUMIFS(Holieday[ok],Holieday[date],J_ADDDAY(VLOOKUP(I125,A:F,6,FALSE),H125+4,1)))=FALSE(),J_ADDDAY(VLOOKUP(I125,A:F,6,FALSE),H125+4,1),J_ADDDAY(VLOOKUP(I125,A:F,6,FALSE),H125+5,1))))))</f>
        <v>1398/09/11</v>
      </c>
      <c r="E125" s="1">
        <f t="shared" si="33"/>
        <v>13980911</v>
      </c>
      <c r="F125" s="12" t="str">
        <f>IF(N125=0,J_SUBDAY(D125,1,1),IF((N125-NETWORKDAYS.INTL(J_GregorianDate(D125,1),J_GregorianDate(J_SUBDAY(J_ADDDAY(D125,N125,1),1,1),1),16,1)-SUMIFS(Holieday[ok],Holieday[date],CONCATENATE("&gt;","=",D125),Holieday[date],CONCATENATE("&lt;","=",J_SUBDAY(J_ADDDAY(D125,N125,1),1,1)))+SUMIFS(Holieday[Friday],Holieday[date],CONCATENATE("&gt;","=",D125),Holieday[date],CONCATENATE("&lt;","=",J_SUBDAY(J_ADDDAY(D125,N125,1),1,1))))=0,J_SUBDAY(J_ADDDAY(D125,N125,1),1,1),IF((N125-NETWORKDAYS.INTL(J_GregorianDate(D125,1),J_GregorianDate(J_SUBDAY(J_ADDDAY(D125,N125,1),1,1),1),16,1)-SUMIFS(Holieday[ok],Holieday[date],CONCATENATE("&gt;","=",D125),Holieday[date],CONCATENATE("&lt;","=",J_SUBDAY(J_ADDDAY(D125,N125,1),1,1)))+SUMIFS(Holieday[Friday],Holieday[date],CONCATENATE("&gt;","=",D125),Holieday[date],CONCATENATE("&lt;","=",J_SUBDAY(J_ADDDAY(D125,N125,1),1,1))))=1,J_SUBDAY(J_ADDDAY(D125,N125+1,1),1,1),IF((N125-NETWORKDAYS.INTL(J_GregorianDate(D125,1),J_GregorianDate(J_SUBDAY(J_ADDDAY(D125,N125,1),1,1),1),16,1)-SUMIFS(Holieday[ok],Holieday[date],CONCATENATE("&gt;","=",D125),Holieday[date],CONCATENATE("&lt;","=",J_SUBDAY(J_ADDDAY(D125,N125,1),1,1)))+SUMIFS(Holieday[Friday],Holieday[date],CONCATENATE("&gt;","=",D125),Holieday[date],CONCATENATE("&lt;","=",J_SUBDAY(J_ADDDAY(D125,N125,1),1,1))))=2,J_SUBDAY(J_ADDDAY(D125,N125+2,1),1,1),J_SUBDAY(J_ADDDAY(D125,N125+3,1),1,1)))))</f>
        <v>1398/09/10</v>
      </c>
      <c r="G125" s="2">
        <f t="shared" si="30"/>
        <v>13980910</v>
      </c>
      <c r="H125" s="109"/>
      <c r="I125" s="110">
        <v>5.7</v>
      </c>
      <c r="J125" s="9">
        <f>j_WEEKDAY(D125,2)</f>
        <v>2</v>
      </c>
      <c r="K125" s="21">
        <f t="shared" si="41"/>
        <v>0</v>
      </c>
      <c r="L125" s="8">
        <f t="shared" si="38"/>
        <v>0</v>
      </c>
      <c r="M125" s="111">
        <v>0</v>
      </c>
      <c r="N125" s="108">
        <v>0</v>
      </c>
      <c r="O125" s="10">
        <f t="shared" si="39"/>
        <v>0</v>
      </c>
      <c r="P125" s="10">
        <f>VALUE(J_normdate(J_ADDDAY($D125,$O125,1)))</f>
        <v>13980911</v>
      </c>
      <c r="Q125" s="9">
        <f t="shared" si="40"/>
        <v>0</v>
      </c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  <c r="DY125" s="7"/>
      <c r="DZ125" s="7"/>
      <c r="EA125" s="7"/>
      <c r="EB125" s="7"/>
      <c r="EC125" s="7"/>
      <c r="ED125" s="7"/>
      <c r="EE125" s="7"/>
      <c r="EF125" s="7"/>
      <c r="EG125" s="7"/>
      <c r="EH125" s="7"/>
      <c r="EI125" s="7"/>
      <c r="EJ125" s="7"/>
      <c r="EK125" s="7"/>
      <c r="EL125" s="7"/>
      <c r="EM125" s="7"/>
      <c r="EN125" s="7"/>
      <c r="EO125" s="7"/>
      <c r="EP125" s="7"/>
      <c r="EQ125" s="7"/>
      <c r="ER125" s="7"/>
      <c r="ES125" s="7"/>
      <c r="ET125" s="7"/>
      <c r="EU125" s="7"/>
      <c r="EV125" s="7"/>
      <c r="EW125" s="7"/>
      <c r="EX125" s="7"/>
      <c r="EY125" s="7"/>
      <c r="EZ125" s="7"/>
      <c r="FA125" s="7"/>
      <c r="FB125" s="7"/>
      <c r="FC125" s="7"/>
      <c r="FD125" s="7"/>
      <c r="FE125" s="7"/>
      <c r="FF125" s="7"/>
      <c r="FG125" s="7"/>
      <c r="FH125" s="7"/>
      <c r="FI125" s="7"/>
      <c r="FJ125" s="7"/>
      <c r="FK125" s="7"/>
      <c r="FL125" s="7"/>
      <c r="FM125" s="7"/>
      <c r="FN125" s="7"/>
      <c r="FO125" s="7"/>
      <c r="FP125" s="7"/>
      <c r="FQ125" s="7"/>
      <c r="FR125" s="7"/>
      <c r="FS125" s="7"/>
      <c r="FT125" s="7"/>
      <c r="FU125" s="7"/>
      <c r="FV125" s="7"/>
      <c r="FW125" s="7"/>
      <c r="FX125" s="7"/>
      <c r="FY125" s="7"/>
      <c r="FZ125" s="7"/>
      <c r="GA125" s="7"/>
      <c r="GB125" s="7"/>
      <c r="GC125" s="7"/>
      <c r="GD125" s="7"/>
      <c r="GE125" s="7"/>
      <c r="GF125" s="7"/>
      <c r="GG125" s="7"/>
      <c r="GH125" s="7"/>
      <c r="GI125" s="7"/>
      <c r="GJ125" s="7"/>
      <c r="GK125" s="7"/>
      <c r="GL125" s="7"/>
      <c r="GM125" s="7"/>
      <c r="GN125" s="7"/>
      <c r="GO125" s="7"/>
      <c r="GP125" s="7"/>
      <c r="GQ125" s="7"/>
      <c r="GR125" s="7"/>
      <c r="GS125" s="7"/>
      <c r="GT125" s="7"/>
      <c r="GU125" s="7"/>
      <c r="GV125" s="7"/>
      <c r="GW125" s="7"/>
      <c r="GX125" s="7"/>
      <c r="GY125" s="7"/>
      <c r="GZ125" s="7"/>
      <c r="HA125" s="7"/>
      <c r="HB125" s="7"/>
      <c r="HC125" s="7"/>
      <c r="HD125" s="7"/>
      <c r="HE125" s="7"/>
      <c r="HF125" s="7"/>
      <c r="HG125" s="7"/>
      <c r="HH125" s="7"/>
      <c r="HI125" s="7"/>
      <c r="HJ125" s="7"/>
      <c r="HK125" s="7"/>
      <c r="HL125" s="7"/>
      <c r="HM125" s="7"/>
      <c r="HN125" s="7"/>
      <c r="HO125" s="7"/>
      <c r="HP125" s="7"/>
      <c r="HQ125" s="7"/>
      <c r="HR125" s="7"/>
      <c r="HS125" s="7"/>
      <c r="HT125" s="7"/>
      <c r="HU125" s="7"/>
      <c r="HV125" s="7"/>
      <c r="HW125" s="7"/>
      <c r="HX125" s="7"/>
      <c r="HY125" s="7"/>
      <c r="HZ125" s="7"/>
      <c r="IA125" s="7"/>
      <c r="IB125" s="7"/>
      <c r="IC125" s="7"/>
      <c r="ID125" s="7"/>
      <c r="IE125" s="7"/>
      <c r="IF125" s="7"/>
      <c r="IG125" s="7"/>
      <c r="IH125" s="7"/>
      <c r="II125" s="7"/>
      <c r="IJ125" s="7"/>
      <c r="IK125" s="7"/>
      <c r="IL125" s="7"/>
      <c r="IM125" s="7"/>
      <c r="IN125" s="7"/>
      <c r="IO125" s="7"/>
      <c r="IP125" s="7"/>
      <c r="IQ125" s="7"/>
      <c r="IR125" s="7"/>
      <c r="IS125" s="7"/>
      <c r="IT125" s="7"/>
      <c r="IU125" s="7"/>
      <c r="IV125" s="7"/>
      <c r="IW125" s="7"/>
      <c r="IX125" s="7"/>
      <c r="JA125" s="113"/>
      <c r="JB125" s="113"/>
      <c r="JC125" s="113"/>
      <c r="JD125" s="66">
        <f>SUM((TEXT(JA125,"[M]")/60)*'Income Person-hours'!$D$3,(TEXT(JB125,"[M]")/60)*'Income Person-hours'!$D$4,(TEXT(JC125,"[M]")/60)*'Income Person-hours'!$D$5)</f>
        <v>0</v>
      </c>
    </row>
    <row r="126" spans="1:264" s="11" customFormat="1" ht="11.25" hidden="1">
      <c r="A126" s="176">
        <v>5.9</v>
      </c>
      <c r="B126" s="106"/>
      <c r="C126" s="107"/>
      <c r="D126" s="12" t="str">
        <f>IF(OR(j_WEEKDAY(J_ADDDAY(VLOOKUP(I126,A:F,6,FALSE),H126,1),0)=6,SUMIFS(Holieday[ok],Holieday[date],J_ADDDAY(VLOOKUP(I126,A:F,6,FALSE),H126,1)))=FALSE(),J_ADDDAY(VLOOKUP(I126,A:F,6,FALSE),H126,1),IF(OR(j_WEEKDAY(J_ADDDAY(VLOOKUP(I126,A:F,6,FALSE),H126+1,1),0)=6,SUMIFS(Holieday[ok],Holieday[date],J_ADDDAY(VLOOKUP(I126,A:F,6,FALSE),H126+1,1)))=FALSE(),J_ADDDAY(VLOOKUP(I126,A:F,6,FALSE),H126+1,1),IF(OR(j_WEEKDAY(J_ADDDAY(VLOOKUP(I126,A:F,6,FALSE),H126+2,1),0)=6,SUMIFS(Holieday[ok],Holieday[date],J_ADDDAY(VLOOKUP(I126,A:F,6,FALSE),H126+2,1)))=FALSE(),J_ADDDAY(VLOOKUP(I126,A:F,6,FALSE),H126+2,1),IF(OR(j_WEEKDAY(J_ADDDAY(VLOOKUP(I126,A:F,6,FALSE),H126+3,1),0)=6,SUMIFS(Holieday[ok],Holieday[date],J_ADDDAY(VLOOKUP(I126,A:F,6,FALSE),H126+3,1)))=FALSE(),J_ADDDAY(VLOOKUP(I126,A:F,6,FALSE),H126+3,1),IF(OR(j_WEEKDAY(J_ADDDAY(VLOOKUP(I126,A:F,6,FALSE),H126+4,1),0)=6,SUMIFS(Holieday[ok],Holieday[date],J_ADDDAY(VLOOKUP(I126,A:F,6,FALSE),H126+4,1)))=FALSE(),J_ADDDAY(VLOOKUP(I126,A:F,6,FALSE),H126+4,1),J_ADDDAY(VLOOKUP(I126,A:F,6,FALSE),H126+5,1))))))</f>
        <v>1398/09/11</v>
      </c>
      <c r="E126" s="1">
        <f t="shared" si="33"/>
        <v>13980911</v>
      </c>
      <c r="F126" s="12" t="str">
        <f>IF(N126=0,J_SUBDAY(D126,1,1),IF((N126-NETWORKDAYS.INTL(J_GregorianDate(D126,1),J_GregorianDate(J_SUBDAY(J_ADDDAY(D126,N126,1),1,1),1),16,1)-SUMIFS(Holieday[ok],Holieday[date],CONCATENATE("&gt;","=",D126),Holieday[date],CONCATENATE("&lt;","=",J_SUBDAY(J_ADDDAY(D126,N126,1),1,1)))+SUMIFS(Holieday[Friday],Holieday[date],CONCATENATE("&gt;","=",D126),Holieday[date],CONCATENATE("&lt;","=",J_SUBDAY(J_ADDDAY(D126,N126,1),1,1))))=0,J_SUBDAY(J_ADDDAY(D126,N126,1),1,1),IF((N126-NETWORKDAYS.INTL(J_GregorianDate(D126,1),J_GregorianDate(J_SUBDAY(J_ADDDAY(D126,N126,1),1,1),1),16,1)-SUMIFS(Holieday[ok],Holieday[date],CONCATENATE("&gt;","=",D126),Holieday[date],CONCATENATE("&lt;","=",J_SUBDAY(J_ADDDAY(D126,N126,1),1,1)))+SUMIFS(Holieday[Friday],Holieday[date],CONCATENATE("&gt;","=",D126),Holieday[date],CONCATENATE("&lt;","=",J_SUBDAY(J_ADDDAY(D126,N126,1),1,1))))=1,J_SUBDAY(J_ADDDAY(D126,N126+1,1),1,1),IF((N126-NETWORKDAYS.INTL(J_GregorianDate(D126,1),J_GregorianDate(J_SUBDAY(J_ADDDAY(D126,N126,1),1,1),1),16,1)-SUMIFS(Holieday[ok],Holieday[date],CONCATENATE("&gt;","=",D126),Holieday[date],CONCATENATE("&lt;","=",J_SUBDAY(J_ADDDAY(D126,N126,1),1,1)))+SUMIFS(Holieday[Friday],Holieday[date],CONCATENATE("&gt;","=",D126),Holieday[date],CONCATENATE("&lt;","=",J_SUBDAY(J_ADDDAY(D126,N126,1),1,1))))=2,J_SUBDAY(J_ADDDAY(D126,N126+2,1),1,1),J_SUBDAY(J_ADDDAY(D126,N126+3,1),1,1)))))</f>
        <v>1398/09/10</v>
      </c>
      <c r="G126" s="2">
        <f t="shared" si="30"/>
        <v>13980910</v>
      </c>
      <c r="H126" s="109"/>
      <c r="I126" s="110">
        <v>5.7</v>
      </c>
      <c r="J126" s="9">
        <f>j_WEEKDAY(D126,2)</f>
        <v>2</v>
      </c>
      <c r="K126" s="21">
        <f t="shared" si="41"/>
        <v>0</v>
      </c>
      <c r="L126" s="8">
        <f t="shared" si="38"/>
        <v>0</v>
      </c>
      <c r="M126" s="111">
        <v>0</v>
      </c>
      <c r="N126" s="108">
        <v>0</v>
      </c>
      <c r="O126" s="10">
        <f t="shared" si="39"/>
        <v>0</v>
      </c>
      <c r="P126" s="10">
        <f>VALUE(J_normdate(J_ADDDAY($D126,$O126,1)))</f>
        <v>13980911</v>
      </c>
      <c r="Q126" s="9">
        <f t="shared" si="40"/>
        <v>0</v>
      </c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/>
      <c r="DO126" s="7"/>
      <c r="DP126" s="7"/>
      <c r="DQ126" s="7"/>
      <c r="DR126" s="7"/>
      <c r="DS126" s="7"/>
      <c r="DT126" s="7"/>
      <c r="DU126" s="7"/>
      <c r="DV126" s="7"/>
      <c r="DW126" s="7"/>
      <c r="DX126" s="7"/>
      <c r="DY126" s="7"/>
      <c r="DZ126" s="7"/>
      <c r="EA126" s="7"/>
      <c r="EB126" s="7"/>
      <c r="EC126" s="7"/>
      <c r="ED126" s="7"/>
      <c r="EE126" s="7"/>
      <c r="EF126" s="7"/>
      <c r="EG126" s="7"/>
      <c r="EH126" s="7"/>
      <c r="EI126" s="7"/>
      <c r="EJ126" s="7"/>
      <c r="EK126" s="7"/>
      <c r="EL126" s="7"/>
      <c r="EM126" s="7"/>
      <c r="EN126" s="7"/>
      <c r="EO126" s="7"/>
      <c r="EP126" s="7"/>
      <c r="EQ126" s="7"/>
      <c r="ER126" s="7"/>
      <c r="ES126" s="7"/>
      <c r="ET126" s="7"/>
      <c r="EU126" s="7"/>
      <c r="EV126" s="7"/>
      <c r="EW126" s="7"/>
      <c r="EX126" s="7"/>
      <c r="EY126" s="7"/>
      <c r="EZ126" s="7"/>
      <c r="FA126" s="7"/>
      <c r="FB126" s="7"/>
      <c r="FC126" s="7"/>
      <c r="FD126" s="7"/>
      <c r="FE126" s="7"/>
      <c r="FF126" s="7"/>
      <c r="FG126" s="7"/>
      <c r="FH126" s="7"/>
      <c r="FI126" s="7"/>
      <c r="FJ126" s="7"/>
      <c r="FK126" s="7"/>
      <c r="FL126" s="7"/>
      <c r="FM126" s="7"/>
      <c r="FN126" s="7"/>
      <c r="FO126" s="7"/>
      <c r="FP126" s="7"/>
      <c r="FQ126" s="7"/>
      <c r="FR126" s="7"/>
      <c r="FS126" s="7"/>
      <c r="FT126" s="7"/>
      <c r="FU126" s="7"/>
      <c r="FV126" s="7"/>
      <c r="FW126" s="7"/>
      <c r="FX126" s="7"/>
      <c r="FY126" s="7"/>
      <c r="FZ126" s="7"/>
      <c r="GA126" s="7"/>
      <c r="GB126" s="7"/>
      <c r="GC126" s="7"/>
      <c r="GD126" s="7"/>
      <c r="GE126" s="7"/>
      <c r="GF126" s="7"/>
      <c r="GG126" s="7"/>
      <c r="GH126" s="7"/>
      <c r="GI126" s="7"/>
      <c r="GJ126" s="7"/>
      <c r="GK126" s="7"/>
      <c r="GL126" s="7"/>
      <c r="GM126" s="7"/>
      <c r="GN126" s="7"/>
      <c r="GO126" s="7"/>
      <c r="GP126" s="7"/>
      <c r="GQ126" s="7"/>
      <c r="GR126" s="7"/>
      <c r="GS126" s="7"/>
      <c r="GT126" s="7"/>
      <c r="GU126" s="7"/>
      <c r="GV126" s="7"/>
      <c r="GW126" s="7"/>
      <c r="GX126" s="7"/>
      <c r="GY126" s="7"/>
      <c r="GZ126" s="7"/>
      <c r="HA126" s="7"/>
      <c r="HB126" s="7"/>
      <c r="HC126" s="7"/>
      <c r="HD126" s="7"/>
      <c r="HE126" s="7"/>
      <c r="HF126" s="7"/>
      <c r="HG126" s="7"/>
      <c r="HH126" s="7"/>
      <c r="HI126" s="7"/>
      <c r="HJ126" s="7"/>
      <c r="HK126" s="7"/>
      <c r="HL126" s="7"/>
      <c r="HM126" s="7"/>
      <c r="HN126" s="7"/>
      <c r="HO126" s="7"/>
      <c r="HP126" s="7"/>
      <c r="HQ126" s="7"/>
      <c r="HR126" s="7"/>
      <c r="HS126" s="7"/>
      <c r="HT126" s="7"/>
      <c r="HU126" s="7"/>
      <c r="HV126" s="7"/>
      <c r="HW126" s="7"/>
      <c r="HX126" s="7"/>
      <c r="HY126" s="7"/>
      <c r="HZ126" s="7"/>
      <c r="IA126" s="7"/>
      <c r="IB126" s="7"/>
      <c r="IC126" s="7"/>
      <c r="ID126" s="7"/>
      <c r="IE126" s="7"/>
      <c r="IF126" s="7"/>
      <c r="IG126" s="7"/>
      <c r="IH126" s="7"/>
      <c r="II126" s="7"/>
      <c r="IJ126" s="7"/>
      <c r="IK126" s="7"/>
      <c r="IL126" s="7"/>
      <c r="IM126" s="7"/>
      <c r="IN126" s="7"/>
      <c r="IO126" s="7"/>
      <c r="IP126" s="7"/>
      <c r="IQ126" s="7"/>
      <c r="IR126" s="7"/>
      <c r="IS126" s="7"/>
      <c r="IT126" s="7"/>
      <c r="IU126" s="7"/>
      <c r="IV126" s="7"/>
      <c r="IW126" s="7"/>
      <c r="IX126" s="7"/>
      <c r="JA126" s="113"/>
      <c r="JB126" s="113"/>
      <c r="JC126" s="113"/>
      <c r="JD126" s="66">
        <f>SUM((TEXT(JA126,"[M]")/60)*'Income Person-hours'!$D$3,(TEXT(JB126,"[M]")/60)*'Income Person-hours'!$D$4,(TEXT(JC126,"[M]")/60)*'Income Person-hours'!$D$5)</f>
        <v>0</v>
      </c>
    </row>
    <row r="127" spans="1:264" s="11" customFormat="1" ht="11.25" hidden="1">
      <c r="A127" s="30">
        <v>5.1100000000000003</v>
      </c>
      <c r="B127" s="106"/>
      <c r="C127" s="107"/>
      <c r="D127" s="12" t="str">
        <f>IF(OR(j_WEEKDAY(J_ADDDAY(VLOOKUP(I127,A:F,6,FALSE),H127,1),0)=6,SUMIFS(Holieday[ok],Holieday[date],J_ADDDAY(VLOOKUP(I127,A:F,6,FALSE),H127,1)))=FALSE(),J_ADDDAY(VLOOKUP(I127,A:F,6,FALSE),H127,1),IF(OR(j_WEEKDAY(J_ADDDAY(VLOOKUP(I127,A:F,6,FALSE),H127+1,1),0)=6,SUMIFS(Holieday[ok],Holieday[date],J_ADDDAY(VLOOKUP(I127,A:F,6,FALSE),H127+1,1)))=FALSE(),J_ADDDAY(VLOOKUP(I127,A:F,6,FALSE),H127+1,1),IF(OR(j_WEEKDAY(J_ADDDAY(VLOOKUP(I127,A:F,6,FALSE),H127+2,1),0)=6,SUMIFS(Holieday[ok],Holieday[date],J_ADDDAY(VLOOKUP(I127,A:F,6,FALSE),H127+2,1)))=FALSE(),J_ADDDAY(VLOOKUP(I127,A:F,6,FALSE),H127+2,1),IF(OR(j_WEEKDAY(J_ADDDAY(VLOOKUP(I127,A:F,6,FALSE),H127+3,1),0)=6,SUMIFS(Holieday[ok],Holieday[date],J_ADDDAY(VLOOKUP(I127,A:F,6,FALSE),H127+3,1)))=FALSE(),J_ADDDAY(VLOOKUP(I127,A:F,6,FALSE),H127+3,1),IF(OR(j_WEEKDAY(J_ADDDAY(VLOOKUP(I127,A:F,6,FALSE),H127+4,1),0)=6,SUMIFS(Holieday[ok],Holieday[date],J_ADDDAY(VLOOKUP(I127,A:F,6,FALSE),H127+4,1)))=FALSE(),J_ADDDAY(VLOOKUP(I127,A:F,6,FALSE),H127+4,1),J_ADDDAY(VLOOKUP(I127,A:F,6,FALSE),H127+5,1))))))</f>
        <v>1398/09/11</v>
      </c>
      <c r="E127" s="1">
        <f t="shared" ref="E127:E158" si="42">VALUE(J_normdate(D127))</f>
        <v>13980911</v>
      </c>
      <c r="F127" s="12" t="str">
        <f>IF(N127=0,J_SUBDAY(D127,1,1),IF((N127-NETWORKDAYS.INTL(J_GregorianDate(D127,1),J_GregorianDate(J_SUBDAY(J_ADDDAY(D127,N127,1),1,1),1),16,1)-SUMIFS(Holieday[ok],Holieday[date],CONCATENATE("&gt;","=",D127),Holieday[date],CONCATENATE("&lt;","=",J_SUBDAY(J_ADDDAY(D127,N127,1),1,1)))+SUMIFS(Holieday[Friday],Holieday[date],CONCATENATE("&gt;","=",D127),Holieday[date],CONCATENATE("&lt;","=",J_SUBDAY(J_ADDDAY(D127,N127,1),1,1))))=0,J_SUBDAY(J_ADDDAY(D127,N127,1),1,1),IF((N127-NETWORKDAYS.INTL(J_GregorianDate(D127,1),J_GregorianDate(J_SUBDAY(J_ADDDAY(D127,N127,1),1,1),1),16,1)-SUMIFS(Holieday[ok],Holieday[date],CONCATENATE("&gt;","=",D127),Holieday[date],CONCATENATE("&lt;","=",J_SUBDAY(J_ADDDAY(D127,N127,1),1,1)))+SUMIFS(Holieday[Friday],Holieday[date],CONCATENATE("&gt;","=",D127),Holieday[date],CONCATENATE("&lt;","=",J_SUBDAY(J_ADDDAY(D127,N127,1),1,1))))=1,J_SUBDAY(J_ADDDAY(D127,N127+1,1),1,1),IF((N127-NETWORKDAYS.INTL(J_GregorianDate(D127,1),J_GregorianDate(J_SUBDAY(J_ADDDAY(D127,N127,1),1,1),1),16,1)-SUMIFS(Holieday[ok],Holieday[date],CONCATENATE("&gt;","=",D127),Holieday[date],CONCATENATE("&lt;","=",J_SUBDAY(J_ADDDAY(D127,N127,1),1,1)))+SUMIFS(Holieday[Friday],Holieday[date],CONCATENATE("&gt;","=",D127),Holieday[date],CONCATENATE("&lt;","=",J_SUBDAY(J_ADDDAY(D127,N127,1),1,1))))=2,J_SUBDAY(J_ADDDAY(D127,N127+2,1),1,1),J_SUBDAY(J_ADDDAY(D127,N127+3,1),1,1)))))</f>
        <v>1398/09/10</v>
      </c>
      <c r="G127" s="2">
        <f t="shared" ref="G127:G158" si="43">VALUE(J_normdate(F127))</f>
        <v>13980910</v>
      </c>
      <c r="H127" s="109"/>
      <c r="I127" s="110">
        <v>5.7</v>
      </c>
      <c r="J127" s="9">
        <f>j_WEEKDAY(D127,2)</f>
        <v>2</v>
      </c>
      <c r="K127" s="21">
        <f t="shared" si="41"/>
        <v>0</v>
      </c>
      <c r="L127" s="8">
        <f t="shared" si="38"/>
        <v>0</v>
      </c>
      <c r="M127" s="111">
        <v>0</v>
      </c>
      <c r="N127" s="108">
        <v>0</v>
      </c>
      <c r="O127" s="10">
        <f t="shared" si="39"/>
        <v>0</v>
      </c>
      <c r="P127" s="10">
        <f>VALUE(J_normdate(J_ADDDAY($D127,$O127,1)))</f>
        <v>13980911</v>
      </c>
      <c r="Q127" s="9">
        <f t="shared" si="40"/>
        <v>0</v>
      </c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  <c r="DY127" s="7"/>
      <c r="DZ127" s="7"/>
      <c r="EA127" s="7"/>
      <c r="EB127" s="7"/>
      <c r="EC127" s="7"/>
      <c r="ED127" s="7"/>
      <c r="EE127" s="7"/>
      <c r="EF127" s="7"/>
      <c r="EG127" s="7"/>
      <c r="EH127" s="7"/>
      <c r="EI127" s="7"/>
      <c r="EJ127" s="7"/>
      <c r="EK127" s="7"/>
      <c r="EL127" s="7"/>
      <c r="EM127" s="7"/>
      <c r="EN127" s="7"/>
      <c r="EO127" s="7"/>
      <c r="EP127" s="7"/>
      <c r="EQ127" s="7"/>
      <c r="ER127" s="7"/>
      <c r="ES127" s="7"/>
      <c r="ET127" s="7"/>
      <c r="EU127" s="7"/>
      <c r="EV127" s="7"/>
      <c r="EW127" s="7"/>
      <c r="EX127" s="7"/>
      <c r="EY127" s="7"/>
      <c r="EZ127" s="7"/>
      <c r="FA127" s="7"/>
      <c r="FB127" s="7"/>
      <c r="FC127" s="7"/>
      <c r="FD127" s="7"/>
      <c r="FE127" s="7"/>
      <c r="FF127" s="7"/>
      <c r="FG127" s="7"/>
      <c r="FH127" s="7"/>
      <c r="FI127" s="7"/>
      <c r="FJ127" s="7"/>
      <c r="FK127" s="7"/>
      <c r="FL127" s="7"/>
      <c r="FM127" s="7"/>
      <c r="FN127" s="7"/>
      <c r="FO127" s="7"/>
      <c r="FP127" s="7"/>
      <c r="FQ127" s="7"/>
      <c r="FR127" s="7"/>
      <c r="FS127" s="7"/>
      <c r="FT127" s="7"/>
      <c r="FU127" s="7"/>
      <c r="FV127" s="7"/>
      <c r="FW127" s="7"/>
      <c r="FX127" s="7"/>
      <c r="FY127" s="7"/>
      <c r="FZ127" s="7"/>
      <c r="GA127" s="7"/>
      <c r="GB127" s="7"/>
      <c r="GC127" s="7"/>
      <c r="GD127" s="7"/>
      <c r="GE127" s="7"/>
      <c r="GF127" s="7"/>
      <c r="GG127" s="7"/>
      <c r="GH127" s="7"/>
      <c r="GI127" s="7"/>
      <c r="GJ127" s="7"/>
      <c r="GK127" s="7"/>
      <c r="GL127" s="7"/>
      <c r="GM127" s="7"/>
      <c r="GN127" s="7"/>
      <c r="GO127" s="7"/>
      <c r="GP127" s="7"/>
      <c r="GQ127" s="7"/>
      <c r="GR127" s="7"/>
      <c r="GS127" s="7"/>
      <c r="GT127" s="7"/>
      <c r="GU127" s="7"/>
      <c r="GV127" s="7"/>
      <c r="GW127" s="7"/>
      <c r="GX127" s="7"/>
      <c r="GY127" s="7"/>
      <c r="GZ127" s="7"/>
      <c r="HA127" s="7"/>
      <c r="HB127" s="7"/>
      <c r="HC127" s="7"/>
      <c r="HD127" s="7"/>
      <c r="HE127" s="7"/>
      <c r="HF127" s="7"/>
      <c r="HG127" s="7"/>
      <c r="HH127" s="7"/>
      <c r="HI127" s="7"/>
      <c r="HJ127" s="7"/>
      <c r="HK127" s="7"/>
      <c r="HL127" s="7"/>
      <c r="HM127" s="7"/>
      <c r="HN127" s="7"/>
      <c r="HO127" s="7"/>
      <c r="HP127" s="7"/>
      <c r="HQ127" s="7"/>
      <c r="HR127" s="7"/>
      <c r="HS127" s="7"/>
      <c r="HT127" s="7"/>
      <c r="HU127" s="7"/>
      <c r="HV127" s="7"/>
      <c r="HW127" s="7"/>
      <c r="HX127" s="7"/>
      <c r="HY127" s="7"/>
      <c r="HZ127" s="7"/>
      <c r="IA127" s="7"/>
      <c r="IB127" s="7"/>
      <c r="IC127" s="7"/>
      <c r="ID127" s="7"/>
      <c r="IE127" s="7"/>
      <c r="IF127" s="7"/>
      <c r="IG127" s="7"/>
      <c r="IH127" s="7"/>
      <c r="II127" s="7"/>
      <c r="IJ127" s="7"/>
      <c r="IK127" s="7"/>
      <c r="IL127" s="7"/>
      <c r="IM127" s="7"/>
      <c r="IN127" s="7"/>
      <c r="IO127" s="7"/>
      <c r="IP127" s="7"/>
      <c r="IQ127" s="7"/>
      <c r="IR127" s="7"/>
      <c r="IS127" s="7"/>
      <c r="IT127" s="7"/>
      <c r="IU127" s="7"/>
      <c r="IV127" s="7"/>
      <c r="IW127" s="7"/>
      <c r="IX127" s="7"/>
      <c r="JA127" s="113"/>
      <c r="JB127" s="113"/>
      <c r="JC127" s="113"/>
      <c r="JD127" s="66">
        <f>SUM((TEXT(JA127,"[M]")/60)*'Income Person-hours'!$D$3,(TEXT(JB127,"[M]")/60)*'Income Person-hours'!$D$4,(TEXT(JC127,"[M]")/60)*'Income Person-hours'!$D$5)</f>
        <v>0</v>
      </c>
    </row>
    <row r="128" spans="1:264" s="11" customFormat="1" ht="11.25" hidden="1">
      <c r="A128" s="30">
        <v>5.12</v>
      </c>
      <c r="B128" s="106"/>
      <c r="C128" s="107"/>
      <c r="D128" s="12" t="str">
        <f>IF(OR(j_WEEKDAY(J_ADDDAY(VLOOKUP(I128,A:F,6,FALSE),H128,1),0)=6,SUMIFS(Holieday[ok],Holieday[date],J_ADDDAY(VLOOKUP(I128,A:F,6,FALSE),H128,1)))=FALSE(),J_ADDDAY(VLOOKUP(I128,A:F,6,FALSE),H128,1),IF(OR(j_WEEKDAY(J_ADDDAY(VLOOKUP(I128,A:F,6,FALSE),H128+1,1),0)=6,SUMIFS(Holieday[ok],Holieday[date],J_ADDDAY(VLOOKUP(I128,A:F,6,FALSE),H128+1,1)))=FALSE(),J_ADDDAY(VLOOKUP(I128,A:F,6,FALSE),H128+1,1),IF(OR(j_WEEKDAY(J_ADDDAY(VLOOKUP(I128,A:F,6,FALSE),H128+2,1),0)=6,SUMIFS(Holieday[ok],Holieday[date],J_ADDDAY(VLOOKUP(I128,A:F,6,FALSE),H128+2,1)))=FALSE(),J_ADDDAY(VLOOKUP(I128,A:F,6,FALSE),H128+2,1),IF(OR(j_WEEKDAY(J_ADDDAY(VLOOKUP(I128,A:F,6,FALSE),H128+3,1),0)=6,SUMIFS(Holieday[ok],Holieday[date],J_ADDDAY(VLOOKUP(I128,A:F,6,FALSE),H128+3,1)))=FALSE(),J_ADDDAY(VLOOKUP(I128,A:F,6,FALSE),H128+3,1),IF(OR(j_WEEKDAY(J_ADDDAY(VLOOKUP(I128,A:F,6,FALSE),H128+4,1),0)=6,SUMIFS(Holieday[ok],Holieday[date],J_ADDDAY(VLOOKUP(I128,A:F,6,FALSE),H128+4,1)))=FALSE(),J_ADDDAY(VLOOKUP(I128,A:F,6,FALSE),H128+4,1),J_ADDDAY(VLOOKUP(I128,A:F,6,FALSE),H128+5,1))))))</f>
        <v>1398/09/11</v>
      </c>
      <c r="E128" s="1">
        <f t="shared" si="42"/>
        <v>13980911</v>
      </c>
      <c r="F128" s="12" t="str">
        <f>IF(N128=0,J_SUBDAY(D128,1,1),IF((N128-NETWORKDAYS.INTL(J_GregorianDate(D128,1),J_GregorianDate(J_SUBDAY(J_ADDDAY(D128,N128,1),1,1),1),16,1)-SUMIFS(Holieday[ok],Holieday[date],CONCATENATE("&gt;","=",D128),Holieday[date],CONCATENATE("&lt;","=",J_SUBDAY(J_ADDDAY(D128,N128,1),1,1)))+SUMIFS(Holieday[Friday],Holieday[date],CONCATENATE("&gt;","=",D128),Holieday[date],CONCATENATE("&lt;","=",J_SUBDAY(J_ADDDAY(D128,N128,1),1,1))))=0,J_SUBDAY(J_ADDDAY(D128,N128,1),1,1),IF((N128-NETWORKDAYS.INTL(J_GregorianDate(D128,1),J_GregorianDate(J_SUBDAY(J_ADDDAY(D128,N128,1),1,1),1),16,1)-SUMIFS(Holieday[ok],Holieday[date],CONCATENATE("&gt;","=",D128),Holieday[date],CONCATENATE("&lt;","=",J_SUBDAY(J_ADDDAY(D128,N128,1),1,1)))+SUMIFS(Holieday[Friday],Holieday[date],CONCATENATE("&gt;","=",D128),Holieday[date],CONCATENATE("&lt;","=",J_SUBDAY(J_ADDDAY(D128,N128,1),1,1))))=1,J_SUBDAY(J_ADDDAY(D128,N128+1,1),1,1),IF((N128-NETWORKDAYS.INTL(J_GregorianDate(D128,1),J_GregorianDate(J_SUBDAY(J_ADDDAY(D128,N128,1),1,1),1),16,1)-SUMIFS(Holieday[ok],Holieday[date],CONCATENATE("&gt;","=",D128),Holieday[date],CONCATENATE("&lt;","=",J_SUBDAY(J_ADDDAY(D128,N128,1),1,1)))+SUMIFS(Holieday[Friday],Holieday[date],CONCATENATE("&gt;","=",D128),Holieday[date],CONCATENATE("&lt;","=",J_SUBDAY(J_ADDDAY(D128,N128,1),1,1))))=2,J_SUBDAY(J_ADDDAY(D128,N128+2,1),1,1),J_SUBDAY(J_ADDDAY(D128,N128+3,1),1,1)))))</f>
        <v>1398/09/10</v>
      </c>
      <c r="G128" s="2">
        <f t="shared" si="43"/>
        <v>13980910</v>
      </c>
      <c r="H128" s="109"/>
      <c r="I128" s="110">
        <v>5.7</v>
      </c>
      <c r="J128" s="9">
        <f>j_WEEKDAY(D128,2)</f>
        <v>2</v>
      </c>
      <c r="K128" s="21">
        <f t="shared" si="41"/>
        <v>0</v>
      </c>
      <c r="L128" s="8">
        <f t="shared" si="38"/>
        <v>0</v>
      </c>
      <c r="M128" s="111">
        <v>0</v>
      </c>
      <c r="N128" s="108">
        <v>0</v>
      </c>
      <c r="O128" s="10">
        <f t="shared" si="39"/>
        <v>0</v>
      </c>
      <c r="P128" s="10">
        <f>VALUE(J_normdate(J_ADDDAY($D128,$O128,1)))</f>
        <v>13980911</v>
      </c>
      <c r="Q128" s="9">
        <f t="shared" si="40"/>
        <v>0</v>
      </c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  <c r="DY128" s="7"/>
      <c r="DZ128" s="7"/>
      <c r="EA128" s="7"/>
      <c r="EB128" s="7"/>
      <c r="EC128" s="7"/>
      <c r="ED128" s="7"/>
      <c r="EE128" s="7"/>
      <c r="EF128" s="7"/>
      <c r="EG128" s="7"/>
      <c r="EH128" s="7"/>
      <c r="EI128" s="7"/>
      <c r="EJ128" s="7"/>
      <c r="EK128" s="7"/>
      <c r="EL128" s="7"/>
      <c r="EM128" s="7"/>
      <c r="EN128" s="7"/>
      <c r="EO128" s="7"/>
      <c r="EP128" s="7"/>
      <c r="EQ128" s="7"/>
      <c r="ER128" s="7"/>
      <c r="ES128" s="7"/>
      <c r="ET128" s="7"/>
      <c r="EU128" s="7"/>
      <c r="EV128" s="7"/>
      <c r="EW128" s="7"/>
      <c r="EX128" s="7"/>
      <c r="EY128" s="7"/>
      <c r="EZ128" s="7"/>
      <c r="FA128" s="7"/>
      <c r="FB128" s="7"/>
      <c r="FC128" s="7"/>
      <c r="FD128" s="7"/>
      <c r="FE128" s="7"/>
      <c r="FF128" s="7"/>
      <c r="FG128" s="7"/>
      <c r="FH128" s="7"/>
      <c r="FI128" s="7"/>
      <c r="FJ128" s="7"/>
      <c r="FK128" s="7"/>
      <c r="FL128" s="7"/>
      <c r="FM128" s="7"/>
      <c r="FN128" s="7"/>
      <c r="FO128" s="7"/>
      <c r="FP128" s="7"/>
      <c r="FQ128" s="7"/>
      <c r="FR128" s="7"/>
      <c r="FS128" s="7"/>
      <c r="FT128" s="7"/>
      <c r="FU128" s="7"/>
      <c r="FV128" s="7"/>
      <c r="FW128" s="7"/>
      <c r="FX128" s="7"/>
      <c r="FY128" s="7"/>
      <c r="FZ128" s="7"/>
      <c r="GA128" s="7"/>
      <c r="GB128" s="7"/>
      <c r="GC128" s="7"/>
      <c r="GD128" s="7"/>
      <c r="GE128" s="7"/>
      <c r="GF128" s="7"/>
      <c r="GG128" s="7"/>
      <c r="GH128" s="7"/>
      <c r="GI128" s="7"/>
      <c r="GJ128" s="7"/>
      <c r="GK128" s="7"/>
      <c r="GL128" s="7"/>
      <c r="GM128" s="7"/>
      <c r="GN128" s="7"/>
      <c r="GO128" s="7"/>
      <c r="GP128" s="7"/>
      <c r="GQ128" s="7"/>
      <c r="GR128" s="7"/>
      <c r="GS128" s="7"/>
      <c r="GT128" s="7"/>
      <c r="GU128" s="7"/>
      <c r="GV128" s="7"/>
      <c r="GW128" s="7"/>
      <c r="GX128" s="7"/>
      <c r="GY128" s="7"/>
      <c r="GZ128" s="7"/>
      <c r="HA128" s="7"/>
      <c r="HB128" s="7"/>
      <c r="HC128" s="7"/>
      <c r="HD128" s="7"/>
      <c r="HE128" s="7"/>
      <c r="HF128" s="7"/>
      <c r="HG128" s="7"/>
      <c r="HH128" s="7"/>
      <c r="HI128" s="7"/>
      <c r="HJ128" s="7"/>
      <c r="HK128" s="7"/>
      <c r="HL128" s="7"/>
      <c r="HM128" s="7"/>
      <c r="HN128" s="7"/>
      <c r="HO128" s="7"/>
      <c r="HP128" s="7"/>
      <c r="HQ128" s="7"/>
      <c r="HR128" s="7"/>
      <c r="HS128" s="7"/>
      <c r="HT128" s="7"/>
      <c r="HU128" s="7"/>
      <c r="HV128" s="7"/>
      <c r="HW128" s="7"/>
      <c r="HX128" s="7"/>
      <c r="HY128" s="7"/>
      <c r="HZ128" s="7"/>
      <c r="IA128" s="7"/>
      <c r="IB128" s="7"/>
      <c r="IC128" s="7"/>
      <c r="ID128" s="7"/>
      <c r="IE128" s="7"/>
      <c r="IF128" s="7"/>
      <c r="IG128" s="7"/>
      <c r="IH128" s="7"/>
      <c r="II128" s="7"/>
      <c r="IJ128" s="7"/>
      <c r="IK128" s="7"/>
      <c r="IL128" s="7"/>
      <c r="IM128" s="7"/>
      <c r="IN128" s="7"/>
      <c r="IO128" s="7"/>
      <c r="IP128" s="7"/>
      <c r="IQ128" s="7"/>
      <c r="IR128" s="7"/>
      <c r="IS128" s="7"/>
      <c r="IT128" s="7"/>
      <c r="IU128" s="7"/>
      <c r="IV128" s="7"/>
      <c r="IW128" s="7"/>
      <c r="IX128" s="7"/>
      <c r="JA128" s="113"/>
      <c r="JB128" s="113"/>
      <c r="JC128" s="113"/>
      <c r="JD128" s="66">
        <f>SUM((TEXT(JA128,"[M]")/60)*'Income Person-hours'!$D$3,(TEXT(JB128,"[M]")/60)*'Income Person-hours'!$D$4,(TEXT(JC128,"[M]")/60)*'Income Person-hours'!$D$5)</f>
        <v>0</v>
      </c>
    </row>
    <row r="129" spans="1:16382" s="11" customFormat="1" ht="11.25" hidden="1">
      <c r="A129" s="30">
        <v>5.13</v>
      </c>
      <c r="B129" s="106"/>
      <c r="C129" s="107"/>
      <c r="D129" s="12" t="str">
        <f>IF(OR(j_WEEKDAY(J_ADDDAY(VLOOKUP(I129,A:F,6,FALSE),H129,1),0)=6,SUMIFS(Holieday[ok],Holieday[date],J_ADDDAY(VLOOKUP(I129,A:F,6,FALSE),H129,1)))=FALSE(),J_ADDDAY(VLOOKUP(I129,A:F,6,FALSE),H129,1),IF(OR(j_WEEKDAY(J_ADDDAY(VLOOKUP(I129,A:F,6,FALSE),H129+1,1),0)=6,SUMIFS(Holieday[ok],Holieday[date],J_ADDDAY(VLOOKUP(I129,A:F,6,FALSE),H129+1,1)))=FALSE(),J_ADDDAY(VLOOKUP(I129,A:F,6,FALSE),H129+1,1),IF(OR(j_WEEKDAY(J_ADDDAY(VLOOKUP(I129,A:F,6,FALSE),H129+2,1),0)=6,SUMIFS(Holieday[ok],Holieday[date],J_ADDDAY(VLOOKUP(I129,A:F,6,FALSE),H129+2,1)))=FALSE(),J_ADDDAY(VLOOKUP(I129,A:F,6,FALSE),H129+2,1),IF(OR(j_WEEKDAY(J_ADDDAY(VLOOKUP(I129,A:F,6,FALSE),H129+3,1),0)=6,SUMIFS(Holieday[ok],Holieday[date],J_ADDDAY(VLOOKUP(I129,A:F,6,FALSE),H129+3,1)))=FALSE(),J_ADDDAY(VLOOKUP(I129,A:F,6,FALSE),H129+3,1),IF(OR(j_WEEKDAY(J_ADDDAY(VLOOKUP(I129,A:F,6,FALSE),H129+4,1),0)=6,SUMIFS(Holieday[ok],Holieday[date],J_ADDDAY(VLOOKUP(I129,A:F,6,FALSE),H129+4,1)))=FALSE(),J_ADDDAY(VLOOKUP(I129,A:F,6,FALSE),H129+4,1),J_ADDDAY(VLOOKUP(I129,A:F,6,FALSE),H129+5,1))))))</f>
        <v>1398/09/11</v>
      </c>
      <c r="E129" s="1">
        <f t="shared" si="42"/>
        <v>13980911</v>
      </c>
      <c r="F129" s="12" t="str">
        <f>IF(N129=0,J_SUBDAY(D129,1,1),IF((N129-NETWORKDAYS.INTL(J_GregorianDate(D129,1),J_GregorianDate(J_SUBDAY(J_ADDDAY(D129,N129,1),1,1),1),16,1)-SUMIFS(Holieday[ok],Holieday[date],CONCATENATE("&gt;","=",D129),Holieday[date],CONCATENATE("&lt;","=",J_SUBDAY(J_ADDDAY(D129,N129,1),1,1)))+SUMIFS(Holieday[Friday],Holieday[date],CONCATENATE("&gt;","=",D129),Holieday[date],CONCATENATE("&lt;","=",J_SUBDAY(J_ADDDAY(D129,N129,1),1,1))))=0,J_SUBDAY(J_ADDDAY(D129,N129,1),1,1),IF((N129-NETWORKDAYS.INTL(J_GregorianDate(D129,1),J_GregorianDate(J_SUBDAY(J_ADDDAY(D129,N129,1),1,1),1),16,1)-SUMIFS(Holieday[ok],Holieday[date],CONCATENATE("&gt;","=",D129),Holieday[date],CONCATENATE("&lt;","=",J_SUBDAY(J_ADDDAY(D129,N129,1),1,1)))+SUMIFS(Holieday[Friday],Holieday[date],CONCATENATE("&gt;","=",D129),Holieday[date],CONCATENATE("&lt;","=",J_SUBDAY(J_ADDDAY(D129,N129,1),1,1))))=1,J_SUBDAY(J_ADDDAY(D129,N129+1,1),1,1),IF((N129-NETWORKDAYS.INTL(J_GregorianDate(D129,1),J_GregorianDate(J_SUBDAY(J_ADDDAY(D129,N129,1),1,1),1),16,1)-SUMIFS(Holieday[ok],Holieday[date],CONCATENATE("&gt;","=",D129),Holieday[date],CONCATENATE("&lt;","=",J_SUBDAY(J_ADDDAY(D129,N129,1),1,1)))+SUMIFS(Holieday[Friday],Holieday[date],CONCATENATE("&gt;","=",D129),Holieday[date],CONCATENATE("&lt;","=",J_SUBDAY(J_ADDDAY(D129,N129,1),1,1))))=2,J_SUBDAY(J_ADDDAY(D129,N129+2,1),1,1),J_SUBDAY(J_ADDDAY(D129,N129+3,1),1,1)))))</f>
        <v>1398/09/10</v>
      </c>
      <c r="G129" s="2">
        <f t="shared" si="43"/>
        <v>13980910</v>
      </c>
      <c r="H129" s="109"/>
      <c r="I129" s="110">
        <v>5.7</v>
      </c>
      <c r="J129" s="9">
        <f>j_WEEKDAY(D129,2)</f>
        <v>2</v>
      </c>
      <c r="K129" s="21">
        <f t="shared" si="41"/>
        <v>0</v>
      </c>
      <c r="L129" s="8">
        <f t="shared" si="38"/>
        <v>0</v>
      </c>
      <c r="M129" s="111">
        <v>0</v>
      </c>
      <c r="N129" s="108">
        <v>0</v>
      </c>
      <c r="O129" s="10">
        <f t="shared" si="39"/>
        <v>0</v>
      </c>
      <c r="P129" s="10">
        <f>VALUE(J_normdate(J_ADDDAY($D129,$O129,1)))</f>
        <v>13980911</v>
      </c>
      <c r="Q129" s="9">
        <f t="shared" si="40"/>
        <v>0</v>
      </c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  <c r="DY129" s="7"/>
      <c r="DZ129" s="7"/>
      <c r="EA129" s="7"/>
      <c r="EB129" s="7"/>
      <c r="EC129" s="7"/>
      <c r="ED129" s="7"/>
      <c r="EE129" s="7"/>
      <c r="EF129" s="7"/>
      <c r="EG129" s="7"/>
      <c r="EH129" s="7"/>
      <c r="EI129" s="7"/>
      <c r="EJ129" s="7"/>
      <c r="EK129" s="7"/>
      <c r="EL129" s="7"/>
      <c r="EM129" s="7"/>
      <c r="EN129" s="7"/>
      <c r="EO129" s="7"/>
      <c r="EP129" s="7"/>
      <c r="EQ129" s="7"/>
      <c r="ER129" s="7"/>
      <c r="ES129" s="7"/>
      <c r="ET129" s="7"/>
      <c r="EU129" s="7"/>
      <c r="EV129" s="7"/>
      <c r="EW129" s="7"/>
      <c r="EX129" s="7"/>
      <c r="EY129" s="7"/>
      <c r="EZ129" s="7"/>
      <c r="FA129" s="7"/>
      <c r="FB129" s="7"/>
      <c r="FC129" s="7"/>
      <c r="FD129" s="7"/>
      <c r="FE129" s="7"/>
      <c r="FF129" s="7"/>
      <c r="FG129" s="7"/>
      <c r="FH129" s="7"/>
      <c r="FI129" s="7"/>
      <c r="FJ129" s="7"/>
      <c r="FK129" s="7"/>
      <c r="FL129" s="7"/>
      <c r="FM129" s="7"/>
      <c r="FN129" s="7"/>
      <c r="FO129" s="7"/>
      <c r="FP129" s="7"/>
      <c r="FQ129" s="7"/>
      <c r="FR129" s="7"/>
      <c r="FS129" s="7"/>
      <c r="FT129" s="7"/>
      <c r="FU129" s="7"/>
      <c r="FV129" s="7"/>
      <c r="FW129" s="7"/>
      <c r="FX129" s="7"/>
      <c r="FY129" s="7"/>
      <c r="FZ129" s="7"/>
      <c r="GA129" s="7"/>
      <c r="GB129" s="7"/>
      <c r="GC129" s="7"/>
      <c r="GD129" s="7"/>
      <c r="GE129" s="7"/>
      <c r="GF129" s="7"/>
      <c r="GG129" s="7"/>
      <c r="GH129" s="7"/>
      <c r="GI129" s="7"/>
      <c r="GJ129" s="7"/>
      <c r="GK129" s="7"/>
      <c r="GL129" s="7"/>
      <c r="GM129" s="7"/>
      <c r="GN129" s="7"/>
      <c r="GO129" s="7"/>
      <c r="GP129" s="7"/>
      <c r="GQ129" s="7"/>
      <c r="GR129" s="7"/>
      <c r="GS129" s="7"/>
      <c r="GT129" s="7"/>
      <c r="GU129" s="7"/>
      <c r="GV129" s="7"/>
      <c r="GW129" s="7"/>
      <c r="GX129" s="7"/>
      <c r="GY129" s="7"/>
      <c r="GZ129" s="7"/>
      <c r="HA129" s="7"/>
      <c r="HB129" s="7"/>
      <c r="HC129" s="7"/>
      <c r="HD129" s="7"/>
      <c r="HE129" s="7"/>
      <c r="HF129" s="7"/>
      <c r="HG129" s="7"/>
      <c r="HH129" s="7"/>
      <c r="HI129" s="7"/>
      <c r="HJ129" s="7"/>
      <c r="HK129" s="7"/>
      <c r="HL129" s="7"/>
      <c r="HM129" s="7"/>
      <c r="HN129" s="7"/>
      <c r="HO129" s="7"/>
      <c r="HP129" s="7"/>
      <c r="HQ129" s="7"/>
      <c r="HR129" s="7"/>
      <c r="HS129" s="7"/>
      <c r="HT129" s="7"/>
      <c r="HU129" s="7"/>
      <c r="HV129" s="7"/>
      <c r="HW129" s="7"/>
      <c r="HX129" s="7"/>
      <c r="HY129" s="7"/>
      <c r="HZ129" s="7"/>
      <c r="IA129" s="7"/>
      <c r="IB129" s="7"/>
      <c r="IC129" s="7"/>
      <c r="ID129" s="7"/>
      <c r="IE129" s="7"/>
      <c r="IF129" s="7"/>
      <c r="IG129" s="7"/>
      <c r="IH129" s="7"/>
      <c r="II129" s="7"/>
      <c r="IJ129" s="7"/>
      <c r="IK129" s="7"/>
      <c r="IL129" s="7"/>
      <c r="IM129" s="7"/>
      <c r="IN129" s="7"/>
      <c r="IO129" s="7"/>
      <c r="IP129" s="7"/>
      <c r="IQ129" s="7"/>
      <c r="IR129" s="7"/>
      <c r="IS129" s="7"/>
      <c r="IT129" s="7"/>
      <c r="IU129" s="7"/>
      <c r="IV129" s="7"/>
      <c r="IW129" s="7"/>
      <c r="IX129" s="7"/>
      <c r="JA129" s="113"/>
      <c r="JB129" s="113"/>
      <c r="JC129" s="113"/>
      <c r="JD129" s="66">
        <f>SUM((TEXT(JA129,"[M]")/60)*'Income Person-hours'!$D$3,(TEXT(JB129,"[M]")/60)*'Income Person-hours'!$D$4,(TEXT(JC129,"[M]")/60)*'Income Person-hours'!$D$5)</f>
        <v>0</v>
      </c>
    </row>
    <row r="130" spans="1:16382" s="11" customFormat="1" ht="11.25" hidden="1">
      <c r="A130" s="30">
        <v>5.14</v>
      </c>
      <c r="B130" s="106"/>
      <c r="C130" s="107"/>
      <c r="D130" s="12" t="str">
        <f>IF(OR(j_WEEKDAY(J_ADDDAY(VLOOKUP(I130,A:F,6,FALSE),H130,1),0)=6,SUMIFS(Holieday[ok],Holieday[date],J_ADDDAY(VLOOKUP(I130,A:F,6,FALSE),H130,1)))=FALSE(),J_ADDDAY(VLOOKUP(I130,A:F,6,FALSE),H130,1),IF(OR(j_WEEKDAY(J_ADDDAY(VLOOKUP(I130,A:F,6,FALSE),H130+1,1),0)=6,SUMIFS(Holieday[ok],Holieday[date],J_ADDDAY(VLOOKUP(I130,A:F,6,FALSE),H130+1,1)))=FALSE(),J_ADDDAY(VLOOKUP(I130,A:F,6,FALSE),H130+1,1),IF(OR(j_WEEKDAY(J_ADDDAY(VLOOKUP(I130,A:F,6,FALSE),H130+2,1),0)=6,SUMIFS(Holieday[ok],Holieday[date],J_ADDDAY(VLOOKUP(I130,A:F,6,FALSE),H130+2,1)))=FALSE(),J_ADDDAY(VLOOKUP(I130,A:F,6,FALSE),H130+2,1),IF(OR(j_WEEKDAY(J_ADDDAY(VLOOKUP(I130,A:F,6,FALSE),H130+3,1),0)=6,SUMIFS(Holieday[ok],Holieday[date],J_ADDDAY(VLOOKUP(I130,A:F,6,FALSE),H130+3,1)))=FALSE(),J_ADDDAY(VLOOKUP(I130,A:F,6,FALSE),H130+3,1),IF(OR(j_WEEKDAY(J_ADDDAY(VLOOKUP(I130,A:F,6,FALSE),H130+4,1),0)=6,SUMIFS(Holieday[ok],Holieday[date],J_ADDDAY(VLOOKUP(I130,A:F,6,FALSE),H130+4,1)))=FALSE(),J_ADDDAY(VLOOKUP(I130,A:F,6,FALSE),H130+4,1),J_ADDDAY(VLOOKUP(I130,A:F,6,FALSE),H130+5,1))))))</f>
        <v>1398/09/11</v>
      </c>
      <c r="E130" s="1">
        <f t="shared" si="42"/>
        <v>13980911</v>
      </c>
      <c r="F130" s="12" t="str">
        <f>IF(N130=0,J_SUBDAY(D130,1,1),IF((N130-NETWORKDAYS.INTL(J_GregorianDate(D130,1),J_GregorianDate(J_SUBDAY(J_ADDDAY(D130,N130,1),1,1),1),16,1)-SUMIFS(Holieday[ok],Holieday[date],CONCATENATE("&gt;","=",D130),Holieday[date],CONCATENATE("&lt;","=",J_SUBDAY(J_ADDDAY(D130,N130,1),1,1)))+SUMIFS(Holieday[Friday],Holieday[date],CONCATENATE("&gt;","=",D130),Holieday[date],CONCATENATE("&lt;","=",J_SUBDAY(J_ADDDAY(D130,N130,1),1,1))))=0,J_SUBDAY(J_ADDDAY(D130,N130,1),1,1),IF((N130-NETWORKDAYS.INTL(J_GregorianDate(D130,1),J_GregorianDate(J_SUBDAY(J_ADDDAY(D130,N130,1),1,1),1),16,1)-SUMIFS(Holieday[ok],Holieday[date],CONCATENATE("&gt;","=",D130),Holieday[date],CONCATENATE("&lt;","=",J_SUBDAY(J_ADDDAY(D130,N130,1),1,1)))+SUMIFS(Holieday[Friday],Holieday[date],CONCATENATE("&gt;","=",D130),Holieday[date],CONCATENATE("&lt;","=",J_SUBDAY(J_ADDDAY(D130,N130,1),1,1))))=1,J_SUBDAY(J_ADDDAY(D130,N130+1,1),1,1),IF((N130-NETWORKDAYS.INTL(J_GregorianDate(D130,1),J_GregorianDate(J_SUBDAY(J_ADDDAY(D130,N130,1),1,1),1),16,1)-SUMIFS(Holieday[ok],Holieday[date],CONCATENATE("&gt;","=",D130),Holieday[date],CONCATENATE("&lt;","=",J_SUBDAY(J_ADDDAY(D130,N130,1),1,1)))+SUMIFS(Holieday[Friday],Holieday[date],CONCATENATE("&gt;","=",D130),Holieday[date],CONCATENATE("&lt;","=",J_SUBDAY(J_ADDDAY(D130,N130,1),1,1))))=2,J_SUBDAY(J_ADDDAY(D130,N130+2,1),1,1),J_SUBDAY(J_ADDDAY(D130,N130+3,1),1,1)))))</f>
        <v>1398/09/10</v>
      </c>
      <c r="G130" s="2">
        <f t="shared" si="43"/>
        <v>13980910</v>
      </c>
      <c r="H130" s="109"/>
      <c r="I130" s="110">
        <v>5.7</v>
      </c>
      <c r="J130" s="9">
        <f>j_WEEKDAY(D130,2)</f>
        <v>2</v>
      </c>
      <c r="K130" s="21">
        <f t="shared" si="41"/>
        <v>0</v>
      </c>
      <c r="L130" s="8">
        <f t="shared" si="38"/>
        <v>0</v>
      </c>
      <c r="M130" s="111">
        <v>0</v>
      </c>
      <c r="N130" s="108">
        <v>0</v>
      </c>
      <c r="O130" s="10">
        <f t="shared" si="39"/>
        <v>0</v>
      </c>
      <c r="P130" s="10">
        <f>VALUE(J_normdate(J_ADDDAY($D130,$O130,1)))</f>
        <v>13980911</v>
      </c>
      <c r="Q130" s="9">
        <f t="shared" si="40"/>
        <v>0</v>
      </c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  <c r="DY130" s="7"/>
      <c r="DZ130" s="7"/>
      <c r="EA130" s="7"/>
      <c r="EB130" s="7"/>
      <c r="EC130" s="7"/>
      <c r="ED130" s="7"/>
      <c r="EE130" s="7"/>
      <c r="EF130" s="7"/>
      <c r="EG130" s="7"/>
      <c r="EH130" s="7"/>
      <c r="EI130" s="7"/>
      <c r="EJ130" s="7"/>
      <c r="EK130" s="7"/>
      <c r="EL130" s="7"/>
      <c r="EM130" s="7"/>
      <c r="EN130" s="7"/>
      <c r="EO130" s="7"/>
      <c r="EP130" s="7"/>
      <c r="EQ130" s="7"/>
      <c r="ER130" s="7"/>
      <c r="ES130" s="7"/>
      <c r="ET130" s="7"/>
      <c r="EU130" s="7"/>
      <c r="EV130" s="7"/>
      <c r="EW130" s="7"/>
      <c r="EX130" s="7"/>
      <c r="EY130" s="7"/>
      <c r="EZ130" s="7"/>
      <c r="FA130" s="7"/>
      <c r="FB130" s="7"/>
      <c r="FC130" s="7"/>
      <c r="FD130" s="7"/>
      <c r="FE130" s="7"/>
      <c r="FF130" s="7"/>
      <c r="FG130" s="7"/>
      <c r="FH130" s="7"/>
      <c r="FI130" s="7"/>
      <c r="FJ130" s="7"/>
      <c r="FK130" s="7"/>
      <c r="FL130" s="7"/>
      <c r="FM130" s="7"/>
      <c r="FN130" s="7"/>
      <c r="FO130" s="7"/>
      <c r="FP130" s="7"/>
      <c r="FQ130" s="7"/>
      <c r="FR130" s="7"/>
      <c r="FS130" s="7"/>
      <c r="FT130" s="7"/>
      <c r="FU130" s="7"/>
      <c r="FV130" s="7"/>
      <c r="FW130" s="7"/>
      <c r="FX130" s="7"/>
      <c r="FY130" s="7"/>
      <c r="FZ130" s="7"/>
      <c r="GA130" s="7"/>
      <c r="GB130" s="7"/>
      <c r="GC130" s="7"/>
      <c r="GD130" s="7"/>
      <c r="GE130" s="7"/>
      <c r="GF130" s="7"/>
      <c r="GG130" s="7"/>
      <c r="GH130" s="7"/>
      <c r="GI130" s="7"/>
      <c r="GJ130" s="7"/>
      <c r="GK130" s="7"/>
      <c r="GL130" s="7"/>
      <c r="GM130" s="7"/>
      <c r="GN130" s="7"/>
      <c r="GO130" s="7"/>
      <c r="GP130" s="7"/>
      <c r="GQ130" s="7"/>
      <c r="GR130" s="7"/>
      <c r="GS130" s="7"/>
      <c r="GT130" s="7"/>
      <c r="GU130" s="7"/>
      <c r="GV130" s="7"/>
      <c r="GW130" s="7"/>
      <c r="GX130" s="7"/>
      <c r="GY130" s="7"/>
      <c r="GZ130" s="7"/>
      <c r="HA130" s="7"/>
      <c r="HB130" s="7"/>
      <c r="HC130" s="7"/>
      <c r="HD130" s="7"/>
      <c r="HE130" s="7"/>
      <c r="HF130" s="7"/>
      <c r="HG130" s="7"/>
      <c r="HH130" s="7"/>
      <c r="HI130" s="7"/>
      <c r="HJ130" s="7"/>
      <c r="HK130" s="7"/>
      <c r="HL130" s="7"/>
      <c r="HM130" s="7"/>
      <c r="HN130" s="7"/>
      <c r="HO130" s="7"/>
      <c r="HP130" s="7"/>
      <c r="HQ130" s="7"/>
      <c r="HR130" s="7"/>
      <c r="HS130" s="7"/>
      <c r="HT130" s="7"/>
      <c r="HU130" s="7"/>
      <c r="HV130" s="7"/>
      <c r="HW130" s="7"/>
      <c r="HX130" s="7"/>
      <c r="HY130" s="7"/>
      <c r="HZ130" s="7"/>
      <c r="IA130" s="7"/>
      <c r="IB130" s="7"/>
      <c r="IC130" s="7"/>
      <c r="ID130" s="7"/>
      <c r="IE130" s="7"/>
      <c r="IF130" s="7"/>
      <c r="IG130" s="7"/>
      <c r="IH130" s="7"/>
      <c r="II130" s="7"/>
      <c r="IJ130" s="7"/>
      <c r="IK130" s="7"/>
      <c r="IL130" s="7"/>
      <c r="IM130" s="7"/>
      <c r="IN130" s="7"/>
      <c r="IO130" s="7"/>
      <c r="IP130" s="7"/>
      <c r="IQ130" s="7"/>
      <c r="IR130" s="7"/>
      <c r="IS130" s="7"/>
      <c r="IT130" s="7"/>
      <c r="IU130" s="7"/>
      <c r="IV130" s="7"/>
      <c r="IW130" s="7"/>
      <c r="IX130" s="7"/>
      <c r="JA130" s="113"/>
      <c r="JB130" s="113"/>
      <c r="JC130" s="113"/>
      <c r="JD130" s="66">
        <f>SUM((TEXT(JA130,"[M]")/60)*'Income Person-hours'!$D$3,(TEXT(JB130,"[M]")/60)*'Income Person-hours'!$D$4,(TEXT(JC130,"[M]")/60)*'Income Person-hours'!$D$5)</f>
        <v>0</v>
      </c>
    </row>
    <row r="131" spans="1:16382" s="11" customFormat="1" ht="11.25" hidden="1">
      <c r="A131" s="30">
        <v>5.15</v>
      </c>
      <c r="B131" s="116"/>
      <c r="C131" s="107"/>
      <c r="D131" s="12" t="str">
        <f>IF(OR(j_WEEKDAY(J_ADDDAY(VLOOKUP(I131,A:F,6,FALSE),H131,1),0)=6,SUMIFS(Holieday[ok],Holieday[date],J_ADDDAY(VLOOKUP(I131,A:F,6,FALSE),H131,1)))=FALSE(),J_ADDDAY(VLOOKUP(I131,A:F,6,FALSE),H131,1),IF(OR(j_WEEKDAY(J_ADDDAY(VLOOKUP(I131,A:F,6,FALSE),H131+1,1),0)=6,SUMIFS(Holieday[ok],Holieday[date],J_ADDDAY(VLOOKUP(I131,A:F,6,FALSE),H131+1,1)))=FALSE(),J_ADDDAY(VLOOKUP(I131,A:F,6,FALSE),H131+1,1),IF(OR(j_WEEKDAY(J_ADDDAY(VLOOKUP(I131,A:F,6,FALSE),H131+2,1),0)=6,SUMIFS(Holieday[ok],Holieday[date],J_ADDDAY(VLOOKUP(I131,A:F,6,FALSE),H131+2,1)))=FALSE(),J_ADDDAY(VLOOKUP(I131,A:F,6,FALSE),H131+2,1),IF(OR(j_WEEKDAY(J_ADDDAY(VLOOKUP(I131,A:F,6,FALSE),H131+3,1),0)=6,SUMIFS(Holieday[ok],Holieday[date],J_ADDDAY(VLOOKUP(I131,A:F,6,FALSE),H131+3,1)))=FALSE(),J_ADDDAY(VLOOKUP(I131,A:F,6,FALSE),H131+3,1),IF(OR(j_WEEKDAY(J_ADDDAY(VLOOKUP(I131,A:F,6,FALSE),H131+4,1),0)=6,SUMIFS(Holieday[ok],Holieday[date],J_ADDDAY(VLOOKUP(I131,A:F,6,FALSE),H131+4,1)))=FALSE(),J_ADDDAY(VLOOKUP(I131,A:F,6,FALSE),H131+4,1),J_ADDDAY(VLOOKUP(I131,A:F,6,FALSE),H131+5,1))))))</f>
        <v>1398/09/11</v>
      </c>
      <c r="E131" s="1">
        <f t="shared" si="42"/>
        <v>13980911</v>
      </c>
      <c r="F131" s="12" t="str">
        <f>IF(N131=0,J_SUBDAY(D131,1,1),IF((N131-NETWORKDAYS.INTL(J_GregorianDate(D131,1),J_GregorianDate(J_SUBDAY(J_ADDDAY(D131,N131,1),1,1),1),16,1)-SUMIFS(Holieday[ok],Holieday[date],CONCATENATE("&gt;","=",D131),Holieday[date],CONCATENATE("&lt;","=",J_SUBDAY(J_ADDDAY(D131,N131,1),1,1)))+SUMIFS(Holieday[Friday],Holieday[date],CONCATENATE("&gt;","=",D131),Holieday[date],CONCATENATE("&lt;","=",J_SUBDAY(J_ADDDAY(D131,N131,1),1,1))))=0,J_SUBDAY(J_ADDDAY(D131,N131,1),1,1),IF((N131-NETWORKDAYS.INTL(J_GregorianDate(D131,1),J_GregorianDate(J_SUBDAY(J_ADDDAY(D131,N131,1),1,1),1),16,1)-SUMIFS(Holieday[ok],Holieday[date],CONCATENATE("&gt;","=",D131),Holieday[date],CONCATENATE("&lt;","=",J_SUBDAY(J_ADDDAY(D131,N131,1),1,1)))+SUMIFS(Holieday[Friday],Holieday[date],CONCATENATE("&gt;","=",D131),Holieday[date],CONCATENATE("&lt;","=",J_SUBDAY(J_ADDDAY(D131,N131,1),1,1))))=1,J_SUBDAY(J_ADDDAY(D131,N131+1,1),1,1),IF((N131-NETWORKDAYS.INTL(J_GregorianDate(D131,1),J_GregorianDate(J_SUBDAY(J_ADDDAY(D131,N131,1),1,1),1),16,1)-SUMIFS(Holieday[ok],Holieday[date],CONCATENATE("&gt;","=",D131),Holieday[date],CONCATENATE("&lt;","=",J_SUBDAY(J_ADDDAY(D131,N131,1),1,1)))+SUMIFS(Holieday[Friday],Holieday[date],CONCATENATE("&gt;","=",D131),Holieday[date],CONCATENATE("&lt;","=",J_SUBDAY(J_ADDDAY(D131,N131,1),1,1))))=2,J_SUBDAY(J_ADDDAY(D131,N131+2,1),1,1),J_SUBDAY(J_ADDDAY(D131,N131+3,1),1,1)))))</f>
        <v>1398/09/10</v>
      </c>
      <c r="G131" s="2">
        <f t="shared" si="43"/>
        <v>13980910</v>
      </c>
      <c r="H131" s="109"/>
      <c r="I131" s="110">
        <v>5.7</v>
      </c>
      <c r="J131" s="9">
        <f>j_WEEKDAY(D131,2)</f>
        <v>2</v>
      </c>
      <c r="K131" s="21">
        <f t="shared" si="41"/>
        <v>0</v>
      </c>
      <c r="L131" s="8">
        <f t="shared" si="38"/>
        <v>0</v>
      </c>
      <c r="M131" s="111">
        <v>0</v>
      </c>
      <c r="N131" s="108">
        <v>0</v>
      </c>
      <c r="O131" s="10">
        <f t="shared" si="39"/>
        <v>0</v>
      </c>
      <c r="P131" s="10">
        <f>VALUE(J_normdate(J_ADDDAY($D131,$O131,1)))</f>
        <v>13980911</v>
      </c>
      <c r="Q131" s="9">
        <f t="shared" si="40"/>
        <v>0</v>
      </c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  <c r="DR131" s="7"/>
      <c r="DS131" s="7"/>
      <c r="DT131" s="7"/>
      <c r="DU131" s="7"/>
      <c r="DV131" s="7"/>
      <c r="DW131" s="7"/>
      <c r="DX131" s="7"/>
      <c r="DY131" s="7"/>
      <c r="DZ131" s="7"/>
      <c r="EA131" s="7"/>
      <c r="EB131" s="7"/>
      <c r="EC131" s="7"/>
      <c r="ED131" s="7"/>
      <c r="EE131" s="7"/>
      <c r="EF131" s="7"/>
      <c r="EG131" s="7"/>
      <c r="EH131" s="7"/>
      <c r="EI131" s="7"/>
      <c r="EJ131" s="7"/>
      <c r="EK131" s="7"/>
      <c r="EL131" s="7"/>
      <c r="EM131" s="7"/>
      <c r="EN131" s="7"/>
      <c r="EO131" s="7"/>
      <c r="EP131" s="7"/>
      <c r="EQ131" s="7"/>
      <c r="ER131" s="7"/>
      <c r="ES131" s="7"/>
      <c r="ET131" s="7"/>
      <c r="EU131" s="7"/>
      <c r="EV131" s="7"/>
      <c r="EW131" s="7"/>
      <c r="EX131" s="7"/>
      <c r="EY131" s="7"/>
      <c r="EZ131" s="7"/>
      <c r="FA131" s="7"/>
      <c r="FB131" s="7"/>
      <c r="FC131" s="7"/>
      <c r="FD131" s="7"/>
      <c r="FE131" s="7"/>
      <c r="FF131" s="7"/>
      <c r="FG131" s="7"/>
      <c r="FH131" s="7"/>
      <c r="FI131" s="7"/>
      <c r="FJ131" s="7"/>
      <c r="FK131" s="7"/>
      <c r="FL131" s="7"/>
      <c r="FM131" s="7"/>
      <c r="FN131" s="7"/>
      <c r="FO131" s="7"/>
      <c r="FP131" s="7"/>
      <c r="FQ131" s="7"/>
      <c r="FR131" s="7"/>
      <c r="FS131" s="7"/>
      <c r="FT131" s="7"/>
      <c r="FU131" s="7"/>
      <c r="FV131" s="7"/>
      <c r="FW131" s="7"/>
      <c r="FX131" s="7"/>
      <c r="FY131" s="7"/>
      <c r="FZ131" s="7"/>
      <c r="GA131" s="7"/>
      <c r="GB131" s="7"/>
      <c r="GC131" s="7"/>
      <c r="GD131" s="7"/>
      <c r="GE131" s="7"/>
      <c r="GF131" s="7"/>
      <c r="GG131" s="7"/>
      <c r="GH131" s="7"/>
      <c r="GI131" s="7"/>
      <c r="GJ131" s="7"/>
      <c r="GK131" s="7"/>
      <c r="GL131" s="7"/>
      <c r="GM131" s="7"/>
      <c r="GN131" s="7"/>
      <c r="GO131" s="7"/>
      <c r="GP131" s="7"/>
      <c r="GQ131" s="7"/>
      <c r="GR131" s="7"/>
      <c r="GS131" s="7"/>
      <c r="GT131" s="7"/>
      <c r="GU131" s="7"/>
      <c r="GV131" s="7"/>
      <c r="GW131" s="7"/>
      <c r="GX131" s="7"/>
      <c r="GY131" s="7"/>
      <c r="GZ131" s="7"/>
      <c r="HA131" s="7"/>
      <c r="HB131" s="7"/>
      <c r="HC131" s="7"/>
      <c r="HD131" s="7"/>
      <c r="HE131" s="7"/>
      <c r="HF131" s="7"/>
      <c r="HG131" s="7"/>
      <c r="HH131" s="7"/>
      <c r="HI131" s="7"/>
      <c r="HJ131" s="7"/>
      <c r="HK131" s="7"/>
      <c r="HL131" s="7"/>
      <c r="HM131" s="7"/>
      <c r="HN131" s="7"/>
      <c r="HO131" s="7"/>
      <c r="HP131" s="7"/>
      <c r="HQ131" s="7"/>
      <c r="HR131" s="7"/>
      <c r="HS131" s="7"/>
      <c r="HT131" s="7"/>
      <c r="HU131" s="7"/>
      <c r="HV131" s="7"/>
      <c r="HW131" s="7"/>
      <c r="HX131" s="7"/>
      <c r="HY131" s="7"/>
      <c r="HZ131" s="7"/>
      <c r="IA131" s="7"/>
      <c r="IB131" s="7"/>
      <c r="IC131" s="7"/>
      <c r="ID131" s="7"/>
      <c r="IE131" s="7"/>
      <c r="IF131" s="7"/>
      <c r="IG131" s="7"/>
      <c r="IH131" s="7"/>
      <c r="II131" s="7"/>
      <c r="IJ131" s="7"/>
      <c r="IK131" s="7"/>
      <c r="IL131" s="7"/>
      <c r="IM131" s="7"/>
      <c r="IN131" s="7"/>
      <c r="IO131" s="7"/>
      <c r="IP131" s="7"/>
      <c r="IQ131" s="7"/>
      <c r="IR131" s="7"/>
      <c r="IS131" s="7"/>
      <c r="IT131" s="7"/>
      <c r="IU131" s="7"/>
      <c r="IV131" s="7"/>
      <c r="IW131" s="7"/>
      <c r="IX131" s="7"/>
      <c r="JA131" s="113"/>
      <c r="JB131" s="113"/>
      <c r="JC131" s="113"/>
      <c r="JD131" s="66">
        <f>SUM((TEXT(JA131,"[M]")/60)*'Income Person-hours'!$D$3,(TEXT(JB131,"[M]")/60)*'Income Person-hours'!$D$4,(TEXT(JC131,"[M]")/60)*'Income Person-hours'!$D$5)</f>
        <v>0</v>
      </c>
    </row>
    <row r="132" spans="1:16382" s="11" customFormat="1" ht="11.25" hidden="1">
      <c r="A132" s="30">
        <v>5.16</v>
      </c>
      <c r="B132" s="116"/>
      <c r="C132" s="107"/>
      <c r="D132" s="12" t="str">
        <f>IF(OR(j_WEEKDAY(J_ADDDAY(VLOOKUP(I132,A:F,6,FALSE),H132,1),0)=6,SUMIFS(Holieday[ok],Holieday[date],J_ADDDAY(VLOOKUP(I132,A:F,6,FALSE),H132,1)))=FALSE(),J_ADDDAY(VLOOKUP(I132,A:F,6,FALSE),H132,1),IF(OR(j_WEEKDAY(J_ADDDAY(VLOOKUP(I132,A:F,6,FALSE),H132+1,1),0)=6,SUMIFS(Holieday[ok],Holieday[date],J_ADDDAY(VLOOKUP(I132,A:F,6,FALSE),H132+1,1)))=FALSE(),J_ADDDAY(VLOOKUP(I132,A:F,6,FALSE),H132+1,1),IF(OR(j_WEEKDAY(J_ADDDAY(VLOOKUP(I132,A:F,6,FALSE),H132+2,1),0)=6,SUMIFS(Holieday[ok],Holieday[date],J_ADDDAY(VLOOKUP(I132,A:F,6,FALSE),H132+2,1)))=FALSE(),J_ADDDAY(VLOOKUP(I132,A:F,6,FALSE),H132+2,1),IF(OR(j_WEEKDAY(J_ADDDAY(VLOOKUP(I132,A:F,6,FALSE),H132+3,1),0)=6,SUMIFS(Holieday[ok],Holieday[date],J_ADDDAY(VLOOKUP(I132,A:F,6,FALSE),H132+3,1)))=FALSE(),J_ADDDAY(VLOOKUP(I132,A:F,6,FALSE),H132+3,1),IF(OR(j_WEEKDAY(J_ADDDAY(VLOOKUP(I132,A:F,6,FALSE),H132+4,1),0)=6,SUMIFS(Holieday[ok],Holieday[date],J_ADDDAY(VLOOKUP(I132,A:F,6,FALSE),H132+4,1)))=FALSE(),J_ADDDAY(VLOOKUP(I132,A:F,6,FALSE),H132+4,1),J_ADDDAY(VLOOKUP(I132,A:F,6,FALSE),H132+5,1))))))</f>
        <v>1398/09/11</v>
      </c>
      <c r="E132" s="1">
        <f t="shared" si="42"/>
        <v>13980911</v>
      </c>
      <c r="F132" s="12" t="str">
        <f>IF(N132=0,J_SUBDAY(D132,1,1),IF((N132-NETWORKDAYS.INTL(J_GregorianDate(D132,1),J_GregorianDate(J_SUBDAY(J_ADDDAY(D132,N132,1),1,1),1),16,1)-SUMIFS(Holieday[ok],Holieday[date],CONCATENATE("&gt;","=",D132),Holieday[date],CONCATENATE("&lt;","=",J_SUBDAY(J_ADDDAY(D132,N132,1),1,1)))+SUMIFS(Holieday[Friday],Holieday[date],CONCATENATE("&gt;","=",D132),Holieday[date],CONCATENATE("&lt;","=",J_SUBDAY(J_ADDDAY(D132,N132,1),1,1))))=0,J_SUBDAY(J_ADDDAY(D132,N132,1),1,1),IF((N132-NETWORKDAYS.INTL(J_GregorianDate(D132,1),J_GregorianDate(J_SUBDAY(J_ADDDAY(D132,N132,1),1,1),1),16,1)-SUMIFS(Holieday[ok],Holieday[date],CONCATENATE("&gt;","=",D132),Holieday[date],CONCATENATE("&lt;","=",J_SUBDAY(J_ADDDAY(D132,N132,1),1,1)))+SUMIFS(Holieday[Friday],Holieday[date],CONCATENATE("&gt;","=",D132),Holieday[date],CONCATENATE("&lt;","=",J_SUBDAY(J_ADDDAY(D132,N132,1),1,1))))=1,J_SUBDAY(J_ADDDAY(D132,N132+1,1),1,1),IF((N132-NETWORKDAYS.INTL(J_GregorianDate(D132,1),J_GregorianDate(J_SUBDAY(J_ADDDAY(D132,N132,1),1,1),1),16,1)-SUMIFS(Holieday[ok],Holieday[date],CONCATENATE("&gt;","=",D132),Holieday[date],CONCATENATE("&lt;","=",J_SUBDAY(J_ADDDAY(D132,N132,1),1,1)))+SUMIFS(Holieday[Friday],Holieday[date],CONCATENATE("&gt;","=",D132),Holieday[date],CONCATENATE("&lt;","=",J_SUBDAY(J_ADDDAY(D132,N132,1),1,1))))=2,J_SUBDAY(J_ADDDAY(D132,N132+2,1),1,1),J_SUBDAY(J_ADDDAY(D132,N132+3,1),1,1)))))</f>
        <v>1398/09/10</v>
      </c>
      <c r="G132" s="2">
        <f t="shared" si="43"/>
        <v>13980910</v>
      </c>
      <c r="H132" s="109"/>
      <c r="I132" s="110">
        <v>5.7</v>
      </c>
      <c r="J132" s="9">
        <f>j_WEEKDAY(D132,2)</f>
        <v>2</v>
      </c>
      <c r="K132" s="21">
        <f t="shared" si="41"/>
        <v>0</v>
      </c>
      <c r="L132" s="8">
        <f t="shared" si="38"/>
        <v>0</v>
      </c>
      <c r="M132" s="111">
        <v>0</v>
      </c>
      <c r="N132" s="108">
        <v>0</v>
      </c>
      <c r="O132" s="10">
        <f t="shared" si="39"/>
        <v>0</v>
      </c>
      <c r="P132" s="10">
        <f>VALUE(J_normdate(J_ADDDAY($D132,$O132,1)))</f>
        <v>13980911</v>
      </c>
      <c r="Q132" s="9">
        <f t="shared" si="40"/>
        <v>0</v>
      </c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  <c r="DR132" s="7"/>
      <c r="DS132" s="7"/>
      <c r="DT132" s="7"/>
      <c r="DU132" s="7"/>
      <c r="DV132" s="7"/>
      <c r="DW132" s="7"/>
      <c r="DX132" s="7"/>
      <c r="DY132" s="7"/>
      <c r="DZ132" s="7"/>
      <c r="EA132" s="7"/>
      <c r="EB132" s="7"/>
      <c r="EC132" s="7"/>
      <c r="ED132" s="7"/>
      <c r="EE132" s="7"/>
      <c r="EF132" s="7"/>
      <c r="EG132" s="7"/>
      <c r="EH132" s="7"/>
      <c r="EI132" s="7"/>
      <c r="EJ132" s="7"/>
      <c r="EK132" s="7"/>
      <c r="EL132" s="7"/>
      <c r="EM132" s="7"/>
      <c r="EN132" s="7"/>
      <c r="EO132" s="7"/>
      <c r="EP132" s="7"/>
      <c r="EQ132" s="7"/>
      <c r="ER132" s="7"/>
      <c r="ES132" s="7"/>
      <c r="ET132" s="7"/>
      <c r="EU132" s="7"/>
      <c r="EV132" s="7"/>
      <c r="EW132" s="7"/>
      <c r="EX132" s="7"/>
      <c r="EY132" s="7"/>
      <c r="EZ132" s="7"/>
      <c r="FA132" s="7"/>
      <c r="FB132" s="7"/>
      <c r="FC132" s="7"/>
      <c r="FD132" s="7"/>
      <c r="FE132" s="7"/>
      <c r="FF132" s="7"/>
      <c r="FG132" s="7"/>
      <c r="FH132" s="7"/>
      <c r="FI132" s="7"/>
      <c r="FJ132" s="7"/>
      <c r="FK132" s="7"/>
      <c r="FL132" s="7"/>
      <c r="FM132" s="7"/>
      <c r="FN132" s="7"/>
      <c r="FO132" s="7"/>
      <c r="FP132" s="7"/>
      <c r="FQ132" s="7"/>
      <c r="FR132" s="7"/>
      <c r="FS132" s="7"/>
      <c r="FT132" s="7"/>
      <c r="FU132" s="7"/>
      <c r="FV132" s="7"/>
      <c r="FW132" s="7"/>
      <c r="FX132" s="7"/>
      <c r="FY132" s="7"/>
      <c r="FZ132" s="7"/>
      <c r="GA132" s="7"/>
      <c r="GB132" s="7"/>
      <c r="GC132" s="7"/>
      <c r="GD132" s="7"/>
      <c r="GE132" s="7"/>
      <c r="GF132" s="7"/>
      <c r="GG132" s="7"/>
      <c r="GH132" s="7"/>
      <c r="GI132" s="7"/>
      <c r="GJ132" s="7"/>
      <c r="GK132" s="7"/>
      <c r="GL132" s="7"/>
      <c r="GM132" s="7"/>
      <c r="GN132" s="7"/>
      <c r="GO132" s="7"/>
      <c r="GP132" s="7"/>
      <c r="GQ132" s="7"/>
      <c r="GR132" s="7"/>
      <c r="GS132" s="7"/>
      <c r="GT132" s="7"/>
      <c r="GU132" s="7"/>
      <c r="GV132" s="7"/>
      <c r="GW132" s="7"/>
      <c r="GX132" s="7"/>
      <c r="GY132" s="7"/>
      <c r="GZ132" s="7"/>
      <c r="HA132" s="7"/>
      <c r="HB132" s="7"/>
      <c r="HC132" s="7"/>
      <c r="HD132" s="7"/>
      <c r="HE132" s="7"/>
      <c r="HF132" s="7"/>
      <c r="HG132" s="7"/>
      <c r="HH132" s="7"/>
      <c r="HI132" s="7"/>
      <c r="HJ132" s="7"/>
      <c r="HK132" s="7"/>
      <c r="HL132" s="7"/>
      <c r="HM132" s="7"/>
      <c r="HN132" s="7"/>
      <c r="HO132" s="7"/>
      <c r="HP132" s="7"/>
      <c r="HQ132" s="7"/>
      <c r="HR132" s="7"/>
      <c r="HS132" s="7"/>
      <c r="HT132" s="7"/>
      <c r="HU132" s="7"/>
      <c r="HV132" s="7"/>
      <c r="HW132" s="7"/>
      <c r="HX132" s="7"/>
      <c r="HY132" s="7"/>
      <c r="HZ132" s="7"/>
      <c r="IA132" s="7"/>
      <c r="IB132" s="7"/>
      <c r="IC132" s="7"/>
      <c r="ID132" s="7"/>
      <c r="IE132" s="7"/>
      <c r="IF132" s="7"/>
      <c r="IG132" s="7"/>
      <c r="IH132" s="7"/>
      <c r="II132" s="7"/>
      <c r="IJ132" s="7"/>
      <c r="IK132" s="7"/>
      <c r="IL132" s="7"/>
      <c r="IM132" s="7"/>
      <c r="IN132" s="7"/>
      <c r="IO132" s="7"/>
      <c r="IP132" s="7"/>
      <c r="IQ132" s="7"/>
      <c r="IR132" s="7"/>
      <c r="IS132" s="7"/>
      <c r="IT132" s="7"/>
      <c r="IU132" s="7"/>
      <c r="IV132" s="7"/>
      <c r="IW132" s="7"/>
      <c r="IX132" s="7"/>
      <c r="JA132" s="113"/>
      <c r="JB132" s="113"/>
      <c r="JC132" s="113"/>
      <c r="JD132" s="66">
        <f>SUM((TEXT(JA132,"[M]")/60)*'Income Person-hours'!$D$3,(TEXT(JB132,"[M]")/60)*'Income Person-hours'!$D$4,(TEXT(JC132,"[M]")/60)*'Income Person-hours'!$D$5)</f>
        <v>0</v>
      </c>
    </row>
    <row r="133" spans="1:16382" s="11" customFormat="1" ht="11.25" hidden="1">
      <c r="A133" s="30">
        <v>5.17</v>
      </c>
      <c r="B133" s="116"/>
      <c r="C133" s="107"/>
      <c r="D133" s="12" t="str">
        <f>IF(OR(j_WEEKDAY(J_ADDDAY(VLOOKUP(I133,A:F,6,FALSE),H133,1),0)=6,SUMIFS(Holieday[ok],Holieday[date],J_ADDDAY(VLOOKUP(I133,A:F,6,FALSE),H133,1)))=FALSE(),J_ADDDAY(VLOOKUP(I133,A:F,6,FALSE),H133,1),IF(OR(j_WEEKDAY(J_ADDDAY(VLOOKUP(I133,A:F,6,FALSE),H133+1,1),0)=6,SUMIFS(Holieday[ok],Holieday[date],J_ADDDAY(VLOOKUP(I133,A:F,6,FALSE),H133+1,1)))=FALSE(),J_ADDDAY(VLOOKUP(I133,A:F,6,FALSE),H133+1,1),IF(OR(j_WEEKDAY(J_ADDDAY(VLOOKUP(I133,A:F,6,FALSE),H133+2,1),0)=6,SUMIFS(Holieday[ok],Holieday[date],J_ADDDAY(VLOOKUP(I133,A:F,6,FALSE),H133+2,1)))=FALSE(),J_ADDDAY(VLOOKUP(I133,A:F,6,FALSE),H133+2,1),IF(OR(j_WEEKDAY(J_ADDDAY(VLOOKUP(I133,A:F,6,FALSE),H133+3,1),0)=6,SUMIFS(Holieday[ok],Holieday[date],J_ADDDAY(VLOOKUP(I133,A:F,6,FALSE),H133+3,1)))=FALSE(),J_ADDDAY(VLOOKUP(I133,A:F,6,FALSE),H133+3,1),IF(OR(j_WEEKDAY(J_ADDDAY(VLOOKUP(I133,A:F,6,FALSE),H133+4,1),0)=6,SUMIFS(Holieday[ok],Holieday[date],J_ADDDAY(VLOOKUP(I133,A:F,6,FALSE),H133+4,1)))=FALSE(),J_ADDDAY(VLOOKUP(I133,A:F,6,FALSE),H133+4,1),J_ADDDAY(VLOOKUP(I133,A:F,6,FALSE),H133+5,1))))))</f>
        <v>1398/09/11</v>
      </c>
      <c r="E133" s="1">
        <f t="shared" si="42"/>
        <v>13980911</v>
      </c>
      <c r="F133" s="12" t="str">
        <f>IF(N133=0,J_SUBDAY(D133,1,1),IF((N133-NETWORKDAYS.INTL(J_GregorianDate(D133,1),J_GregorianDate(J_SUBDAY(J_ADDDAY(D133,N133,1),1,1),1),16,1)-SUMIFS(Holieday[ok],Holieday[date],CONCATENATE("&gt;","=",D133),Holieday[date],CONCATENATE("&lt;","=",J_SUBDAY(J_ADDDAY(D133,N133,1),1,1)))+SUMIFS(Holieday[Friday],Holieday[date],CONCATENATE("&gt;","=",D133),Holieday[date],CONCATENATE("&lt;","=",J_SUBDAY(J_ADDDAY(D133,N133,1),1,1))))=0,J_SUBDAY(J_ADDDAY(D133,N133,1),1,1),IF((N133-NETWORKDAYS.INTL(J_GregorianDate(D133,1),J_GregorianDate(J_SUBDAY(J_ADDDAY(D133,N133,1),1,1),1),16,1)-SUMIFS(Holieday[ok],Holieday[date],CONCATENATE("&gt;","=",D133),Holieday[date],CONCATENATE("&lt;","=",J_SUBDAY(J_ADDDAY(D133,N133,1),1,1)))+SUMIFS(Holieday[Friday],Holieday[date],CONCATENATE("&gt;","=",D133),Holieday[date],CONCATENATE("&lt;","=",J_SUBDAY(J_ADDDAY(D133,N133,1),1,1))))=1,J_SUBDAY(J_ADDDAY(D133,N133+1,1),1,1),IF((N133-NETWORKDAYS.INTL(J_GregorianDate(D133,1),J_GregorianDate(J_SUBDAY(J_ADDDAY(D133,N133,1),1,1),1),16,1)-SUMIFS(Holieday[ok],Holieday[date],CONCATENATE("&gt;","=",D133),Holieday[date],CONCATENATE("&lt;","=",J_SUBDAY(J_ADDDAY(D133,N133,1),1,1)))+SUMIFS(Holieday[Friday],Holieday[date],CONCATENATE("&gt;","=",D133),Holieday[date],CONCATENATE("&lt;","=",J_SUBDAY(J_ADDDAY(D133,N133,1),1,1))))=2,J_SUBDAY(J_ADDDAY(D133,N133+2,1),1,1),J_SUBDAY(J_ADDDAY(D133,N133+3,1),1,1)))))</f>
        <v>1398/09/10</v>
      </c>
      <c r="G133" s="2">
        <f t="shared" si="43"/>
        <v>13980910</v>
      </c>
      <c r="H133" s="109"/>
      <c r="I133" s="110">
        <v>5.7</v>
      </c>
      <c r="J133" s="9">
        <f>j_WEEKDAY(D133,2)</f>
        <v>2</v>
      </c>
      <c r="K133" s="21">
        <f t="shared" si="41"/>
        <v>0</v>
      </c>
      <c r="L133" s="8">
        <f t="shared" si="38"/>
        <v>0</v>
      </c>
      <c r="M133" s="111">
        <v>0</v>
      </c>
      <c r="N133" s="108">
        <v>0</v>
      </c>
      <c r="O133" s="10">
        <f t="shared" si="39"/>
        <v>0</v>
      </c>
      <c r="P133" s="10">
        <f>VALUE(J_normdate(J_ADDDAY($D133,$O133,1)))</f>
        <v>13980911</v>
      </c>
      <c r="Q133" s="9">
        <f t="shared" si="40"/>
        <v>0</v>
      </c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  <c r="DR133" s="7"/>
      <c r="DS133" s="7"/>
      <c r="DT133" s="7"/>
      <c r="DU133" s="7"/>
      <c r="DV133" s="7"/>
      <c r="DW133" s="7"/>
      <c r="DX133" s="7"/>
      <c r="DY133" s="7"/>
      <c r="DZ133" s="7"/>
      <c r="EA133" s="7"/>
      <c r="EB133" s="7"/>
      <c r="EC133" s="7"/>
      <c r="ED133" s="7"/>
      <c r="EE133" s="7"/>
      <c r="EF133" s="7"/>
      <c r="EG133" s="7"/>
      <c r="EH133" s="7"/>
      <c r="EI133" s="7"/>
      <c r="EJ133" s="7"/>
      <c r="EK133" s="7"/>
      <c r="EL133" s="7"/>
      <c r="EM133" s="7"/>
      <c r="EN133" s="7"/>
      <c r="EO133" s="7"/>
      <c r="EP133" s="7"/>
      <c r="EQ133" s="7"/>
      <c r="ER133" s="7"/>
      <c r="ES133" s="7"/>
      <c r="ET133" s="7"/>
      <c r="EU133" s="7"/>
      <c r="EV133" s="7"/>
      <c r="EW133" s="7"/>
      <c r="EX133" s="7"/>
      <c r="EY133" s="7"/>
      <c r="EZ133" s="7"/>
      <c r="FA133" s="7"/>
      <c r="FB133" s="7"/>
      <c r="FC133" s="7"/>
      <c r="FD133" s="7"/>
      <c r="FE133" s="7"/>
      <c r="FF133" s="7"/>
      <c r="FG133" s="7"/>
      <c r="FH133" s="7"/>
      <c r="FI133" s="7"/>
      <c r="FJ133" s="7"/>
      <c r="FK133" s="7"/>
      <c r="FL133" s="7"/>
      <c r="FM133" s="7"/>
      <c r="FN133" s="7"/>
      <c r="FO133" s="7"/>
      <c r="FP133" s="7"/>
      <c r="FQ133" s="7"/>
      <c r="FR133" s="7"/>
      <c r="FS133" s="7"/>
      <c r="FT133" s="7"/>
      <c r="FU133" s="7"/>
      <c r="FV133" s="7"/>
      <c r="FW133" s="7"/>
      <c r="FX133" s="7"/>
      <c r="FY133" s="7"/>
      <c r="FZ133" s="7"/>
      <c r="GA133" s="7"/>
      <c r="GB133" s="7"/>
      <c r="GC133" s="7"/>
      <c r="GD133" s="7"/>
      <c r="GE133" s="7"/>
      <c r="GF133" s="7"/>
      <c r="GG133" s="7"/>
      <c r="GH133" s="7"/>
      <c r="GI133" s="7"/>
      <c r="GJ133" s="7"/>
      <c r="GK133" s="7"/>
      <c r="GL133" s="7"/>
      <c r="GM133" s="7"/>
      <c r="GN133" s="7"/>
      <c r="GO133" s="7"/>
      <c r="GP133" s="7"/>
      <c r="GQ133" s="7"/>
      <c r="GR133" s="7"/>
      <c r="GS133" s="7"/>
      <c r="GT133" s="7"/>
      <c r="GU133" s="7"/>
      <c r="GV133" s="7"/>
      <c r="GW133" s="7"/>
      <c r="GX133" s="7"/>
      <c r="GY133" s="7"/>
      <c r="GZ133" s="7"/>
      <c r="HA133" s="7"/>
      <c r="HB133" s="7"/>
      <c r="HC133" s="7"/>
      <c r="HD133" s="7"/>
      <c r="HE133" s="7"/>
      <c r="HF133" s="7"/>
      <c r="HG133" s="7"/>
      <c r="HH133" s="7"/>
      <c r="HI133" s="7"/>
      <c r="HJ133" s="7"/>
      <c r="HK133" s="7"/>
      <c r="HL133" s="7"/>
      <c r="HM133" s="7"/>
      <c r="HN133" s="7"/>
      <c r="HO133" s="7"/>
      <c r="HP133" s="7"/>
      <c r="HQ133" s="7"/>
      <c r="HR133" s="7"/>
      <c r="HS133" s="7"/>
      <c r="HT133" s="7"/>
      <c r="HU133" s="7"/>
      <c r="HV133" s="7"/>
      <c r="HW133" s="7"/>
      <c r="HX133" s="7"/>
      <c r="HY133" s="7"/>
      <c r="HZ133" s="7"/>
      <c r="IA133" s="7"/>
      <c r="IB133" s="7"/>
      <c r="IC133" s="7"/>
      <c r="ID133" s="7"/>
      <c r="IE133" s="7"/>
      <c r="IF133" s="7"/>
      <c r="IG133" s="7"/>
      <c r="IH133" s="7"/>
      <c r="II133" s="7"/>
      <c r="IJ133" s="7"/>
      <c r="IK133" s="7"/>
      <c r="IL133" s="7"/>
      <c r="IM133" s="7"/>
      <c r="IN133" s="7"/>
      <c r="IO133" s="7"/>
      <c r="IP133" s="7"/>
      <c r="IQ133" s="7"/>
      <c r="IR133" s="7"/>
      <c r="IS133" s="7"/>
      <c r="IT133" s="7"/>
      <c r="IU133" s="7"/>
      <c r="IV133" s="7"/>
      <c r="IW133" s="7"/>
      <c r="IX133" s="7"/>
      <c r="JA133" s="113"/>
      <c r="JB133" s="113"/>
      <c r="JC133" s="113"/>
      <c r="JD133" s="66">
        <f>SUM((TEXT(JA133,"[M]")/60)*'Income Person-hours'!$D$3,(TEXT(JB133,"[M]")/60)*'Income Person-hours'!$D$4,(TEXT(JC133,"[M]")/60)*'Income Person-hours'!$D$5)</f>
        <v>0</v>
      </c>
    </row>
    <row r="134" spans="1:16382" s="11" customFormat="1" ht="11.25" hidden="1">
      <c r="A134" s="30">
        <v>5.18</v>
      </c>
      <c r="B134" s="116"/>
      <c r="C134" s="107"/>
      <c r="D134" s="12" t="str">
        <f>IF(OR(j_WEEKDAY(J_ADDDAY(VLOOKUP(I134,A:F,6,FALSE),H134,1),0)=6,SUMIFS(Holieday[ok],Holieday[date],J_ADDDAY(VLOOKUP(I134,A:F,6,FALSE),H134,1)))=FALSE(),J_ADDDAY(VLOOKUP(I134,A:F,6,FALSE),H134,1),IF(OR(j_WEEKDAY(J_ADDDAY(VLOOKUP(I134,A:F,6,FALSE),H134+1,1),0)=6,SUMIFS(Holieday[ok],Holieday[date],J_ADDDAY(VLOOKUP(I134,A:F,6,FALSE),H134+1,1)))=FALSE(),J_ADDDAY(VLOOKUP(I134,A:F,6,FALSE),H134+1,1),IF(OR(j_WEEKDAY(J_ADDDAY(VLOOKUP(I134,A:F,6,FALSE),H134+2,1),0)=6,SUMIFS(Holieday[ok],Holieday[date],J_ADDDAY(VLOOKUP(I134,A:F,6,FALSE),H134+2,1)))=FALSE(),J_ADDDAY(VLOOKUP(I134,A:F,6,FALSE),H134+2,1),IF(OR(j_WEEKDAY(J_ADDDAY(VLOOKUP(I134,A:F,6,FALSE),H134+3,1),0)=6,SUMIFS(Holieday[ok],Holieday[date],J_ADDDAY(VLOOKUP(I134,A:F,6,FALSE),H134+3,1)))=FALSE(),J_ADDDAY(VLOOKUP(I134,A:F,6,FALSE),H134+3,1),IF(OR(j_WEEKDAY(J_ADDDAY(VLOOKUP(I134,A:F,6,FALSE),H134+4,1),0)=6,SUMIFS(Holieday[ok],Holieday[date],J_ADDDAY(VLOOKUP(I134,A:F,6,FALSE),H134+4,1)))=FALSE(),J_ADDDAY(VLOOKUP(I134,A:F,6,FALSE),H134+4,1),J_ADDDAY(VLOOKUP(I134,A:F,6,FALSE),H134+5,1))))))</f>
        <v>1398/09/11</v>
      </c>
      <c r="E134" s="1">
        <f t="shared" si="42"/>
        <v>13980911</v>
      </c>
      <c r="F134" s="12" t="str">
        <f>IF(N134=0,J_SUBDAY(D134,1,1),IF((N134-NETWORKDAYS.INTL(J_GregorianDate(D134,1),J_GregorianDate(J_SUBDAY(J_ADDDAY(D134,N134,1),1,1),1),16,1)-SUMIFS(Holieday[ok],Holieday[date],CONCATENATE("&gt;","=",D134),Holieday[date],CONCATENATE("&lt;","=",J_SUBDAY(J_ADDDAY(D134,N134,1),1,1)))+SUMIFS(Holieday[Friday],Holieday[date],CONCATENATE("&gt;","=",D134),Holieday[date],CONCATENATE("&lt;","=",J_SUBDAY(J_ADDDAY(D134,N134,1),1,1))))=0,J_SUBDAY(J_ADDDAY(D134,N134,1),1,1),IF((N134-NETWORKDAYS.INTL(J_GregorianDate(D134,1),J_GregorianDate(J_SUBDAY(J_ADDDAY(D134,N134,1),1,1),1),16,1)-SUMIFS(Holieday[ok],Holieday[date],CONCATENATE("&gt;","=",D134),Holieday[date],CONCATENATE("&lt;","=",J_SUBDAY(J_ADDDAY(D134,N134,1),1,1)))+SUMIFS(Holieday[Friday],Holieday[date],CONCATENATE("&gt;","=",D134),Holieday[date],CONCATENATE("&lt;","=",J_SUBDAY(J_ADDDAY(D134,N134,1),1,1))))=1,J_SUBDAY(J_ADDDAY(D134,N134+1,1),1,1),IF((N134-NETWORKDAYS.INTL(J_GregorianDate(D134,1),J_GregorianDate(J_SUBDAY(J_ADDDAY(D134,N134,1),1,1),1),16,1)-SUMIFS(Holieday[ok],Holieday[date],CONCATENATE("&gt;","=",D134),Holieday[date],CONCATENATE("&lt;","=",J_SUBDAY(J_ADDDAY(D134,N134,1),1,1)))+SUMIFS(Holieday[Friday],Holieday[date],CONCATENATE("&gt;","=",D134),Holieday[date],CONCATENATE("&lt;","=",J_SUBDAY(J_ADDDAY(D134,N134,1),1,1))))=2,J_SUBDAY(J_ADDDAY(D134,N134+2,1),1,1),J_SUBDAY(J_ADDDAY(D134,N134+3,1),1,1)))))</f>
        <v>1398/09/10</v>
      </c>
      <c r="G134" s="2">
        <f t="shared" si="43"/>
        <v>13980910</v>
      </c>
      <c r="H134" s="109"/>
      <c r="I134" s="110">
        <v>5.7</v>
      </c>
      <c r="J134" s="9">
        <f>j_WEEKDAY(D134,2)</f>
        <v>2</v>
      </c>
      <c r="K134" s="21">
        <f t="shared" si="41"/>
        <v>0</v>
      </c>
      <c r="L134" s="8">
        <f t="shared" si="38"/>
        <v>0</v>
      </c>
      <c r="M134" s="111">
        <v>0</v>
      </c>
      <c r="N134" s="108">
        <v>0</v>
      </c>
      <c r="O134" s="10">
        <f t="shared" si="39"/>
        <v>0</v>
      </c>
      <c r="P134" s="10">
        <f>VALUE(J_normdate(J_ADDDAY($D134,$O134,1)))</f>
        <v>13980911</v>
      </c>
      <c r="Q134" s="9">
        <f t="shared" si="40"/>
        <v>0</v>
      </c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  <c r="DR134" s="7"/>
      <c r="DS134" s="7"/>
      <c r="DT134" s="7"/>
      <c r="DU134" s="7"/>
      <c r="DV134" s="7"/>
      <c r="DW134" s="7"/>
      <c r="DX134" s="7"/>
      <c r="DY134" s="7"/>
      <c r="DZ134" s="7"/>
      <c r="EA134" s="7"/>
      <c r="EB134" s="7"/>
      <c r="EC134" s="7"/>
      <c r="ED134" s="7"/>
      <c r="EE134" s="7"/>
      <c r="EF134" s="7"/>
      <c r="EG134" s="7"/>
      <c r="EH134" s="7"/>
      <c r="EI134" s="7"/>
      <c r="EJ134" s="7"/>
      <c r="EK134" s="7"/>
      <c r="EL134" s="7"/>
      <c r="EM134" s="7"/>
      <c r="EN134" s="7"/>
      <c r="EO134" s="7"/>
      <c r="EP134" s="7"/>
      <c r="EQ134" s="7"/>
      <c r="ER134" s="7"/>
      <c r="ES134" s="7"/>
      <c r="ET134" s="7"/>
      <c r="EU134" s="7"/>
      <c r="EV134" s="7"/>
      <c r="EW134" s="7"/>
      <c r="EX134" s="7"/>
      <c r="EY134" s="7"/>
      <c r="EZ134" s="7"/>
      <c r="FA134" s="7"/>
      <c r="FB134" s="7"/>
      <c r="FC134" s="7"/>
      <c r="FD134" s="7"/>
      <c r="FE134" s="7"/>
      <c r="FF134" s="7"/>
      <c r="FG134" s="7"/>
      <c r="FH134" s="7"/>
      <c r="FI134" s="7"/>
      <c r="FJ134" s="7"/>
      <c r="FK134" s="7"/>
      <c r="FL134" s="7"/>
      <c r="FM134" s="7"/>
      <c r="FN134" s="7"/>
      <c r="FO134" s="7"/>
      <c r="FP134" s="7"/>
      <c r="FQ134" s="7"/>
      <c r="FR134" s="7"/>
      <c r="FS134" s="7"/>
      <c r="FT134" s="7"/>
      <c r="FU134" s="7"/>
      <c r="FV134" s="7"/>
      <c r="FW134" s="7"/>
      <c r="FX134" s="7"/>
      <c r="FY134" s="7"/>
      <c r="FZ134" s="7"/>
      <c r="GA134" s="7"/>
      <c r="GB134" s="7"/>
      <c r="GC134" s="7"/>
      <c r="GD134" s="7"/>
      <c r="GE134" s="7"/>
      <c r="GF134" s="7"/>
      <c r="GG134" s="7"/>
      <c r="GH134" s="7"/>
      <c r="GI134" s="7"/>
      <c r="GJ134" s="7"/>
      <c r="GK134" s="7"/>
      <c r="GL134" s="7"/>
      <c r="GM134" s="7"/>
      <c r="GN134" s="7"/>
      <c r="GO134" s="7"/>
      <c r="GP134" s="7"/>
      <c r="GQ134" s="7"/>
      <c r="GR134" s="7"/>
      <c r="GS134" s="7"/>
      <c r="GT134" s="7"/>
      <c r="GU134" s="7"/>
      <c r="GV134" s="7"/>
      <c r="GW134" s="7"/>
      <c r="GX134" s="7"/>
      <c r="GY134" s="7"/>
      <c r="GZ134" s="7"/>
      <c r="HA134" s="7"/>
      <c r="HB134" s="7"/>
      <c r="HC134" s="7"/>
      <c r="HD134" s="7"/>
      <c r="HE134" s="7"/>
      <c r="HF134" s="7"/>
      <c r="HG134" s="7"/>
      <c r="HH134" s="7"/>
      <c r="HI134" s="7"/>
      <c r="HJ134" s="7"/>
      <c r="HK134" s="7"/>
      <c r="HL134" s="7"/>
      <c r="HM134" s="7"/>
      <c r="HN134" s="7"/>
      <c r="HO134" s="7"/>
      <c r="HP134" s="7"/>
      <c r="HQ134" s="7"/>
      <c r="HR134" s="7"/>
      <c r="HS134" s="7"/>
      <c r="HT134" s="7"/>
      <c r="HU134" s="7"/>
      <c r="HV134" s="7"/>
      <c r="HW134" s="7"/>
      <c r="HX134" s="7"/>
      <c r="HY134" s="7"/>
      <c r="HZ134" s="7"/>
      <c r="IA134" s="7"/>
      <c r="IB134" s="7"/>
      <c r="IC134" s="7"/>
      <c r="ID134" s="7"/>
      <c r="IE134" s="7"/>
      <c r="IF134" s="7"/>
      <c r="IG134" s="7"/>
      <c r="IH134" s="7"/>
      <c r="II134" s="7"/>
      <c r="IJ134" s="7"/>
      <c r="IK134" s="7"/>
      <c r="IL134" s="7"/>
      <c r="IM134" s="7"/>
      <c r="IN134" s="7"/>
      <c r="IO134" s="7"/>
      <c r="IP134" s="7"/>
      <c r="IQ134" s="7"/>
      <c r="IR134" s="7"/>
      <c r="IS134" s="7"/>
      <c r="IT134" s="7"/>
      <c r="IU134" s="7"/>
      <c r="IV134" s="7"/>
      <c r="IW134" s="7"/>
      <c r="IX134" s="7"/>
      <c r="JA134" s="113"/>
      <c r="JB134" s="113"/>
      <c r="JC134" s="113"/>
      <c r="JD134" s="66">
        <f>SUM((TEXT(JA134,"[M]")/60)*'Income Person-hours'!$D$3,(TEXT(JB134,"[M]")/60)*'Income Person-hours'!$D$4,(TEXT(JC134,"[M]")/60)*'Income Person-hours'!$D$5)</f>
        <v>0</v>
      </c>
    </row>
    <row r="135" spans="1:16382" s="11" customFormat="1" ht="11.25" hidden="1">
      <c r="A135" s="30">
        <v>5.19</v>
      </c>
      <c r="B135" s="116"/>
      <c r="C135" s="107"/>
      <c r="D135" s="12" t="str">
        <f>IF(OR(j_WEEKDAY(J_ADDDAY(VLOOKUP(I135,A:F,6,FALSE),H135,1),0)=6,SUMIFS(Holieday[ok],Holieday[date],J_ADDDAY(VLOOKUP(I135,A:F,6,FALSE),H135,1)))=FALSE(),J_ADDDAY(VLOOKUP(I135,A:F,6,FALSE),H135,1),IF(OR(j_WEEKDAY(J_ADDDAY(VLOOKUP(I135,A:F,6,FALSE),H135+1,1),0)=6,SUMIFS(Holieday[ok],Holieday[date],J_ADDDAY(VLOOKUP(I135,A:F,6,FALSE),H135+1,1)))=FALSE(),J_ADDDAY(VLOOKUP(I135,A:F,6,FALSE),H135+1,1),IF(OR(j_WEEKDAY(J_ADDDAY(VLOOKUP(I135,A:F,6,FALSE),H135+2,1),0)=6,SUMIFS(Holieday[ok],Holieday[date],J_ADDDAY(VLOOKUP(I135,A:F,6,FALSE),H135+2,1)))=FALSE(),J_ADDDAY(VLOOKUP(I135,A:F,6,FALSE),H135+2,1),IF(OR(j_WEEKDAY(J_ADDDAY(VLOOKUP(I135,A:F,6,FALSE),H135+3,1),0)=6,SUMIFS(Holieday[ok],Holieday[date],J_ADDDAY(VLOOKUP(I135,A:F,6,FALSE),H135+3,1)))=FALSE(),J_ADDDAY(VLOOKUP(I135,A:F,6,FALSE),H135+3,1),IF(OR(j_WEEKDAY(J_ADDDAY(VLOOKUP(I135,A:F,6,FALSE),H135+4,1),0)=6,SUMIFS(Holieday[ok],Holieday[date],J_ADDDAY(VLOOKUP(I135,A:F,6,FALSE),H135+4,1)))=FALSE(),J_ADDDAY(VLOOKUP(I135,A:F,6,FALSE),H135+4,1),J_ADDDAY(VLOOKUP(I135,A:F,6,FALSE),H135+5,1))))))</f>
        <v>1398/09/11</v>
      </c>
      <c r="E135" s="1">
        <f t="shared" si="42"/>
        <v>13980911</v>
      </c>
      <c r="F135" s="12" t="str">
        <f>IF(N135=0,J_SUBDAY(D135,1,1),IF((N135-NETWORKDAYS.INTL(J_GregorianDate(D135,1),J_GregorianDate(J_SUBDAY(J_ADDDAY(D135,N135,1),1,1),1),16,1)-SUMIFS(Holieday[ok],Holieday[date],CONCATENATE("&gt;","=",D135),Holieday[date],CONCATENATE("&lt;","=",J_SUBDAY(J_ADDDAY(D135,N135,1),1,1)))+SUMIFS(Holieday[Friday],Holieday[date],CONCATENATE("&gt;","=",D135),Holieday[date],CONCATENATE("&lt;","=",J_SUBDAY(J_ADDDAY(D135,N135,1),1,1))))=0,J_SUBDAY(J_ADDDAY(D135,N135,1),1,1),IF((N135-NETWORKDAYS.INTL(J_GregorianDate(D135,1),J_GregorianDate(J_SUBDAY(J_ADDDAY(D135,N135,1),1,1),1),16,1)-SUMIFS(Holieday[ok],Holieday[date],CONCATENATE("&gt;","=",D135),Holieday[date],CONCATENATE("&lt;","=",J_SUBDAY(J_ADDDAY(D135,N135,1),1,1)))+SUMIFS(Holieday[Friday],Holieday[date],CONCATENATE("&gt;","=",D135),Holieday[date],CONCATENATE("&lt;","=",J_SUBDAY(J_ADDDAY(D135,N135,1),1,1))))=1,J_SUBDAY(J_ADDDAY(D135,N135+1,1),1,1),IF((N135-NETWORKDAYS.INTL(J_GregorianDate(D135,1),J_GregorianDate(J_SUBDAY(J_ADDDAY(D135,N135,1),1,1),1),16,1)-SUMIFS(Holieday[ok],Holieday[date],CONCATENATE("&gt;","=",D135),Holieday[date],CONCATENATE("&lt;","=",J_SUBDAY(J_ADDDAY(D135,N135,1),1,1)))+SUMIFS(Holieday[Friday],Holieday[date],CONCATENATE("&gt;","=",D135),Holieday[date],CONCATENATE("&lt;","=",J_SUBDAY(J_ADDDAY(D135,N135,1),1,1))))=2,J_SUBDAY(J_ADDDAY(D135,N135+2,1),1,1),J_SUBDAY(J_ADDDAY(D135,N135+3,1),1,1)))))</f>
        <v>1398/09/10</v>
      </c>
      <c r="G135" s="2">
        <f t="shared" si="43"/>
        <v>13980910</v>
      </c>
      <c r="H135" s="109"/>
      <c r="I135" s="110">
        <v>5.7</v>
      </c>
      <c r="J135" s="9">
        <f>j_WEEKDAY(D135,2)</f>
        <v>2</v>
      </c>
      <c r="K135" s="21">
        <f t="shared" si="41"/>
        <v>0</v>
      </c>
      <c r="L135" s="8">
        <f t="shared" si="38"/>
        <v>0</v>
      </c>
      <c r="M135" s="111">
        <v>0</v>
      </c>
      <c r="N135" s="108">
        <v>0</v>
      </c>
      <c r="O135" s="10">
        <f t="shared" si="39"/>
        <v>0</v>
      </c>
      <c r="P135" s="10">
        <f>VALUE(J_normdate(J_ADDDAY($D135,$O135,1)))</f>
        <v>13980911</v>
      </c>
      <c r="Q135" s="9">
        <f t="shared" si="40"/>
        <v>0</v>
      </c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7"/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  <c r="DJ135" s="7"/>
      <c r="DK135" s="7"/>
      <c r="DL135" s="7"/>
      <c r="DM135" s="7"/>
      <c r="DN135" s="7"/>
      <c r="DO135" s="7"/>
      <c r="DP135" s="7"/>
      <c r="DQ135" s="7"/>
      <c r="DR135" s="7"/>
      <c r="DS135" s="7"/>
      <c r="DT135" s="7"/>
      <c r="DU135" s="7"/>
      <c r="DV135" s="7"/>
      <c r="DW135" s="7"/>
      <c r="DX135" s="7"/>
      <c r="DY135" s="7"/>
      <c r="DZ135" s="7"/>
      <c r="EA135" s="7"/>
      <c r="EB135" s="7"/>
      <c r="EC135" s="7"/>
      <c r="ED135" s="7"/>
      <c r="EE135" s="7"/>
      <c r="EF135" s="7"/>
      <c r="EG135" s="7"/>
      <c r="EH135" s="7"/>
      <c r="EI135" s="7"/>
      <c r="EJ135" s="7"/>
      <c r="EK135" s="7"/>
      <c r="EL135" s="7"/>
      <c r="EM135" s="7"/>
      <c r="EN135" s="7"/>
      <c r="EO135" s="7"/>
      <c r="EP135" s="7"/>
      <c r="EQ135" s="7"/>
      <c r="ER135" s="7"/>
      <c r="ES135" s="7"/>
      <c r="ET135" s="7"/>
      <c r="EU135" s="7"/>
      <c r="EV135" s="7"/>
      <c r="EW135" s="7"/>
      <c r="EX135" s="7"/>
      <c r="EY135" s="7"/>
      <c r="EZ135" s="7"/>
      <c r="FA135" s="7"/>
      <c r="FB135" s="7"/>
      <c r="FC135" s="7"/>
      <c r="FD135" s="7"/>
      <c r="FE135" s="7"/>
      <c r="FF135" s="7"/>
      <c r="FG135" s="7"/>
      <c r="FH135" s="7"/>
      <c r="FI135" s="7"/>
      <c r="FJ135" s="7"/>
      <c r="FK135" s="7"/>
      <c r="FL135" s="7"/>
      <c r="FM135" s="7"/>
      <c r="FN135" s="7"/>
      <c r="FO135" s="7"/>
      <c r="FP135" s="7"/>
      <c r="FQ135" s="7"/>
      <c r="FR135" s="7"/>
      <c r="FS135" s="7"/>
      <c r="FT135" s="7"/>
      <c r="FU135" s="7"/>
      <c r="FV135" s="7"/>
      <c r="FW135" s="7"/>
      <c r="FX135" s="7"/>
      <c r="FY135" s="7"/>
      <c r="FZ135" s="7"/>
      <c r="GA135" s="7"/>
      <c r="GB135" s="7"/>
      <c r="GC135" s="7"/>
      <c r="GD135" s="7"/>
      <c r="GE135" s="7"/>
      <c r="GF135" s="7"/>
      <c r="GG135" s="7"/>
      <c r="GH135" s="7"/>
      <c r="GI135" s="7"/>
      <c r="GJ135" s="7"/>
      <c r="GK135" s="7"/>
      <c r="GL135" s="7"/>
      <c r="GM135" s="7"/>
      <c r="GN135" s="7"/>
      <c r="GO135" s="7"/>
      <c r="GP135" s="7"/>
      <c r="GQ135" s="7"/>
      <c r="GR135" s="7"/>
      <c r="GS135" s="7"/>
      <c r="GT135" s="7"/>
      <c r="GU135" s="7"/>
      <c r="GV135" s="7"/>
      <c r="GW135" s="7"/>
      <c r="GX135" s="7"/>
      <c r="GY135" s="7"/>
      <c r="GZ135" s="7"/>
      <c r="HA135" s="7"/>
      <c r="HB135" s="7"/>
      <c r="HC135" s="7"/>
      <c r="HD135" s="7"/>
      <c r="HE135" s="7"/>
      <c r="HF135" s="7"/>
      <c r="HG135" s="7"/>
      <c r="HH135" s="7"/>
      <c r="HI135" s="7"/>
      <c r="HJ135" s="7"/>
      <c r="HK135" s="7"/>
      <c r="HL135" s="7"/>
      <c r="HM135" s="7"/>
      <c r="HN135" s="7"/>
      <c r="HO135" s="7"/>
      <c r="HP135" s="7"/>
      <c r="HQ135" s="7"/>
      <c r="HR135" s="7"/>
      <c r="HS135" s="7"/>
      <c r="HT135" s="7"/>
      <c r="HU135" s="7"/>
      <c r="HV135" s="7"/>
      <c r="HW135" s="7"/>
      <c r="HX135" s="7"/>
      <c r="HY135" s="7"/>
      <c r="HZ135" s="7"/>
      <c r="IA135" s="7"/>
      <c r="IB135" s="7"/>
      <c r="IC135" s="7"/>
      <c r="ID135" s="7"/>
      <c r="IE135" s="7"/>
      <c r="IF135" s="7"/>
      <c r="IG135" s="7"/>
      <c r="IH135" s="7"/>
      <c r="II135" s="7"/>
      <c r="IJ135" s="7"/>
      <c r="IK135" s="7"/>
      <c r="IL135" s="7"/>
      <c r="IM135" s="7"/>
      <c r="IN135" s="7"/>
      <c r="IO135" s="7"/>
      <c r="IP135" s="7"/>
      <c r="IQ135" s="7"/>
      <c r="IR135" s="7"/>
      <c r="IS135" s="7"/>
      <c r="IT135" s="7"/>
      <c r="IU135" s="7"/>
      <c r="IV135" s="7"/>
      <c r="IW135" s="7"/>
      <c r="IX135" s="7"/>
      <c r="JA135" s="113"/>
      <c r="JB135" s="113"/>
      <c r="JC135" s="113"/>
      <c r="JD135" s="66">
        <f>SUM((TEXT(JA135,"[M]")/60)*'Income Person-hours'!$D$3,(TEXT(JB135,"[M]")/60)*'Income Person-hours'!$D$4,(TEXT(JC135,"[M]")/60)*'Income Person-hours'!$D$5)</f>
        <v>0</v>
      </c>
    </row>
    <row r="136" spans="1:16382" s="11" customFormat="1" ht="11.25" hidden="1">
      <c r="A136" s="30">
        <v>5.21</v>
      </c>
      <c r="B136" s="116"/>
      <c r="C136" s="107"/>
      <c r="D136" s="12" t="str">
        <f>IF(OR(j_WEEKDAY(J_ADDDAY(VLOOKUP(I136,A:F,6,FALSE),H136,1),0)=6,SUMIFS(Holieday[ok],Holieday[date],J_ADDDAY(VLOOKUP(I136,A:F,6,FALSE),H136,1)))=FALSE(),J_ADDDAY(VLOOKUP(I136,A:F,6,FALSE),H136,1),IF(OR(j_WEEKDAY(J_ADDDAY(VLOOKUP(I136,A:F,6,FALSE),H136+1,1),0)=6,SUMIFS(Holieday[ok],Holieday[date],J_ADDDAY(VLOOKUP(I136,A:F,6,FALSE),H136+1,1)))=FALSE(),J_ADDDAY(VLOOKUP(I136,A:F,6,FALSE),H136+1,1),IF(OR(j_WEEKDAY(J_ADDDAY(VLOOKUP(I136,A:F,6,FALSE),H136+2,1),0)=6,SUMIFS(Holieday[ok],Holieday[date],J_ADDDAY(VLOOKUP(I136,A:F,6,FALSE),H136+2,1)))=FALSE(),J_ADDDAY(VLOOKUP(I136,A:F,6,FALSE),H136+2,1),IF(OR(j_WEEKDAY(J_ADDDAY(VLOOKUP(I136,A:F,6,FALSE),H136+3,1),0)=6,SUMIFS(Holieday[ok],Holieday[date],J_ADDDAY(VLOOKUP(I136,A:F,6,FALSE),H136+3,1)))=FALSE(),J_ADDDAY(VLOOKUP(I136,A:F,6,FALSE),H136+3,1),IF(OR(j_WEEKDAY(J_ADDDAY(VLOOKUP(I136,A:F,6,FALSE),H136+4,1),0)=6,SUMIFS(Holieday[ok],Holieday[date],J_ADDDAY(VLOOKUP(I136,A:F,6,FALSE),H136+4,1)))=FALSE(),J_ADDDAY(VLOOKUP(I136,A:F,6,FALSE),H136+4,1),J_ADDDAY(VLOOKUP(I136,A:F,6,FALSE),H136+5,1))))))</f>
        <v>1398/09/11</v>
      </c>
      <c r="E136" s="1">
        <f t="shared" si="42"/>
        <v>13980911</v>
      </c>
      <c r="F136" s="12" t="str">
        <f>IF(N136=0,J_SUBDAY(D136,1,1),IF((N136-NETWORKDAYS.INTL(J_GregorianDate(D136,1),J_GregorianDate(J_SUBDAY(J_ADDDAY(D136,N136,1),1,1),1),16,1)-SUMIFS(Holieday[ok],Holieday[date],CONCATENATE("&gt;","=",D136),Holieday[date],CONCATENATE("&lt;","=",J_SUBDAY(J_ADDDAY(D136,N136,1),1,1)))+SUMIFS(Holieday[Friday],Holieday[date],CONCATENATE("&gt;","=",D136),Holieday[date],CONCATENATE("&lt;","=",J_SUBDAY(J_ADDDAY(D136,N136,1),1,1))))=0,J_SUBDAY(J_ADDDAY(D136,N136,1),1,1),IF((N136-NETWORKDAYS.INTL(J_GregorianDate(D136,1),J_GregorianDate(J_SUBDAY(J_ADDDAY(D136,N136,1),1,1),1),16,1)-SUMIFS(Holieday[ok],Holieday[date],CONCATENATE("&gt;","=",D136),Holieday[date],CONCATENATE("&lt;","=",J_SUBDAY(J_ADDDAY(D136,N136,1),1,1)))+SUMIFS(Holieday[Friday],Holieday[date],CONCATENATE("&gt;","=",D136),Holieday[date],CONCATENATE("&lt;","=",J_SUBDAY(J_ADDDAY(D136,N136,1),1,1))))=1,J_SUBDAY(J_ADDDAY(D136,N136+1,1),1,1),IF((N136-NETWORKDAYS.INTL(J_GregorianDate(D136,1),J_GregorianDate(J_SUBDAY(J_ADDDAY(D136,N136,1),1,1),1),16,1)-SUMIFS(Holieday[ok],Holieday[date],CONCATENATE("&gt;","=",D136),Holieday[date],CONCATENATE("&lt;","=",J_SUBDAY(J_ADDDAY(D136,N136,1),1,1)))+SUMIFS(Holieday[Friday],Holieday[date],CONCATENATE("&gt;","=",D136),Holieday[date],CONCATENATE("&lt;","=",J_SUBDAY(J_ADDDAY(D136,N136,1),1,1))))=2,J_SUBDAY(J_ADDDAY(D136,N136+2,1),1,1),J_SUBDAY(J_ADDDAY(D136,N136+3,1),1,1)))))</f>
        <v>1398/09/10</v>
      </c>
      <c r="G136" s="2">
        <f t="shared" si="43"/>
        <v>13980910</v>
      </c>
      <c r="H136" s="109"/>
      <c r="I136" s="110">
        <v>5.7</v>
      </c>
      <c r="J136" s="9">
        <f>j_WEEKDAY(D136,2)</f>
        <v>2</v>
      </c>
      <c r="K136" s="21">
        <f t="shared" si="41"/>
        <v>0</v>
      </c>
      <c r="L136" s="8">
        <f t="shared" si="38"/>
        <v>0</v>
      </c>
      <c r="M136" s="111">
        <v>0</v>
      </c>
      <c r="N136" s="108">
        <v>0</v>
      </c>
      <c r="O136" s="10">
        <f t="shared" si="39"/>
        <v>0</v>
      </c>
      <c r="P136" s="10">
        <f>VALUE(J_normdate(J_ADDDAY($D136,$O136,1)))</f>
        <v>13980911</v>
      </c>
      <c r="Q136" s="9">
        <f t="shared" si="40"/>
        <v>0</v>
      </c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  <c r="DR136" s="7"/>
      <c r="DS136" s="7"/>
      <c r="DT136" s="7"/>
      <c r="DU136" s="7"/>
      <c r="DV136" s="7"/>
      <c r="DW136" s="7"/>
      <c r="DX136" s="7"/>
      <c r="DY136" s="7"/>
      <c r="DZ136" s="7"/>
      <c r="EA136" s="7"/>
      <c r="EB136" s="7"/>
      <c r="EC136" s="7"/>
      <c r="ED136" s="7"/>
      <c r="EE136" s="7"/>
      <c r="EF136" s="7"/>
      <c r="EG136" s="7"/>
      <c r="EH136" s="7"/>
      <c r="EI136" s="7"/>
      <c r="EJ136" s="7"/>
      <c r="EK136" s="7"/>
      <c r="EL136" s="7"/>
      <c r="EM136" s="7"/>
      <c r="EN136" s="7"/>
      <c r="EO136" s="7"/>
      <c r="EP136" s="7"/>
      <c r="EQ136" s="7"/>
      <c r="ER136" s="7"/>
      <c r="ES136" s="7"/>
      <c r="ET136" s="7"/>
      <c r="EU136" s="7"/>
      <c r="EV136" s="7"/>
      <c r="EW136" s="7"/>
      <c r="EX136" s="7"/>
      <c r="EY136" s="7"/>
      <c r="EZ136" s="7"/>
      <c r="FA136" s="7"/>
      <c r="FB136" s="7"/>
      <c r="FC136" s="7"/>
      <c r="FD136" s="7"/>
      <c r="FE136" s="7"/>
      <c r="FF136" s="7"/>
      <c r="FG136" s="7"/>
      <c r="FH136" s="7"/>
      <c r="FI136" s="7"/>
      <c r="FJ136" s="7"/>
      <c r="FK136" s="7"/>
      <c r="FL136" s="7"/>
      <c r="FM136" s="7"/>
      <c r="FN136" s="7"/>
      <c r="FO136" s="7"/>
      <c r="FP136" s="7"/>
      <c r="FQ136" s="7"/>
      <c r="FR136" s="7"/>
      <c r="FS136" s="7"/>
      <c r="FT136" s="7"/>
      <c r="FU136" s="7"/>
      <c r="FV136" s="7"/>
      <c r="FW136" s="7"/>
      <c r="FX136" s="7"/>
      <c r="FY136" s="7"/>
      <c r="FZ136" s="7"/>
      <c r="GA136" s="7"/>
      <c r="GB136" s="7"/>
      <c r="GC136" s="7"/>
      <c r="GD136" s="7"/>
      <c r="GE136" s="7"/>
      <c r="GF136" s="7"/>
      <c r="GG136" s="7"/>
      <c r="GH136" s="7"/>
      <c r="GI136" s="7"/>
      <c r="GJ136" s="7"/>
      <c r="GK136" s="7"/>
      <c r="GL136" s="7"/>
      <c r="GM136" s="7"/>
      <c r="GN136" s="7"/>
      <c r="GO136" s="7"/>
      <c r="GP136" s="7"/>
      <c r="GQ136" s="7"/>
      <c r="GR136" s="7"/>
      <c r="GS136" s="7"/>
      <c r="GT136" s="7"/>
      <c r="GU136" s="7"/>
      <c r="GV136" s="7"/>
      <c r="GW136" s="7"/>
      <c r="GX136" s="7"/>
      <c r="GY136" s="7"/>
      <c r="GZ136" s="7"/>
      <c r="HA136" s="7"/>
      <c r="HB136" s="7"/>
      <c r="HC136" s="7"/>
      <c r="HD136" s="7"/>
      <c r="HE136" s="7"/>
      <c r="HF136" s="7"/>
      <c r="HG136" s="7"/>
      <c r="HH136" s="7"/>
      <c r="HI136" s="7"/>
      <c r="HJ136" s="7"/>
      <c r="HK136" s="7"/>
      <c r="HL136" s="7"/>
      <c r="HM136" s="7"/>
      <c r="HN136" s="7"/>
      <c r="HO136" s="7"/>
      <c r="HP136" s="7"/>
      <c r="HQ136" s="7"/>
      <c r="HR136" s="7"/>
      <c r="HS136" s="7"/>
      <c r="HT136" s="7"/>
      <c r="HU136" s="7"/>
      <c r="HV136" s="7"/>
      <c r="HW136" s="7"/>
      <c r="HX136" s="7"/>
      <c r="HY136" s="7"/>
      <c r="HZ136" s="7"/>
      <c r="IA136" s="7"/>
      <c r="IB136" s="7"/>
      <c r="IC136" s="7"/>
      <c r="ID136" s="7"/>
      <c r="IE136" s="7"/>
      <c r="IF136" s="7"/>
      <c r="IG136" s="7"/>
      <c r="IH136" s="7"/>
      <c r="II136" s="7"/>
      <c r="IJ136" s="7"/>
      <c r="IK136" s="7"/>
      <c r="IL136" s="7"/>
      <c r="IM136" s="7"/>
      <c r="IN136" s="7"/>
      <c r="IO136" s="7"/>
      <c r="IP136" s="7"/>
      <c r="IQ136" s="7"/>
      <c r="IR136" s="7"/>
      <c r="IS136" s="7"/>
      <c r="IT136" s="7"/>
      <c r="IU136" s="7"/>
      <c r="IV136" s="7"/>
      <c r="IW136" s="7"/>
      <c r="IX136" s="7"/>
      <c r="JA136" s="113"/>
      <c r="JB136" s="113"/>
      <c r="JC136" s="113"/>
      <c r="JD136" s="66">
        <f>SUM((TEXT(JA136,"[M]")/60)*'Income Person-hours'!$D$3,(TEXT(JB136,"[M]")/60)*'Income Person-hours'!$D$4,(TEXT(JC136,"[M]")/60)*'Income Person-hours'!$D$5)</f>
        <v>0</v>
      </c>
    </row>
    <row r="137" spans="1:16382" s="11" customFormat="1" ht="11.25" hidden="1">
      <c r="A137" s="30">
        <v>5.22</v>
      </c>
      <c r="B137" s="116"/>
      <c r="C137" s="107"/>
      <c r="D137" s="12" t="str">
        <f>IF(OR(j_WEEKDAY(J_ADDDAY(VLOOKUP(I137,A:F,6,FALSE),H137,1),0)=6,SUMIFS(Holieday[ok],Holieday[date],J_ADDDAY(VLOOKUP(I137,A:F,6,FALSE),H137,1)))=FALSE(),J_ADDDAY(VLOOKUP(I137,A:F,6,FALSE),H137,1),IF(OR(j_WEEKDAY(J_ADDDAY(VLOOKUP(I137,A:F,6,FALSE),H137+1,1),0)=6,SUMIFS(Holieday[ok],Holieday[date],J_ADDDAY(VLOOKUP(I137,A:F,6,FALSE),H137+1,1)))=FALSE(),J_ADDDAY(VLOOKUP(I137,A:F,6,FALSE),H137+1,1),IF(OR(j_WEEKDAY(J_ADDDAY(VLOOKUP(I137,A:F,6,FALSE),H137+2,1),0)=6,SUMIFS(Holieday[ok],Holieday[date],J_ADDDAY(VLOOKUP(I137,A:F,6,FALSE),H137+2,1)))=FALSE(),J_ADDDAY(VLOOKUP(I137,A:F,6,FALSE),H137+2,1),IF(OR(j_WEEKDAY(J_ADDDAY(VLOOKUP(I137,A:F,6,FALSE),H137+3,1),0)=6,SUMIFS(Holieday[ok],Holieday[date],J_ADDDAY(VLOOKUP(I137,A:F,6,FALSE),H137+3,1)))=FALSE(),J_ADDDAY(VLOOKUP(I137,A:F,6,FALSE),H137+3,1),IF(OR(j_WEEKDAY(J_ADDDAY(VLOOKUP(I137,A:F,6,FALSE),H137+4,1),0)=6,SUMIFS(Holieday[ok],Holieday[date],J_ADDDAY(VLOOKUP(I137,A:F,6,FALSE),H137+4,1)))=FALSE(),J_ADDDAY(VLOOKUP(I137,A:F,6,FALSE),H137+4,1),J_ADDDAY(VLOOKUP(I137,A:F,6,FALSE),H137+5,1))))))</f>
        <v>1398/09/11</v>
      </c>
      <c r="E137" s="1">
        <f t="shared" si="42"/>
        <v>13980911</v>
      </c>
      <c r="F137" s="12" t="str">
        <f>IF(N137=0,J_SUBDAY(D137,1,1),IF((N137-NETWORKDAYS.INTL(J_GregorianDate(D137,1),J_GregorianDate(J_SUBDAY(J_ADDDAY(D137,N137,1),1,1),1),16,1)-SUMIFS(Holieday[ok],Holieday[date],CONCATENATE("&gt;","=",D137),Holieday[date],CONCATENATE("&lt;","=",J_SUBDAY(J_ADDDAY(D137,N137,1),1,1)))+SUMIFS(Holieday[Friday],Holieday[date],CONCATENATE("&gt;","=",D137),Holieday[date],CONCATENATE("&lt;","=",J_SUBDAY(J_ADDDAY(D137,N137,1),1,1))))=0,J_SUBDAY(J_ADDDAY(D137,N137,1),1,1),IF((N137-NETWORKDAYS.INTL(J_GregorianDate(D137,1),J_GregorianDate(J_SUBDAY(J_ADDDAY(D137,N137,1),1,1),1),16,1)-SUMIFS(Holieday[ok],Holieday[date],CONCATENATE("&gt;","=",D137),Holieday[date],CONCATENATE("&lt;","=",J_SUBDAY(J_ADDDAY(D137,N137,1),1,1)))+SUMIFS(Holieday[Friday],Holieday[date],CONCATENATE("&gt;","=",D137),Holieday[date],CONCATENATE("&lt;","=",J_SUBDAY(J_ADDDAY(D137,N137,1),1,1))))=1,J_SUBDAY(J_ADDDAY(D137,N137+1,1),1,1),IF((N137-NETWORKDAYS.INTL(J_GregorianDate(D137,1),J_GregorianDate(J_SUBDAY(J_ADDDAY(D137,N137,1),1,1),1),16,1)-SUMIFS(Holieday[ok],Holieday[date],CONCATENATE("&gt;","=",D137),Holieday[date],CONCATENATE("&lt;","=",J_SUBDAY(J_ADDDAY(D137,N137,1),1,1)))+SUMIFS(Holieday[Friday],Holieday[date],CONCATENATE("&gt;","=",D137),Holieday[date],CONCATENATE("&lt;","=",J_SUBDAY(J_ADDDAY(D137,N137,1),1,1))))=2,J_SUBDAY(J_ADDDAY(D137,N137+2,1),1,1),J_SUBDAY(J_ADDDAY(D137,N137+3,1),1,1)))))</f>
        <v>1398/09/10</v>
      </c>
      <c r="G137" s="2">
        <f t="shared" si="43"/>
        <v>13980910</v>
      </c>
      <c r="H137" s="109"/>
      <c r="I137" s="110">
        <v>5.7</v>
      </c>
      <c r="J137" s="9">
        <f>j_WEEKDAY(D137,2)</f>
        <v>2</v>
      </c>
      <c r="K137" s="21">
        <f t="shared" si="41"/>
        <v>0</v>
      </c>
      <c r="L137" s="8">
        <f t="shared" si="38"/>
        <v>0</v>
      </c>
      <c r="M137" s="111">
        <v>0</v>
      </c>
      <c r="N137" s="108">
        <v>0</v>
      </c>
      <c r="O137" s="10">
        <f t="shared" si="39"/>
        <v>0</v>
      </c>
      <c r="P137" s="10">
        <f>VALUE(J_normdate(J_ADDDAY($D137,$O137,1)))</f>
        <v>13980911</v>
      </c>
      <c r="Q137" s="9">
        <f t="shared" si="40"/>
        <v>0</v>
      </c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  <c r="DR137" s="7"/>
      <c r="DS137" s="7"/>
      <c r="DT137" s="7"/>
      <c r="DU137" s="7"/>
      <c r="DV137" s="7"/>
      <c r="DW137" s="7"/>
      <c r="DX137" s="7"/>
      <c r="DY137" s="7"/>
      <c r="DZ137" s="7"/>
      <c r="EA137" s="7"/>
      <c r="EB137" s="7"/>
      <c r="EC137" s="7"/>
      <c r="ED137" s="7"/>
      <c r="EE137" s="7"/>
      <c r="EF137" s="7"/>
      <c r="EG137" s="7"/>
      <c r="EH137" s="7"/>
      <c r="EI137" s="7"/>
      <c r="EJ137" s="7"/>
      <c r="EK137" s="7"/>
      <c r="EL137" s="7"/>
      <c r="EM137" s="7"/>
      <c r="EN137" s="7"/>
      <c r="EO137" s="7"/>
      <c r="EP137" s="7"/>
      <c r="EQ137" s="7"/>
      <c r="ER137" s="7"/>
      <c r="ES137" s="7"/>
      <c r="ET137" s="7"/>
      <c r="EU137" s="7"/>
      <c r="EV137" s="7"/>
      <c r="EW137" s="7"/>
      <c r="EX137" s="7"/>
      <c r="EY137" s="7"/>
      <c r="EZ137" s="7"/>
      <c r="FA137" s="7"/>
      <c r="FB137" s="7"/>
      <c r="FC137" s="7"/>
      <c r="FD137" s="7"/>
      <c r="FE137" s="7"/>
      <c r="FF137" s="7"/>
      <c r="FG137" s="7"/>
      <c r="FH137" s="7"/>
      <c r="FI137" s="7"/>
      <c r="FJ137" s="7"/>
      <c r="FK137" s="7"/>
      <c r="FL137" s="7"/>
      <c r="FM137" s="7"/>
      <c r="FN137" s="7"/>
      <c r="FO137" s="7"/>
      <c r="FP137" s="7"/>
      <c r="FQ137" s="7"/>
      <c r="FR137" s="7"/>
      <c r="FS137" s="7"/>
      <c r="FT137" s="7"/>
      <c r="FU137" s="7"/>
      <c r="FV137" s="7"/>
      <c r="FW137" s="7"/>
      <c r="FX137" s="7"/>
      <c r="FY137" s="7"/>
      <c r="FZ137" s="7"/>
      <c r="GA137" s="7"/>
      <c r="GB137" s="7"/>
      <c r="GC137" s="7"/>
      <c r="GD137" s="7"/>
      <c r="GE137" s="7"/>
      <c r="GF137" s="7"/>
      <c r="GG137" s="7"/>
      <c r="GH137" s="7"/>
      <c r="GI137" s="7"/>
      <c r="GJ137" s="7"/>
      <c r="GK137" s="7"/>
      <c r="GL137" s="7"/>
      <c r="GM137" s="7"/>
      <c r="GN137" s="7"/>
      <c r="GO137" s="7"/>
      <c r="GP137" s="7"/>
      <c r="GQ137" s="7"/>
      <c r="GR137" s="7"/>
      <c r="GS137" s="7"/>
      <c r="GT137" s="7"/>
      <c r="GU137" s="7"/>
      <c r="GV137" s="7"/>
      <c r="GW137" s="7"/>
      <c r="GX137" s="7"/>
      <c r="GY137" s="7"/>
      <c r="GZ137" s="7"/>
      <c r="HA137" s="7"/>
      <c r="HB137" s="7"/>
      <c r="HC137" s="7"/>
      <c r="HD137" s="7"/>
      <c r="HE137" s="7"/>
      <c r="HF137" s="7"/>
      <c r="HG137" s="7"/>
      <c r="HH137" s="7"/>
      <c r="HI137" s="7"/>
      <c r="HJ137" s="7"/>
      <c r="HK137" s="7"/>
      <c r="HL137" s="7"/>
      <c r="HM137" s="7"/>
      <c r="HN137" s="7"/>
      <c r="HO137" s="7"/>
      <c r="HP137" s="7"/>
      <c r="HQ137" s="7"/>
      <c r="HR137" s="7"/>
      <c r="HS137" s="7"/>
      <c r="HT137" s="7"/>
      <c r="HU137" s="7"/>
      <c r="HV137" s="7"/>
      <c r="HW137" s="7"/>
      <c r="HX137" s="7"/>
      <c r="HY137" s="7"/>
      <c r="HZ137" s="7"/>
      <c r="IA137" s="7"/>
      <c r="IB137" s="7"/>
      <c r="IC137" s="7"/>
      <c r="ID137" s="7"/>
      <c r="IE137" s="7"/>
      <c r="IF137" s="7"/>
      <c r="IG137" s="7"/>
      <c r="IH137" s="7"/>
      <c r="II137" s="7"/>
      <c r="IJ137" s="7"/>
      <c r="IK137" s="7"/>
      <c r="IL137" s="7"/>
      <c r="IM137" s="7"/>
      <c r="IN137" s="7"/>
      <c r="IO137" s="7"/>
      <c r="IP137" s="7"/>
      <c r="IQ137" s="7"/>
      <c r="IR137" s="7"/>
      <c r="IS137" s="7"/>
      <c r="IT137" s="7"/>
      <c r="IU137" s="7"/>
      <c r="IV137" s="7"/>
      <c r="IW137" s="7"/>
      <c r="IX137" s="7"/>
      <c r="JA137" s="113"/>
      <c r="JB137" s="113"/>
      <c r="JC137" s="113"/>
      <c r="JD137" s="66">
        <f>SUM((TEXT(JA137,"[M]")/60)*'Income Person-hours'!$D$3,(TEXT(JB137,"[M]")/60)*'Income Person-hours'!$D$4,(TEXT(JC137,"[M]")/60)*'Income Person-hours'!$D$5)</f>
        <v>0</v>
      </c>
    </row>
    <row r="138" spans="1:16382" s="11" customFormat="1" ht="11.25" hidden="1">
      <c r="A138" s="30">
        <v>5.23</v>
      </c>
      <c r="B138" s="116"/>
      <c r="C138" s="107"/>
      <c r="D138" s="12" t="str">
        <f>IF(OR(j_WEEKDAY(J_ADDDAY(VLOOKUP(I138,A:F,6,FALSE),H138,1),0)=6,SUMIFS(Holieday[ok],Holieday[date],J_ADDDAY(VLOOKUP(I138,A:F,6,FALSE),H138,1)))=FALSE(),J_ADDDAY(VLOOKUP(I138,A:F,6,FALSE),H138,1),IF(OR(j_WEEKDAY(J_ADDDAY(VLOOKUP(I138,A:F,6,FALSE),H138+1,1),0)=6,SUMIFS(Holieday[ok],Holieday[date],J_ADDDAY(VLOOKUP(I138,A:F,6,FALSE),H138+1,1)))=FALSE(),J_ADDDAY(VLOOKUP(I138,A:F,6,FALSE),H138+1,1),IF(OR(j_WEEKDAY(J_ADDDAY(VLOOKUP(I138,A:F,6,FALSE),H138+2,1),0)=6,SUMIFS(Holieday[ok],Holieday[date],J_ADDDAY(VLOOKUP(I138,A:F,6,FALSE),H138+2,1)))=FALSE(),J_ADDDAY(VLOOKUP(I138,A:F,6,FALSE),H138+2,1),IF(OR(j_WEEKDAY(J_ADDDAY(VLOOKUP(I138,A:F,6,FALSE),H138+3,1),0)=6,SUMIFS(Holieday[ok],Holieday[date],J_ADDDAY(VLOOKUP(I138,A:F,6,FALSE),H138+3,1)))=FALSE(),J_ADDDAY(VLOOKUP(I138,A:F,6,FALSE),H138+3,1),IF(OR(j_WEEKDAY(J_ADDDAY(VLOOKUP(I138,A:F,6,FALSE),H138+4,1),0)=6,SUMIFS(Holieday[ok],Holieday[date],J_ADDDAY(VLOOKUP(I138,A:F,6,FALSE),H138+4,1)))=FALSE(),J_ADDDAY(VLOOKUP(I138,A:F,6,FALSE),H138+4,1),J_ADDDAY(VLOOKUP(I138,A:F,6,FALSE),H138+5,1))))))</f>
        <v>1398/09/11</v>
      </c>
      <c r="E138" s="1">
        <f t="shared" si="42"/>
        <v>13980911</v>
      </c>
      <c r="F138" s="12" t="str">
        <f>IF(N138=0,J_SUBDAY(D138,1,1),IF((N138-NETWORKDAYS.INTL(J_GregorianDate(D138,1),J_GregorianDate(J_SUBDAY(J_ADDDAY(D138,N138,1),1,1),1),16,1)-SUMIFS(Holieday[ok],Holieday[date],CONCATENATE("&gt;","=",D138),Holieday[date],CONCATENATE("&lt;","=",J_SUBDAY(J_ADDDAY(D138,N138,1),1,1)))+SUMIFS(Holieday[Friday],Holieday[date],CONCATENATE("&gt;","=",D138),Holieday[date],CONCATENATE("&lt;","=",J_SUBDAY(J_ADDDAY(D138,N138,1),1,1))))=0,J_SUBDAY(J_ADDDAY(D138,N138,1),1,1),IF((N138-NETWORKDAYS.INTL(J_GregorianDate(D138,1),J_GregorianDate(J_SUBDAY(J_ADDDAY(D138,N138,1),1,1),1),16,1)-SUMIFS(Holieday[ok],Holieday[date],CONCATENATE("&gt;","=",D138),Holieday[date],CONCATENATE("&lt;","=",J_SUBDAY(J_ADDDAY(D138,N138,1),1,1)))+SUMIFS(Holieday[Friday],Holieday[date],CONCATENATE("&gt;","=",D138),Holieday[date],CONCATENATE("&lt;","=",J_SUBDAY(J_ADDDAY(D138,N138,1),1,1))))=1,J_SUBDAY(J_ADDDAY(D138,N138+1,1),1,1),IF((N138-NETWORKDAYS.INTL(J_GregorianDate(D138,1),J_GregorianDate(J_SUBDAY(J_ADDDAY(D138,N138,1),1,1),1),16,1)-SUMIFS(Holieday[ok],Holieday[date],CONCATENATE("&gt;","=",D138),Holieday[date],CONCATENATE("&lt;","=",J_SUBDAY(J_ADDDAY(D138,N138,1),1,1)))+SUMIFS(Holieday[Friday],Holieday[date],CONCATENATE("&gt;","=",D138),Holieday[date],CONCATENATE("&lt;","=",J_SUBDAY(J_ADDDAY(D138,N138,1),1,1))))=2,J_SUBDAY(J_ADDDAY(D138,N138+2,1),1,1),J_SUBDAY(J_ADDDAY(D138,N138+3,1),1,1)))))</f>
        <v>1398/09/10</v>
      </c>
      <c r="G138" s="2">
        <f t="shared" si="43"/>
        <v>13980910</v>
      </c>
      <c r="H138" s="109"/>
      <c r="I138" s="110">
        <v>5.7</v>
      </c>
      <c r="J138" s="9">
        <f>j_WEEKDAY(D138,2)</f>
        <v>2</v>
      </c>
      <c r="K138" s="21">
        <f t="shared" si="41"/>
        <v>0</v>
      </c>
      <c r="L138" s="8">
        <f t="shared" si="38"/>
        <v>0</v>
      </c>
      <c r="M138" s="111">
        <v>0</v>
      </c>
      <c r="N138" s="108">
        <v>0</v>
      </c>
      <c r="O138" s="10">
        <f t="shared" si="39"/>
        <v>0</v>
      </c>
      <c r="P138" s="10">
        <f>VALUE(J_normdate(J_ADDDAY($D138,$O138,1)))</f>
        <v>13980911</v>
      </c>
      <c r="Q138" s="9">
        <f t="shared" si="40"/>
        <v>0</v>
      </c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  <c r="DR138" s="7"/>
      <c r="DS138" s="7"/>
      <c r="DT138" s="7"/>
      <c r="DU138" s="7"/>
      <c r="DV138" s="7"/>
      <c r="DW138" s="7"/>
      <c r="DX138" s="7"/>
      <c r="DY138" s="7"/>
      <c r="DZ138" s="7"/>
      <c r="EA138" s="7"/>
      <c r="EB138" s="7"/>
      <c r="EC138" s="7"/>
      <c r="ED138" s="7"/>
      <c r="EE138" s="7"/>
      <c r="EF138" s="7"/>
      <c r="EG138" s="7"/>
      <c r="EH138" s="7"/>
      <c r="EI138" s="7"/>
      <c r="EJ138" s="7"/>
      <c r="EK138" s="7"/>
      <c r="EL138" s="7"/>
      <c r="EM138" s="7"/>
      <c r="EN138" s="7"/>
      <c r="EO138" s="7"/>
      <c r="EP138" s="7"/>
      <c r="EQ138" s="7"/>
      <c r="ER138" s="7"/>
      <c r="ES138" s="7"/>
      <c r="ET138" s="7"/>
      <c r="EU138" s="7"/>
      <c r="EV138" s="7"/>
      <c r="EW138" s="7"/>
      <c r="EX138" s="7"/>
      <c r="EY138" s="7"/>
      <c r="EZ138" s="7"/>
      <c r="FA138" s="7"/>
      <c r="FB138" s="7"/>
      <c r="FC138" s="7"/>
      <c r="FD138" s="7"/>
      <c r="FE138" s="7"/>
      <c r="FF138" s="7"/>
      <c r="FG138" s="7"/>
      <c r="FH138" s="7"/>
      <c r="FI138" s="7"/>
      <c r="FJ138" s="7"/>
      <c r="FK138" s="7"/>
      <c r="FL138" s="7"/>
      <c r="FM138" s="7"/>
      <c r="FN138" s="7"/>
      <c r="FO138" s="7"/>
      <c r="FP138" s="7"/>
      <c r="FQ138" s="7"/>
      <c r="FR138" s="7"/>
      <c r="FS138" s="7"/>
      <c r="FT138" s="7"/>
      <c r="FU138" s="7"/>
      <c r="FV138" s="7"/>
      <c r="FW138" s="7"/>
      <c r="FX138" s="7"/>
      <c r="FY138" s="7"/>
      <c r="FZ138" s="7"/>
      <c r="GA138" s="7"/>
      <c r="GB138" s="7"/>
      <c r="GC138" s="7"/>
      <c r="GD138" s="7"/>
      <c r="GE138" s="7"/>
      <c r="GF138" s="7"/>
      <c r="GG138" s="7"/>
      <c r="GH138" s="7"/>
      <c r="GI138" s="7"/>
      <c r="GJ138" s="7"/>
      <c r="GK138" s="7"/>
      <c r="GL138" s="7"/>
      <c r="GM138" s="7"/>
      <c r="GN138" s="7"/>
      <c r="GO138" s="7"/>
      <c r="GP138" s="7"/>
      <c r="GQ138" s="7"/>
      <c r="GR138" s="7"/>
      <c r="GS138" s="7"/>
      <c r="GT138" s="7"/>
      <c r="GU138" s="7"/>
      <c r="GV138" s="7"/>
      <c r="GW138" s="7"/>
      <c r="GX138" s="7"/>
      <c r="GY138" s="7"/>
      <c r="GZ138" s="7"/>
      <c r="HA138" s="7"/>
      <c r="HB138" s="7"/>
      <c r="HC138" s="7"/>
      <c r="HD138" s="7"/>
      <c r="HE138" s="7"/>
      <c r="HF138" s="7"/>
      <c r="HG138" s="7"/>
      <c r="HH138" s="7"/>
      <c r="HI138" s="7"/>
      <c r="HJ138" s="7"/>
      <c r="HK138" s="7"/>
      <c r="HL138" s="7"/>
      <c r="HM138" s="7"/>
      <c r="HN138" s="7"/>
      <c r="HO138" s="7"/>
      <c r="HP138" s="7"/>
      <c r="HQ138" s="7"/>
      <c r="HR138" s="7"/>
      <c r="HS138" s="7"/>
      <c r="HT138" s="7"/>
      <c r="HU138" s="7"/>
      <c r="HV138" s="7"/>
      <c r="HW138" s="7"/>
      <c r="HX138" s="7"/>
      <c r="HY138" s="7"/>
      <c r="HZ138" s="7"/>
      <c r="IA138" s="7"/>
      <c r="IB138" s="7"/>
      <c r="IC138" s="7"/>
      <c r="ID138" s="7"/>
      <c r="IE138" s="7"/>
      <c r="IF138" s="7"/>
      <c r="IG138" s="7"/>
      <c r="IH138" s="7"/>
      <c r="II138" s="7"/>
      <c r="IJ138" s="7"/>
      <c r="IK138" s="7"/>
      <c r="IL138" s="7"/>
      <c r="IM138" s="7"/>
      <c r="IN138" s="7"/>
      <c r="IO138" s="7"/>
      <c r="IP138" s="7"/>
      <c r="IQ138" s="7"/>
      <c r="IR138" s="7"/>
      <c r="IS138" s="7"/>
      <c r="IT138" s="7"/>
      <c r="IU138" s="7"/>
      <c r="IV138" s="7"/>
      <c r="IW138" s="7"/>
      <c r="IX138" s="7"/>
      <c r="JA138" s="113"/>
      <c r="JB138" s="113"/>
      <c r="JC138" s="113"/>
      <c r="JD138" s="66">
        <f>SUM((TEXT(JA138,"[M]")/60)*'Income Person-hours'!$D$3,(TEXT(JB138,"[M]")/60)*'Income Person-hours'!$D$4,(TEXT(JC138,"[M]")/60)*'Income Person-hours'!$D$5)</f>
        <v>0</v>
      </c>
    </row>
    <row r="139" spans="1:16382" s="343" customFormat="1" ht="13.5">
      <c r="A139" s="339">
        <v>6</v>
      </c>
      <c r="B139" s="326" t="s">
        <v>114</v>
      </c>
      <c r="C139" s="327"/>
      <c r="D139" s="328" t="str">
        <f>FDate(MIN(E140:E160))</f>
        <v>1398/07/01</v>
      </c>
      <c r="E139" s="160">
        <f t="shared" si="42"/>
        <v>13980701</v>
      </c>
      <c r="F139" s="328" t="str">
        <f>J_SUBDAY(J_ADDDAY(D139,L139,1),1,1)</f>
        <v>1398/07/29</v>
      </c>
      <c r="G139" s="163">
        <f t="shared" si="43"/>
        <v>13980729</v>
      </c>
      <c r="H139" s="340"/>
      <c r="I139" s="341"/>
      <c r="J139" s="328">
        <f>j_WEEKDAY(D139,2)</f>
        <v>2</v>
      </c>
      <c r="K139" s="164">
        <f>SUM(K140:K160)</f>
        <v>0</v>
      </c>
      <c r="L139" s="331">
        <f>J_DIFF(D139,FDate(MAX(G140:G160)))+1</f>
        <v>29</v>
      </c>
      <c r="M139" s="332">
        <f>IF(SUM(L140:L160)&lt;&gt;0,SUMPRODUCT(L140:L160,M140:M160)/SUM(L140:L160),0)</f>
        <v>0</v>
      </c>
      <c r="N139" s="333">
        <f>IF(F139&gt;=D139,NETWORKDAYS.INTL(J_GregorianDate(D139,1),J_GregorianDate(F139,1),16,1)-SUMIFS(Holieday[ok],Holieday[date],CONCATENATE("&gt;","=",D139),Holieday[date],CONCATENATE("&lt;","=",F139))+SUMIFS(Holieday[Friday],Holieday[date],CONCATENATE("&gt;","=",D139),Holieday[date],CONCATENATE("&lt;","=",F139)),0)</f>
        <v>24</v>
      </c>
      <c r="O139" s="159">
        <f t="shared" ref="O139:O140" si="44">ROUNDDOWN(M139*L139,0)</f>
        <v>0</v>
      </c>
      <c r="P139" s="159">
        <f>VALUE(J_normdate(J_ADDDAY($D139,$O139,1)))</f>
        <v>13980701</v>
      </c>
      <c r="Q139" s="162">
        <f t="shared" ref="Q139:Q140" si="45">L139-O139</f>
        <v>29</v>
      </c>
      <c r="IY139" s="344"/>
      <c r="IZ139" s="345"/>
      <c r="JA139" s="346"/>
      <c r="JB139" s="346"/>
      <c r="JC139" s="346"/>
      <c r="JD139" s="347"/>
    </row>
    <row r="140" spans="1:16382" s="276" customFormat="1" ht="13.5">
      <c r="A140" s="269">
        <v>6.1</v>
      </c>
      <c r="B140" s="241" t="s">
        <v>138</v>
      </c>
      <c r="C140" s="228" t="s">
        <v>79</v>
      </c>
      <c r="D140" s="244" t="str">
        <f>IF(OR(j_WEEKDAY(J_ADDDAY(VLOOKUP(I140,A:F,6,FALSE),H140,1),0)=6,SUMIFS(Holieday[ok],Holieday[date],J_ADDDAY(VLOOKUP(I140,A:F,6,FALSE),H140,1)))=FALSE(),J_ADDDAY(VLOOKUP(I140,A:F,6,FALSE),H140,1),IF(OR(j_WEEKDAY(J_ADDDAY(VLOOKUP(I140,A:F,6,FALSE),H140+1,1),0)=6,SUMIFS(Holieday[ok],Holieday[date],J_ADDDAY(VLOOKUP(I140,A:F,6,FALSE),H140+1,1)))=FALSE(),J_ADDDAY(VLOOKUP(I140,A:F,6,FALSE),H140+1,1),IF(OR(j_WEEKDAY(J_ADDDAY(VLOOKUP(I140,A:F,6,FALSE),H140+2,1),0)=6,SUMIFS(Holieday[ok],Holieday[date],J_ADDDAY(VLOOKUP(I140,A:F,6,FALSE),H140+2,1)))=FALSE(),J_ADDDAY(VLOOKUP(I140,A:F,6,FALSE),H140+2,1),IF(OR(j_WEEKDAY(J_ADDDAY(VLOOKUP(I140,A:F,6,FALSE),H140+3,1),0)=6,SUMIFS(Holieday[ok],Holieday[date],J_ADDDAY(VLOOKUP(I140,A:F,6,FALSE),H140+3,1)))=FALSE(),J_ADDDAY(VLOOKUP(I140,A:F,6,FALSE),H140+3,1),IF(OR(j_WEEKDAY(J_ADDDAY(VLOOKUP(I140,A:F,6,FALSE),H140+4,1),0)=6,SUMIFS(Holieday[ok],Holieday[date],J_ADDDAY(VLOOKUP(I140,A:F,6,FALSE),H140+4,1)))=FALSE(),J_ADDDAY(VLOOKUP(I140,A:F,6,FALSE),H140+4,1),J_ADDDAY(VLOOKUP(I140,A:F,6,FALSE),H140+5,1))))))</f>
        <v>1398/07/01</v>
      </c>
      <c r="E140" s="160">
        <f t="shared" si="42"/>
        <v>13980701</v>
      </c>
      <c r="F140" s="354" t="str">
        <f>IF(N140=0,J_SUBDAY(D140,1,1),IF((N140-NETWORKDAYS.INTL(J_GregorianDate(D140,1),J_GregorianDate(J_SUBDAY(J_ADDDAY(D140,N140,1),1,1),1),16,1)-SUMIFS(Holieday[ok],Holieday[date],CONCATENATE("&gt;","=",D140),Holieday[date],CONCATENATE("&lt;","=",J_SUBDAY(J_ADDDAY(D140,N140,1),1,1)))+SUMIFS(Holieday[Friday],Holieday[date],CONCATENATE("&gt;","=",D140),Holieday[date],CONCATENATE("&lt;","=",J_SUBDAY(J_ADDDAY(D140,N140,1),1,1))))=0,J_SUBDAY(J_ADDDAY(D140,N140,1),1,1),IF((N140-NETWORKDAYS.INTL(J_GregorianDate(D140,1),J_GregorianDate(J_SUBDAY(J_ADDDAY(D140,N140,1),1,1),1),16,1)-SUMIFS(Holieday[ok],Holieday[date],CONCATENATE("&gt;","=",D140),Holieday[date],CONCATENATE("&lt;","=",J_SUBDAY(J_ADDDAY(D140,N140,1),1,1)))+SUMIFS(Holieday[Friday],Holieday[date],CONCATENATE("&gt;","=",D140),Holieday[date],CONCATENATE("&lt;","=",J_SUBDAY(J_ADDDAY(D140,N140,1),1,1))))=1,J_SUBDAY(J_ADDDAY(D140,N140+1,1),1,1),IF((N140-NETWORKDAYS.INTL(J_GregorianDate(D140,1),J_GregorianDate(J_SUBDAY(J_ADDDAY(D140,N140,1),1,1),1),16,1)-SUMIFS(Holieday[ok],Holieday[date],CONCATENATE("&gt;","=",D140),Holieday[date],CONCATENATE("&lt;","=",J_SUBDAY(J_ADDDAY(D140,N140,1),1,1)))+SUMIFS(Holieday[Friday],Holieday[date],CONCATENATE("&gt;","=",D140),Holieday[date],CONCATENATE("&lt;","=",J_SUBDAY(J_ADDDAY(D140,N140,1),1,1))))=2,J_SUBDAY(J_ADDDAY(D140,N140+2,1),1,1),J_SUBDAY(J_ADDDAY(D140,N140+3,1),1,1)))))</f>
        <v>1398/07/11</v>
      </c>
      <c r="G140" s="163">
        <f t="shared" si="43"/>
        <v>13980711</v>
      </c>
      <c r="H140" s="230">
        <v>1</v>
      </c>
      <c r="I140" s="231">
        <v>1.1000000000000001</v>
      </c>
      <c r="J140" s="229">
        <f>j_WEEKDAY(D140,2)</f>
        <v>2</v>
      </c>
      <c r="K140" s="173">
        <f t="shared" ref="K140:K160" si="46">SUM(JA140:JC140)</f>
        <v>0</v>
      </c>
      <c r="L140" s="270">
        <f t="shared" ref="L140:L160" si="47">J_DIFF(D140,F140)+1</f>
        <v>11</v>
      </c>
      <c r="M140" s="271">
        <v>0</v>
      </c>
      <c r="N140" s="234">
        <v>10</v>
      </c>
      <c r="O140" s="175">
        <f t="shared" si="44"/>
        <v>0</v>
      </c>
      <c r="P140" s="175">
        <f>VALUE(J_normdate(J_ADDDAY($D140,$O140,1)))</f>
        <v>13980701</v>
      </c>
      <c r="Q140" s="171">
        <f t="shared" si="45"/>
        <v>11</v>
      </c>
      <c r="R140" s="235"/>
      <c r="S140" s="235"/>
      <c r="T140" s="235"/>
      <c r="U140" s="235"/>
      <c r="V140" s="235"/>
      <c r="W140" s="235"/>
      <c r="X140" s="235"/>
      <c r="Y140" s="235"/>
      <c r="Z140" s="235"/>
      <c r="AA140" s="235"/>
      <c r="AB140" s="235"/>
      <c r="AC140" s="235"/>
      <c r="AD140" s="235"/>
      <c r="AE140" s="235"/>
      <c r="AF140" s="235"/>
      <c r="AG140" s="235"/>
      <c r="AH140" s="235"/>
      <c r="AI140" s="235"/>
      <c r="AJ140" s="235"/>
      <c r="AK140" s="235"/>
      <c r="AL140" s="235"/>
      <c r="AM140" s="235"/>
      <c r="AN140" s="235"/>
      <c r="AO140" s="235"/>
      <c r="AP140" s="235"/>
      <c r="AQ140" s="235"/>
      <c r="AR140" s="235"/>
      <c r="AS140" s="235"/>
      <c r="AT140" s="235"/>
      <c r="AU140" s="235"/>
      <c r="AV140" s="235"/>
      <c r="AW140" s="235"/>
      <c r="AX140" s="235"/>
      <c r="AY140" s="235"/>
      <c r="AZ140" s="235"/>
      <c r="BA140" s="235"/>
      <c r="BB140" s="235"/>
      <c r="BC140" s="235"/>
      <c r="BD140" s="235"/>
      <c r="BE140" s="235"/>
      <c r="BF140" s="235"/>
      <c r="BG140" s="235"/>
      <c r="BH140" s="235"/>
      <c r="BI140" s="235"/>
      <c r="BJ140" s="235"/>
      <c r="BK140" s="235"/>
      <c r="BL140" s="235"/>
      <c r="BM140" s="235"/>
      <c r="BN140" s="235"/>
      <c r="BO140" s="235"/>
      <c r="BP140" s="235"/>
      <c r="BQ140" s="235"/>
      <c r="BR140" s="235"/>
      <c r="BS140" s="235"/>
      <c r="BT140" s="235"/>
      <c r="BU140" s="235"/>
      <c r="BV140" s="235"/>
      <c r="BW140" s="235"/>
      <c r="BX140" s="235"/>
      <c r="BY140" s="235"/>
      <c r="BZ140" s="235"/>
      <c r="CA140" s="235"/>
      <c r="CB140" s="235"/>
      <c r="CC140" s="235"/>
      <c r="CD140" s="235"/>
      <c r="CE140" s="235"/>
      <c r="CF140" s="235"/>
      <c r="CG140" s="235"/>
      <c r="CH140" s="235"/>
      <c r="CI140" s="235"/>
      <c r="CJ140" s="235"/>
      <c r="CK140" s="235"/>
      <c r="CL140" s="235"/>
      <c r="CM140" s="235"/>
      <c r="CN140" s="235"/>
      <c r="CO140" s="235"/>
      <c r="CP140" s="235"/>
      <c r="CQ140" s="235"/>
      <c r="CR140" s="235"/>
      <c r="CS140" s="235"/>
      <c r="CT140" s="235"/>
      <c r="CU140" s="235"/>
      <c r="CV140" s="235"/>
      <c r="CW140" s="235"/>
      <c r="CX140" s="235"/>
      <c r="CY140" s="235"/>
      <c r="CZ140" s="235"/>
      <c r="DA140" s="235"/>
      <c r="DB140" s="235"/>
      <c r="DC140" s="235"/>
      <c r="DD140" s="235"/>
      <c r="DE140" s="235"/>
      <c r="DF140" s="235"/>
      <c r="DG140" s="235"/>
      <c r="DH140" s="235"/>
      <c r="DI140" s="235"/>
      <c r="DJ140" s="235"/>
      <c r="DK140" s="235"/>
      <c r="DL140" s="235"/>
      <c r="DM140" s="235"/>
      <c r="DN140" s="235"/>
      <c r="DO140" s="235"/>
      <c r="DP140" s="235"/>
      <c r="DQ140" s="235"/>
      <c r="DR140" s="235"/>
      <c r="DS140" s="235"/>
      <c r="DT140" s="235"/>
      <c r="DU140" s="235"/>
      <c r="DV140" s="235"/>
      <c r="DW140" s="235"/>
      <c r="DX140" s="235"/>
      <c r="DY140" s="235"/>
      <c r="DZ140" s="235"/>
      <c r="EA140" s="235"/>
      <c r="EB140" s="235"/>
      <c r="EC140" s="235"/>
      <c r="ED140" s="235"/>
      <c r="EE140" s="235"/>
      <c r="EF140" s="235"/>
      <c r="EG140" s="235"/>
      <c r="EH140" s="235"/>
      <c r="EI140" s="235"/>
      <c r="EJ140" s="235"/>
      <c r="EK140" s="235"/>
      <c r="EL140" s="235"/>
      <c r="EM140" s="235"/>
      <c r="EN140" s="235"/>
      <c r="EO140" s="235"/>
      <c r="EP140" s="235"/>
      <c r="EQ140" s="235"/>
      <c r="ER140" s="235"/>
      <c r="ES140" s="235"/>
      <c r="ET140" s="235"/>
      <c r="EU140" s="235"/>
      <c r="EV140" s="235"/>
      <c r="EW140" s="235"/>
      <c r="EX140" s="235"/>
      <c r="EY140" s="235"/>
      <c r="EZ140" s="235"/>
      <c r="FA140" s="235"/>
      <c r="FB140" s="235"/>
      <c r="FC140" s="235"/>
      <c r="FD140" s="235"/>
      <c r="FE140" s="235"/>
      <c r="FF140" s="235"/>
      <c r="FG140" s="235"/>
      <c r="FH140" s="235"/>
      <c r="FI140" s="235"/>
      <c r="FJ140" s="235"/>
      <c r="FK140" s="235"/>
      <c r="FL140" s="235"/>
      <c r="FM140" s="235"/>
      <c r="FN140" s="235"/>
      <c r="FO140" s="235"/>
      <c r="FP140" s="235"/>
      <c r="FQ140" s="235"/>
      <c r="FR140" s="235"/>
      <c r="FS140" s="235"/>
      <c r="FT140" s="235"/>
      <c r="FU140" s="235"/>
      <c r="FV140" s="235"/>
      <c r="FW140" s="235"/>
      <c r="FX140" s="235"/>
      <c r="FY140" s="235"/>
      <c r="FZ140" s="235"/>
      <c r="GA140" s="235"/>
      <c r="GB140" s="235"/>
      <c r="GC140" s="235"/>
      <c r="GD140" s="235"/>
      <c r="GE140" s="235"/>
      <c r="GF140" s="235"/>
      <c r="GG140" s="235"/>
      <c r="GH140" s="235"/>
      <c r="GI140" s="235"/>
      <c r="GJ140" s="235"/>
      <c r="GK140" s="235"/>
      <c r="GL140" s="235"/>
      <c r="GM140" s="235"/>
      <c r="GN140" s="235"/>
      <c r="GO140" s="235"/>
      <c r="GP140" s="235"/>
      <c r="GQ140" s="235"/>
      <c r="GR140" s="235"/>
      <c r="GS140" s="235"/>
      <c r="GT140" s="235"/>
      <c r="GU140" s="235"/>
      <c r="GV140" s="235"/>
      <c r="GW140" s="235"/>
      <c r="GX140" s="235"/>
      <c r="GY140" s="235"/>
      <c r="GZ140" s="235"/>
      <c r="HA140" s="235"/>
      <c r="HB140" s="235"/>
      <c r="HC140" s="235"/>
      <c r="HD140" s="235"/>
      <c r="HE140" s="235"/>
      <c r="HF140" s="235"/>
      <c r="HG140" s="235"/>
      <c r="HH140" s="235"/>
      <c r="HI140" s="235"/>
      <c r="HJ140" s="235"/>
      <c r="HK140" s="235"/>
      <c r="HL140" s="235"/>
      <c r="HM140" s="235"/>
      <c r="HN140" s="235"/>
      <c r="HO140" s="235"/>
      <c r="HP140" s="235"/>
      <c r="HQ140" s="235"/>
      <c r="HR140" s="235"/>
      <c r="HS140" s="235"/>
      <c r="HT140" s="235"/>
      <c r="HU140" s="235"/>
      <c r="HV140" s="235"/>
      <c r="HW140" s="235"/>
      <c r="HX140" s="235"/>
      <c r="HY140" s="235"/>
      <c r="HZ140" s="235"/>
      <c r="IA140" s="235"/>
      <c r="IB140" s="235"/>
      <c r="IC140" s="235"/>
      <c r="ID140" s="235"/>
      <c r="IE140" s="235"/>
      <c r="IF140" s="235"/>
      <c r="IG140" s="235"/>
      <c r="IH140" s="235"/>
      <c r="II140" s="235"/>
      <c r="IJ140" s="235"/>
      <c r="IK140" s="235"/>
      <c r="IL140" s="235"/>
      <c r="IM140" s="235"/>
      <c r="IN140" s="235"/>
      <c r="IO140" s="235"/>
      <c r="IP140" s="235"/>
      <c r="IQ140" s="235"/>
      <c r="IR140" s="235"/>
      <c r="IS140" s="235"/>
      <c r="IT140" s="235"/>
      <c r="IU140" s="235"/>
      <c r="IV140" s="235"/>
      <c r="IW140" s="235"/>
      <c r="IX140" s="235"/>
      <c r="IY140" s="272">
        <v>1</v>
      </c>
      <c r="IZ140" s="272">
        <f>(TEXT(K140,"[m]")/60)*VLOOKUP(IY140,'Income Person-hours'!A$2:C$5,3,FALSE)</f>
        <v>0</v>
      </c>
      <c r="JA140" s="249"/>
      <c r="JB140" s="273"/>
      <c r="JC140" s="274"/>
      <c r="JD140" s="275">
        <f>SUM((TEXT(JA140,"[M]")/60)*'Income Person-hours'!$D$3,(TEXT(JB140,"[M]")/60)*'Income Person-hours'!$D$4,(TEXT(JC140,"[M]")/60)*'Income Person-hours'!$D$5)</f>
        <v>0</v>
      </c>
      <c r="JE140" s="235"/>
      <c r="JF140" s="235"/>
      <c r="JG140" s="235"/>
      <c r="JH140" s="235"/>
      <c r="JI140" s="235"/>
      <c r="JJ140" s="235"/>
      <c r="JK140" s="235"/>
      <c r="JL140" s="235"/>
      <c r="JM140" s="235"/>
      <c r="JN140" s="235"/>
      <c r="JO140" s="235"/>
      <c r="JP140" s="235"/>
      <c r="JQ140" s="235"/>
      <c r="JR140" s="235"/>
      <c r="JS140" s="235"/>
      <c r="JT140" s="235"/>
      <c r="JU140" s="235"/>
      <c r="JV140" s="235"/>
      <c r="JW140" s="235"/>
      <c r="JX140" s="235"/>
      <c r="JY140" s="235"/>
      <c r="JZ140" s="235"/>
      <c r="KA140" s="235"/>
      <c r="KB140" s="235"/>
      <c r="KC140" s="235"/>
      <c r="KD140" s="235"/>
      <c r="KE140" s="235"/>
      <c r="KF140" s="235"/>
      <c r="KG140" s="235"/>
      <c r="KH140" s="235"/>
      <c r="KI140" s="235"/>
      <c r="KJ140" s="235"/>
      <c r="KK140" s="235"/>
      <c r="KL140" s="235"/>
      <c r="KM140" s="235"/>
      <c r="KN140" s="235"/>
      <c r="KO140" s="235"/>
      <c r="KP140" s="235"/>
      <c r="KQ140" s="235"/>
      <c r="KR140" s="235"/>
      <c r="KS140" s="235"/>
      <c r="KT140" s="235"/>
      <c r="KU140" s="235"/>
      <c r="KV140" s="235"/>
      <c r="KW140" s="235"/>
      <c r="KX140" s="235"/>
      <c r="KY140" s="235"/>
      <c r="KZ140" s="235"/>
      <c r="LA140" s="235"/>
      <c r="LB140" s="235"/>
      <c r="LC140" s="235"/>
      <c r="LD140" s="235"/>
      <c r="LE140" s="235"/>
      <c r="LF140" s="235"/>
      <c r="LG140" s="235"/>
      <c r="LH140" s="235"/>
      <c r="LI140" s="235"/>
      <c r="LJ140" s="235"/>
      <c r="LK140" s="235"/>
      <c r="LL140" s="235"/>
      <c r="LM140" s="235"/>
      <c r="LN140" s="235"/>
      <c r="LO140" s="235"/>
      <c r="LP140" s="235"/>
      <c r="LQ140" s="235"/>
      <c r="LR140" s="235"/>
      <c r="LS140" s="235"/>
      <c r="LT140" s="235"/>
      <c r="LU140" s="235"/>
      <c r="LV140" s="235"/>
      <c r="LW140" s="235"/>
      <c r="LX140" s="235"/>
      <c r="LY140" s="235"/>
      <c r="LZ140" s="235"/>
      <c r="MA140" s="235"/>
      <c r="MB140" s="235"/>
      <c r="MC140" s="235"/>
      <c r="MD140" s="235"/>
      <c r="ME140" s="235"/>
      <c r="MF140" s="235"/>
      <c r="MG140" s="235"/>
      <c r="MH140" s="235"/>
      <c r="MI140" s="235"/>
      <c r="MJ140" s="235"/>
      <c r="MK140" s="235"/>
      <c r="ML140" s="235"/>
      <c r="MM140" s="235"/>
      <c r="MN140" s="235"/>
      <c r="MO140" s="235"/>
      <c r="MP140" s="235"/>
      <c r="MQ140" s="235"/>
      <c r="MR140" s="235"/>
      <c r="MS140" s="235"/>
      <c r="MT140" s="235"/>
      <c r="MU140" s="235"/>
      <c r="MV140" s="235"/>
      <c r="MW140" s="235"/>
      <c r="MX140" s="235"/>
      <c r="MY140" s="235"/>
      <c r="MZ140" s="235"/>
      <c r="NA140" s="235"/>
      <c r="NB140" s="235"/>
      <c r="NC140" s="235"/>
      <c r="ND140" s="235"/>
      <c r="NE140" s="235"/>
      <c r="NF140" s="235"/>
      <c r="NG140" s="235"/>
      <c r="NH140" s="235"/>
      <c r="NI140" s="235"/>
      <c r="NJ140" s="235"/>
      <c r="NK140" s="235"/>
      <c r="NL140" s="235"/>
      <c r="NM140" s="235"/>
      <c r="NN140" s="235"/>
      <c r="NO140" s="235"/>
      <c r="NP140" s="235"/>
      <c r="NQ140" s="235"/>
      <c r="NR140" s="235"/>
      <c r="NS140" s="235"/>
      <c r="NT140" s="235"/>
      <c r="NU140" s="235"/>
      <c r="NV140" s="235"/>
      <c r="NW140" s="235"/>
      <c r="NX140" s="235"/>
      <c r="NY140" s="235"/>
      <c r="NZ140" s="235"/>
      <c r="OA140" s="235"/>
      <c r="OB140" s="235"/>
      <c r="OC140" s="235"/>
      <c r="OD140" s="235"/>
      <c r="OE140" s="235"/>
      <c r="OF140" s="235"/>
      <c r="OG140" s="235"/>
      <c r="OH140" s="235"/>
      <c r="OI140" s="235"/>
      <c r="OJ140" s="235"/>
      <c r="OK140" s="235"/>
      <c r="OL140" s="235"/>
      <c r="OM140" s="235"/>
      <c r="ON140" s="235"/>
      <c r="OO140" s="235"/>
      <c r="OP140" s="235"/>
      <c r="OQ140" s="235"/>
      <c r="OR140" s="235"/>
      <c r="OS140" s="235"/>
      <c r="OT140" s="235"/>
      <c r="OU140" s="235"/>
      <c r="OV140" s="235"/>
      <c r="OW140" s="235"/>
      <c r="OX140" s="235"/>
      <c r="OY140" s="235"/>
      <c r="OZ140" s="235"/>
      <c r="PA140" s="235"/>
      <c r="PB140" s="235"/>
      <c r="PC140" s="235"/>
      <c r="PD140" s="235"/>
      <c r="PE140" s="235"/>
      <c r="PF140" s="235"/>
      <c r="PG140" s="235"/>
      <c r="PH140" s="235"/>
      <c r="PI140" s="235"/>
      <c r="PJ140" s="235"/>
      <c r="PK140" s="235"/>
      <c r="PL140" s="235"/>
      <c r="PM140" s="235"/>
      <c r="PN140" s="235"/>
      <c r="PO140" s="235"/>
      <c r="PP140" s="235"/>
      <c r="PQ140" s="235"/>
      <c r="PR140" s="235"/>
      <c r="PS140" s="235"/>
      <c r="PT140" s="235"/>
      <c r="PU140" s="235"/>
      <c r="PV140" s="235"/>
      <c r="PW140" s="235"/>
      <c r="PX140" s="235"/>
      <c r="PY140" s="235"/>
      <c r="PZ140" s="235"/>
      <c r="QA140" s="235"/>
      <c r="QB140" s="235"/>
      <c r="QC140" s="235"/>
      <c r="QD140" s="235"/>
      <c r="QE140" s="235"/>
      <c r="QF140" s="235"/>
      <c r="QG140" s="235"/>
      <c r="QH140" s="235"/>
      <c r="QI140" s="235"/>
      <c r="QJ140" s="235"/>
      <c r="QK140" s="235"/>
      <c r="QL140" s="235"/>
      <c r="QM140" s="235"/>
      <c r="QN140" s="235"/>
      <c r="QO140" s="235"/>
      <c r="QP140" s="235"/>
      <c r="QQ140" s="235"/>
      <c r="QR140" s="235"/>
      <c r="QS140" s="235"/>
      <c r="QT140" s="235"/>
      <c r="QU140" s="235"/>
      <c r="QV140" s="235"/>
      <c r="QW140" s="235"/>
      <c r="QX140" s="235"/>
      <c r="QY140" s="235"/>
      <c r="QZ140" s="235"/>
      <c r="RA140" s="235"/>
      <c r="RB140" s="235"/>
      <c r="RC140" s="235"/>
      <c r="RD140" s="235"/>
      <c r="RE140" s="235"/>
      <c r="RF140" s="235"/>
      <c r="RG140" s="235"/>
      <c r="RH140" s="235"/>
      <c r="RI140" s="235"/>
      <c r="RJ140" s="235"/>
      <c r="RK140" s="235"/>
      <c r="RL140" s="235"/>
      <c r="RM140" s="235"/>
      <c r="RN140" s="235"/>
      <c r="RO140" s="235"/>
      <c r="RP140" s="235"/>
      <c r="RQ140" s="235"/>
      <c r="RR140" s="235"/>
      <c r="RS140" s="235"/>
      <c r="RT140" s="235"/>
      <c r="RU140" s="235"/>
      <c r="RV140" s="235"/>
      <c r="RW140" s="235"/>
      <c r="RX140" s="235"/>
      <c r="RY140" s="235"/>
      <c r="RZ140" s="235"/>
      <c r="SA140" s="235"/>
      <c r="SB140" s="235"/>
      <c r="SC140" s="235"/>
      <c r="SD140" s="235"/>
      <c r="SE140" s="235"/>
      <c r="SF140" s="235"/>
      <c r="SG140" s="235"/>
      <c r="SH140" s="235"/>
      <c r="SI140" s="235"/>
      <c r="SJ140" s="235"/>
      <c r="SK140" s="235"/>
      <c r="SL140" s="235"/>
      <c r="SM140" s="235"/>
      <c r="SN140" s="235"/>
      <c r="SO140" s="235"/>
      <c r="SP140" s="235"/>
      <c r="SQ140" s="235"/>
      <c r="SR140" s="235"/>
      <c r="SS140" s="235"/>
      <c r="ST140" s="235"/>
      <c r="SU140" s="235"/>
      <c r="SV140" s="235"/>
      <c r="SW140" s="235"/>
      <c r="SX140" s="235"/>
      <c r="SY140" s="235"/>
      <c r="SZ140" s="235"/>
      <c r="TA140" s="235"/>
      <c r="TB140" s="235"/>
      <c r="TC140" s="235"/>
      <c r="TD140" s="235"/>
      <c r="TE140" s="235"/>
      <c r="TF140" s="235"/>
      <c r="TG140" s="235"/>
      <c r="TH140" s="235"/>
      <c r="TI140" s="235"/>
      <c r="TJ140" s="235"/>
      <c r="TK140" s="235"/>
      <c r="TL140" s="235"/>
      <c r="TM140" s="235"/>
      <c r="TN140" s="235"/>
      <c r="TO140" s="235"/>
      <c r="TP140" s="235"/>
      <c r="TQ140" s="235"/>
      <c r="TR140" s="235"/>
      <c r="TS140" s="235"/>
      <c r="TT140" s="235"/>
      <c r="TU140" s="235"/>
      <c r="TV140" s="235"/>
      <c r="TW140" s="235"/>
      <c r="TX140" s="235"/>
      <c r="TY140" s="235"/>
      <c r="TZ140" s="235"/>
      <c r="UA140" s="235"/>
      <c r="UB140" s="235"/>
      <c r="UC140" s="235"/>
      <c r="UD140" s="235"/>
      <c r="UE140" s="235"/>
      <c r="UF140" s="235"/>
      <c r="UG140" s="235"/>
      <c r="UH140" s="235"/>
      <c r="UI140" s="235"/>
      <c r="UJ140" s="235"/>
      <c r="UK140" s="235"/>
      <c r="UL140" s="235"/>
      <c r="UM140" s="235"/>
      <c r="UN140" s="235"/>
      <c r="UO140" s="235"/>
      <c r="UP140" s="235"/>
      <c r="UQ140" s="235"/>
      <c r="UR140" s="235"/>
      <c r="US140" s="235"/>
      <c r="UT140" s="235"/>
      <c r="UU140" s="235"/>
      <c r="UV140" s="235"/>
      <c r="UW140" s="235"/>
      <c r="UX140" s="235"/>
      <c r="UY140" s="235"/>
      <c r="UZ140" s="235"/>
      <c r="VA140" s="235"/>
      <c r="VB140" s="235"/>
      <c r="VC140" s="235"/>
      <c r="VD140" s="235"/>
      <c r="VE140" s="235"/>
      <c r="VF140" s="235"/>
      <c r="VG140" s="235"/>
      <c r="VH140" s="235"/>
      <c r="VI140" s="235"/>
      <c r="VJ140" s="235"/>
      <c r="VK140" s="235"/>
      <c r="VL140" s="235"/>
      <c r="VM140" s="235"/>
      <c r="VN140" s="235"/>
      <c r="VO140" s="235"/>
      <c r="VP140" s="235"/>
      <c r="VQ140" s="235"/>
      <c r="VR140" s="235"/>
      <c r="VS140" s="235"/>
      <c r="VT140" s="235"/>
      <c r="VU140" s="235"/>
      <c r="VV140" s="235"/>
      <c r="VW140" s="235"/>
      <c r="VX140" s="235"/>
      <c r="VY140" s="235"/>
      <c r="VZ140" s="235"/>
      <c r="WA140" s="235"/>
      <c r="WB140" s="235"/>
      <c r="WC140" s="235"/>
      <c r="WD140" s="235"/>
      <c r="WE140" s="235"/>
      <c r="WF140" s="235"/>
      <c r="WG140" s="235"/>
      <c r="WH140" s="235"/>
      <c r="WI140" s="235"/>
      <c r="WJ140" s="235"/>
      <c r="WK140" s="235"/>
      <c r="WL140" s="235"/>
      <c r="WM140" s="235"/>
      <c r="WN140" s="235"/>
      <c r="WO140" s="235"/>
      <c r="WP140" s="235"/>
      <c r="WQ140" s="235"/>
      <c r="WR140" s="235"/>
      <c r="WS140" s="235"/>
      <c r="WT140" s="235"/>
      <c r="WU140" s="235"/>
      <c r="WV140" s="235"/>
      <c r="WW140" s="235"/>
      <c r="WX140" s="235"/>
      <c r="WY140" s="235"/>
      <c r="WZ140" s="235"/>
      <c r="XA140" s="235"/>
      <c r="XB140" s="235"/>
      <c r="XC140" s="235"/>
      <c r="XD140" s="235"/>
      <c r="XE140" s="235"/>
      <c r="XF140" s="235"/>
      <c r="XG140" s="235"/>
      <c r="XH140" s="235"/>
      <c r="XI140" s="235"/>
      <c r="XJ140" s="235"/>
      <c r="XK140" s="235"/>
      <c r="XL140" s="235"/>
      <c r="XM140" s="235"/>
      <c r="XN140" s="235"/>
      <c r="XO140" s="235"/>
      <c r="XP140" s="235"/>
      <c r="XQ140" s="235"/>
      <c r="XR140" s="235"/>
      <c r="XS140" s="235"/>
      <c r="XT140" s="235"/>
      <c r="XU140" s="235"/>
      <c r="XV140" s="235"/>
      <c r="XW140" s="235"/>
      <c r="XX140" s="235"/>
      <c r="XY140" s="235"/>
      <c r="XZ140" s="235"/>
      <c r="YA140" s="235"/>
      <c r="YB140" s="235"/>
      <c r="YC140" s="235"/>
      <c r="YD140" s="235"/>
      <c r="YE140" s="235"/>
      <c r="YF140" s="235"/>
      <c r="YG140" s="235"/>
      <c r="YH140" s="235"/>
      <c r="YI140" s="235"/>
      <c r="YJ140" s="235"/>
      <c r="YK140" s="235"/>
      <c r="YL140" s="235"/>
      <c r="YM140" s="235"/>
      <c r="YN140" s="235"/>
      <c r="YO140" s="235"/>
      <c r="YP140" s="235"/>
      <c r="YQ140" s="235"/>
      <c r="YR140" s="235"/>
      <c r="YS140" s="235"/>
      <c r="YT140" s="235"/>
      <c r="YU140" s="235"/>
      <c r="YV140" s="235"/>
      <c r="YW140" s="235"/>
      <c r="YX140" s="235"/>
      <c r="YY140" s="235"/>
      <c r="YZ140" s="235"/>
      <c r="ZA140" s="235"/>
      <c r="ZB140" s="235"/>
      <c r="ZC140" s="235"/>
      <c r="ZD140" s="235"/>
      <c r="ZE140" s="235"/>
      <c r="ZF140" s="235"/>
      <c r="ZG140" s="235"/>
      <c r="ZH140" s="235"/>
      <c r="ZI140" s="235"/>
      <c r="ZJ140" s="235"/>
      <c r="ZK140" s="235"/>
      <c r="ZL140" s="235"/>
      <c r="ZM140" s="235"/>
      <c r="ZN140" s="235"/>
      <c r="ZO140" s="235"/>
      <c r="ZP140" s="235"/>
      <c r="ZQ140" s="235"/>
      <c r="ZR140" s="235"/>
      <c r="ZS140" s="235"/>
      <c r="ZT140" s="235"/>
      <c r="ZU140" s="235"/>
      <c r="ZV140" s="235"/>
      <c r="ZW140" s="235"/>
      <c r="ZX140" s="235"/>
      <c r="ZY140" s="235"/>
      <c r="ZZ140" s="235"/>
      <c r="AAA140" s="235"/>
      <c r="AAB140" s="235"/>
      <c r="AAC140" s="235"/>
      <c r="AAD140" s="235"/>
      <c r="AAE140" s="235"/>
      <c r="AAF140" s="235"/>
      <c r="AAG140" s="235"/>
      <c r="AAH140" s="235"/>
      <c r="AAI140" s="235"/>
      <c r="AAJ140" s="235"/>
      <c r="AAK140" s="235"/>
      <c r="AAL140" s="235"/>
      <c r="AAM140" s="235"/>
      <c r="AAN140" s="235"/>
      <c r="AAO140" s="235"/>
      <c r="AAP140" s="235"/>
      <c r="AAQ140" s="235"/>
      <c r="AAR140" s="235"/>
      <c r="AAS140" s="235"/>
      <c r="AAT140" s="235"/>
      <c r="AAU140" s="235"/>
      <c r="AAV140" s="235"/>
      <c r="AAW140" s="235"/>
      <c r="AAX140" s="235"/>
      <c r="AAY140" s="235"/>
      <c r="AAZ140" s="235"/>
      <c r="ABA140" s="235"/>
      <c r="ABB140" s="235"/>
      <c r="ABC140" s="235"/>
      <c r="ABD140" s="235"/>
      <c r="ABE140" s="235"/>
      <c r="ABF140" s="235"/>
      <c r="ABG140" s="235"/>
      <c r="ABH140" s="235"/>
      <c r="ABI140" s="235"/>
      <c r="ABJ140" s="235"/>
      <c r="ABK140" s="235"/>
      <c r="ABL140" s="235"/>
      <c r="ABM140" s="235"/>
      <c r="ABN140" s="235"/>
      <c r="ABO140" s="235"/>
      <c r="ABP140" s="235"/>
      <c r="ABQ140" s="235"/>
      <c r="ABR140" s="235"/>
      <c r="ABS140" s="235"/>
      <c r="ABT140" s="235"/>
      <c r="ABU140" s="235"/>
      <c r="ABV140" s="235"/>
      <c r="ABW140" s="235"/>
      <c r="ABX140" s="235"/>
      <c r="ABY140" s="235"/>
      <c r="ABZ140" s="235"/>
      <c r="ACA140" s="235"/>
      <c r="ACB140" s="235"/>
      <c r="ACC140" s="235"/>
      <c r="ACD140" s="235"/>
      <c r="ACE140" s="235"/>
      <c r="ACF140" s="235"/>
      <c r="ACG140" s="235"/>
      <c r="ACH140" s="235"/>
      <c r="ACI140" s="235"/>
      <c r="ACJ140" s="235"/>
      <c r="ACK140" s="235"/>
      <c r="ACL140" s="235"/>
      <c r="ACM140" s="235"/>
      <c r="ACN140" s="235"/>
      <c r="ACO140" s="235"/>
      <c r="ACP140" s="235"/>
      <c r="ACQ140" s="235"/>
      <c r="ACR140" s="235"/>
      <c r="ACS140" s="235"/>
      <c r="ACT140" s="235"/>
      <c r="ACU140" s="235"/>
      <c r="ACV140" s="235"/>
      <c r="ACW140" s="235"/>
      <c r="ACX140" s="235"/>
      <c r="ACY140" s="235"/>
      <c r="ACZ140" s="235"/>
      <c r="ADA140" s="235"/>
      <c r="ADB140" s="235"/>
      <c r="ADC140" s="235"/>
      <c r="ADD140" s="235"/>
      <c r="ADE140" s="235"/>
      <c r="ADF140" s="235"/>
      <c r="ADG140" s="235"/>
      <c r="ADH140" s="235"/>
      <c r="ADI140" s="235"/>
      <c r="ADJ140" s="235"/>
      <c r="ADK140" s="235"/>
      <c r="ADL140" s="235"/>
      <c r="ADM140" s="235"/>
      <c r="ADN140" s="235"/>
      <c r="ADO140" s="235"/>
      <c r="ADP140" s="235"/>
      <c r="ADQ140" s="235"/>
      <c r="ADR140" s="235"/>
      <c r="ADS140" s="235"/>
      <c r="ADT140" s="235"/>
      <c r="ADU140" s="235"/>
      <c r="ADV140" s="235"/>
      <c r="ADW140" s="235"/>
      <c r="ADX140" s="235"/>
      <c r="ADY140" s="235"/>
      <c r="ADZ140" s="235"/>
      <c r="AEA140" s="235"/>
      <c r="AEB140" s="235"/>
      <c r="AEC140" s="235"/>
      <c r="AED140" s="235"/>
      <c r="AEE140" s="235"/>
      <c r="AEF140" s="235"/>
      <c r="AEG140" s="235"/>
      <c r="AEH140" s="235"/>
      <c r="AEI140" s="235"/>
      <c r="AEJ140" s="235"/>
      <c r="AEK140" s="235"/>
      <c r="AEL140" s="235"/>
      <c r="AEM140" s="235"/>
      <c r="AEN140" s="235"/>
      <c r="AEO140" s="235"/>
      <c r="AEP140" s="235"/>
      <c r="AEQ140" s="235"/>
      <c r="AER140" s="235"/>
      <c r="AES140" s="235"/>
      <c r="AET140" s="235"/>
      <c r="AEU140" s="235"/>
      <c r="AEV140" s="235"/>
      <c r="AEW140" s="235"/>
      <c r="AEX140" s="235"/>
      <c r="AEY140" s="235"/>
      <c r="AEZ140" s="235"/>
      <c r="AFA140" s="235"/>
      <c r="AFB140" s="235"/>
      <c r="AFC140" s="235"/>
      <c r="AFD140" s="235"/>
      <c r="AFE140" s="235"/>
      <c r="AFF140" s="235"/>
      <c r="AFG140" s="235"/>
      <c r="AFH140" s="235"/>
      <c r="AFI140" s="235"/>
      <c r="AFJ140" s="235"/>
      <c r="AFK140" s="235"/>
      <c r="AFL140" s="235"/>
      <c r="AFM140" s="235"/>
      <c r="AFN140" s="235"/>
      <c r="AFO140" s="235"/>
      <c r="AFP140" s="235"/>
      <c r="AFQ140" s="235"/>
      <c r="AFR140" s="235"/>
      <c r="AFS140" s="235"/>
      <c r="AFT140" s="235"/>
      <c r="AFU140" s="235"/>
      <c r="AFV140" s="235"/>
      <c r="AFW140" s="235"/>
      <c r="AFX140" s="235"/>
      <c r="AFY140" s="235"/>
      <c r="AFZ140" s="235"/>
      <c r="AGA140" s="235"/>
      <c r="AGB140" s="235"/>
      <c r="AGC140" s="235"/>
      <c r="AGD140" s="235"/>
      <c r="AGE140" s="235"/>
      <c r="AGF140" s="235"/>
      <c r="AGG140" s="235"/>
      <c r="AGH140" s="235"/>
      <c r="AGI140" s="235"/>
      <c r="AGJ140" s="235"/>
      <c r="AGK140" s="235"/>
      <c r="AGL140" s="235"/>
      <c r="AGM140" s="235"/>
      <c r="AGN140" s="235"/>
      <c r="AGO140" s="235"/>
      <c r="AGP140" s="235"/>
      <c r="AGQ140" s="235"/>
      <c r="AGR140" s="235"/>
      <c r="AGS140" s="235"/>
      <c r="AGT140" s="235"/>
      <c r="AGU140" s="235"/>
      <c r="AGV140" s="235"/>
      <c r="AGW140" s="235"/>
      <c r="AGX140" s="235"/>
      <c r="AGY140" s="235"/>
      <c r="AGZ140" s="235"/>
      <c r="AHA140" s="235"/>
      <c r="AHB140" s="235"/>
      <c r="AHC140" s="235"/>
      <c r="AHD140" s="235"/>
      <c r="AHE140" s="235"/>
      <c r="AHF140" s="235"/>
      <c r="AHG140" s="235"/>
      <c r="AHH140" s="235"/>
      <c r="AHI140" s="235"/>
      <c r="AHJ140" s="235"/>
      <c r="AHK140" s="235"/>
      <c r="AHL140" s="235"/>
      <c r="AHM140" s="235"/>
      <c r="AHN140" s="235"/>
      <c r="AHO140" s="235"/>
      <c r="AHP140" s="235"/>
      <c r="AHQ140" s="235"/>
      <c r="AHR140" s="235"/>
      <c r="AHS140" s="235"/>
      <c r="AHT140" s="235"/>
      <c r="AHU140" s="235"/>
      <c r="AHV140" s="235"/>
      <c r="AHW140" s="235"/>
      <c r="AHX140" s="235"/>
      <c r="AHY140" s="235"/>
      <c r="AHZ140" s="235"/>
      <c r="AIA140" s="235"/>
      <c r="AIB140" s="235"/>
      <c r="AIC140" s="235"/>
      <c r="AID140" s="235"/>
      <c r="AIE140" s="235"/>
      <c r="AIF140" s="235"/>
      <c r="AIG140" s="235"/>
      <c r="AIH140" s="235"/>
      <c r="AII140" s="235"/>
      <c r="AIJ140" s="235"/>
      <c r="AIK140" s="235"/>
      <c r="AIL140" s="235"/>
      <c r="AIM140" s="235"/>
      <c r="AIN140" s="235"/>
      <c r="AIO140" s="235"/>
      <c r="AIP140" s="235"/>
      <c r="AIQ140" s="235"/>
      <c r="AIR140" s="235"/>
      <c r="AIS140" s="235"/>
      <c r="AIT140" s="235"/>
      <c r="AIU140" s="235"/>
      <c r="AIV140" s="235"/>
      <c r="AIW140" s="235"/>
      <c r="AIX140" s="235"/>
      <c r="AIY140" s="235"/>
      <c r="AIZ140" s="235"/>
      <c r="AJA140" s="235"/>
      <c r="AJB140" s="235"/>
      <c r="AJC140" s="235"/>
      <c r="AJD140" s="235"/>
      <c r="AJE140" s="235"/>
      <c r="AJF140" s="235"/>
      <c r="AJG140" s="235"/>
      <c r="AJH140" s="235"/>
      <c r="AJI140" s="235"/>
      <c r="AJJ140" s="235"/>
      <c r="AJK140" s="235"/>
      <c r="AJL140" s="235"/>
      <c r="AJM140" s="235"/>
      <c r="AJN140" s="235"/>
      <c r="AJO140" s="235"/>
      <c r="AJP140" s="235"/>
      <c r="AJQ140" s="235"/>
      <c r="AJR140" s="235"/>
      <c r="AJS140" s="235"/>
      <c r="AJT140" s="235"/>
      <c r="AJU140" s="235"/>
      <c r="AJV140" s="235"/>
      <c r="AJW140" s="235"/>
      <c r="AJX140" s="235"/>
      <c r="AJY140" s="235"/>
      <c r="AJZ140" s="235"/>
      <c r="AKA140" s="235"/>
      <c r="AKB140" s="235"/>
      <c r="AKC140" s="235"/>
      <c r="AKD140" s="235"/>
      <c r="AKE140" s="235"/>
      <c r="AKF140" s="235"/>
      <c r="AKG140" s="235"/>
      <c r="AKH140" s="235"/>
      <c r="AKI140" s="235"/>
      <c r="AKJ140" s="235"/>
      <c r="AKK140" s="235"/>
      <c r="AKL140" s="235"/>
      <c r="AKM140" s="235"/>
      <c r="AKN140" s="235"/>
      <c r="AKO140" s="235"/>
      <c r="AKP140" s="235"/>
      <c r="AKQ140" s="235"/>
      <c r="AKR140" s="235"/>
      <c r="AKS140" s="235"/>
      <c r="AKT140" s="235"/>
      <c r="AKU140" s="235"/>
      <c r="AKV140" s="235"/>
      <c r="AKW140" s="235"/>
      <c r="AKX140" s="235"/>
      <c r="AKY140" s="235"/>
      <c r="AKZ140" s="235"/>
      <c r="ALA140" s="235"/>
      <c r="ALB140" s="235"/>
      <c r="ALC140" s="235"/>
      <c r="ALD140" s="235"/>
      <c r="ALE140" s="235"/>
      <c r="ALF140" s="235"/>
      <c r="ALG140" s="235"/>
      <c r="ALH140" s="235"/>
      <c r="ALI140" s="235"/>
      <c r="ALJ140" s="235"/>
      <c r="ALK140" s="235"/>
      <c r="ALL140" s="235"/>
      <c r="ALM140" s="235"/>
      <c r="ALN140" s="235"/>
      <c r="ALO140" s="235"/>
      <c r="ALP140" s="235"/>
      <c r="ALQ140" s="235"/>
      <c r="ALR140" s="235"/>
      <c r="ALS140" s="235"/>
      <c r="ALT140" s="235"/>
      <c r="ALU140" s="235"/>
      <c r="ALV140" s="235"/>
      <c r="ALW140" s="235"/>
      <c r="ALX140" s="235"/>
      <c r="ALY140" s="235"/>
      <c r="ALZ140" s="235"/>
      <c r="AMA140" s="235"/>
      <c r="AMB140" s="235"/>
      <c r="AMC140" s="235"/>
      <c r="AMD140" s="235"/>
      <c r="AME140" s="235"/>
      <c r="AMF140" s="235"/>
      <c r="AMG140" s="235"/>
      <c r="AMH140" s="235"/>
      <c r="AMI140" s="235"/>
      <c r="AMJ140" s="235"/>
      <c r="AMK140" s="235"/>
      <c r="AML140" s="235"/>
      <c r="AMM140" s="235"/>
      <c r="AMN140" s="235"/>
      <c r="AMO140" s="235"/>
      <c r="AMP140" s="235"/>
      <c r="AMQ140" s="235"/>
      <c r="AMR140" s="235"/>
      <c r="AMS140" s="235"/>
      <c r="AMT140" s="235"/>
      <c r="AMU140" s="235"/>
      <c r="AMV140" s="235"/>
      <c r="AMW140" s="235"/>
      <c r="AMX140" s="235"/>
      <c r="AMY140" s="235"/>
      <c r="AMZ140" s="235"/>
      <c r="ANA140" s="235"/>
      <c r="ANB140" s="235"/>
      <c r="ANC140" s="235"/>
      <c r="AND140" s="235"/>
      <c r="ANE140" s="235"/>
      <c r="ANF140" s="235"/>
      <c r="ANG140" s="235"/>
      <c r="ANH140" s="235"/>
      <c r="ANI140" s="235"/>
      <c r="ANJ140" s="235"/>
      <c r="ANK140" s="235"/>
      <c r="ANL140" s="235"/>
      <c r="ANM140" s="235"/>
      <c r="ANN140" s="235"/>
      <c r="ANO140" s="235"/>
      <c r="ANP140" s="235"/>
      <c r="ANQ140" s="235"/>
      <c r="ANR140" s="235"/>
      <c r="ANS140" s="235"/>
      <c r="ANT140" s="235"/>
      <c r="ANU140" s="235"/>
      <c r="ANV140" s="235"/>
      <c r="ANW140" s="235"/>
      <c r="ANX140" s="235"/>
      <c r="ANY140" s="235"/>
      <c r="ANZ140" s="235"/>
      <c r="AOA140" s="235"/>
      <c r="AOB140" s="235"/>
      <c r="AOC140" s="235"/>
      <c r="AOD140" s="235"/>
      <c r="AOE140" s="235"/>
      <c r="AOF140" s="235"/>
      <c r="AOG140" s="235"/>
      <c r="AOH140" s="235"/>
      <c r="AOI140" s="235"/>
      <c r="AOJ140" s="235"/>
      <c r="AOK140" s="235"/>
      <c r="AOL140" s="235"/>
      <c r="AOM140" s="235"/>
      <c r="AON140" s="235"/>
      <c r="AOO140" s="235"/>
      <c r="AOP140" s="235"/>
      <c r="AOQ140" s="235"/>
      <c r="AOR140" s="235"/>
      <c r="AOS140" s="235"/>
      <c r="AOT140" s="235"/>
      <c r="AOU140" s="235"/>
      <c r="AOV140" s="235"/>
      <c r="AOW140" s="235"/>
      <c r="AOX140" s="235"/>
      <c r="AOY140" s="235"/>
      <c r="AOZ140" s="235"/>
      <c r="APA140" s="235"/>
      <c r="APB140" s="235"/>
      <c r="APC140" s="235"/>
      <c r="APD140" s="235"/>
      <c r="APE140" s="235"/>
      <c r="APF140" s="235"/>
      <c r="APG140" s="235"/>
      <c r="APH140" s="235"/>
      <c r="API140" s="235"/>
      <c r="APJ140" s="235"/>
      <c r="APK140" s="235"/>
      <c r="APL140" s="235"/>
      <c r="APM140" s="235"/>
      <c r="APN140" s="235"/>
      <c r="APO140" s="235"/>
      <c r="APP140" s="235"/>
      <c r="APQ140" s="235"/>
      <c r="APR140" s="235"/>
      <c r="APS140" s="235"/>
      <c r="APT140" s="235"/>
      <c r="APU140" s="235"/>
      <c r="APV140" s="235"/>
      <c r="APW140" s="235"/>
      <c r="APX140" s="235"/>
      <c r="APY140" s="235"/>
      <c r="APZ140" s="235"/>
      <c r="AQA140" s="235"/>
      <c r="AQB140" s="235"/>
      <c r="AQC140" s="235"/>
      <c r="AQD140" s="235"/>
      <c r="AQE140" s="235"/>
      <c r="AQF140" s="235"/>
      <c r="AQG140" s="235"/>
      <c r="AQH140" s="235"/>
      <c r="AQI140" s="235"/>
      <c r="AQJ140" s="235"/>
      <c r="AQK140" s="235"/>
      <c r="AQL140" s="235"/>
      <c r="AQM140" s="235"/>
      <c r="AQN140" s="235"/>
      <c r="AQO140" s="235"/>
      <c r="AQP140" s="235"/>
      <c r="AQQ140" s="235"/>
      <c r="AQR140" s="235"/>
      <c r="AQS140" s="235"/>
      <c r="AQT140" s="235"/>
      <c r="AQU140" s="235"/>
      <c r="AQV140" s="235"/>
      <c r="AQW140" s="235"/>
      <c r="AQX140" s="235"/>
      <c r="AQY140" s="235"/>
      <c r="AQZ140" s="235"/>
      <c r="ARA140" s="235"/>
      <c r="ARB140" s="235"/>
      <c r="ARC140" s="235"/>
      <c r="ARD140" s="235"/>
      <c r="ARE140" s="235"/>
      <c r="ARF140" s="235"/>
      <c r="ARG140" s="235"/>
      <c r="ARH140" s="235"/>
      <c r="ARI140" s="235"/>
      <c r="ARJ140" s="235"/>
      <c r="ARK140" s="235"/>
      <c r="ARL140" s="235"/>
      <c r="ARM140" s="235"/>
      <c r="ARN140" s="235"/>
      <c r="ARO140" s="235"/>
      <c r="ARP140" s="235"/>
      <c r="ARQ140" s="235"/>
      <c r="ARR140" s="235"/>
      <c r="ARS140" s="235"/>
      <c r="ART140" s="235"/>
      <c r="ARU140" s="235"/>
      <c r="ARV140" s="235"/>
      <c r="ARW140" s="235"/>
      <c r="ARX140" s="235"/>
      <c r="ARY140" s="235"/>
      <c r="ARZ140" s="235"/>
      <c r="ASA140" s="235"/>
      <c r="ASB140" s="235"/>
      <c r="ASC140" s="235"/>
      <c r="ASD140" s="235"/>
      <c r="ASE140" s="235"/>
      <c r="ASF140" s="235"/>
      <c r="ASG140" s="235"/>
      <c r="ASH140" s="235"/>
      <c r="ASI140" s="235"/>
      <c r="ASJ140" s="235"/>
      <c r="ASK140" s="235"/>
      <c r="ASL140" s="235"/>
      <c r="ASM140" s="235"/>
      <c r="ASN140" s="235"/>
      <c r="ASO140" s="235"/>
      <c r="ASP140" s="235"/>
      <c r="ASQ140" s="235"/>
      <c r="ASR140" s="235"/>
      <c r="ASS140" s="235"/>
      <c r="AST140" s="235"/>
      <c r="ASU140" s="235"/>
      <c r="ASV140" s="235"/>
      <c r="ASW140" s="235"/>
      <c r="ASX140" s="235"/>
      <c r="ASY140" s="235"/>
      <c r="ASZ140" s="235"/>
      <c r="ATA140" s="235"/>
      <c r="ATB140" s="235"/>
      <c r="ATC140" s="235"/>
      <c r="ATD140" s="235"/>
      <c r="ATE140" s="235"/>
      <c r="ATF140" s="235"/>
      <c r="ATG140" s="235"/>
      <c r="ATH140" s="235"/>
      <c r="ATI140" s="235"/>
      <c r="ATJ140" s="235"/>
      <c r="ATK140" s="235"/>
      <c r="ATL140" s="235"/>
      <c r="ATM140" s="235"/>
      <c r="ATN140" s="235"/>
      <c r="ATO140" s="235"/>
      <c r="ATP140" s="235"/>
      <c r="ATQ140" s="235"/>
      <c r="ATR140" s="235"/>
      <c r="ATS140" s="235"/>
      <c r="ATT140" s="235"/>
      <c r="ATU140" s="235"/>
      <c r="ATV140" s="235"/>
      <c r="ATW140" s="235"/>
      <c r="ATX140" s="235"/>
      <c r="ATY140" s="235"/>
      <c r="ATZ140" s="235"/>
      <c r="AUA140" s="235"/>
      <c r="AUB140" s="235"/>
      <c r="AUC140" s="235"/>
      <c r="AUD140" s="235"/>
      <c r="AUE140" s="235"/>
      <c r="AUF140" s="235"/>
      <c r="AUG140" s="235"/>
      <c r="AUH140" s="235"/>
      <c r="AUI140" s="235"/>
      <c r="AUJ140" s="235"/>
      <c r="AUK140" s="235"/>
      <c r="AUL140" s="235"/>
      <c r="AUM140" s="235"/>
      <c r="AUN140" s="235"/>
      <c r="AUO140" s="235"/>
      <c r="AUP140" s="235"/>
      <c r="AUQ140" s="235"/>
      <c r="AUR140" s="235"/>
      <c r="AUS140" s="235"/>
      <c r="AUT140" s="235"/>
      <c r="AUU140" s="235"/>
      <c r="AUV140" s="235"/>
      <c r="AUW140" s="235"/>
      <c r="AUX140" s="235"/>
      <c r="AUY140" s="235"/>
      <c r="AUZ140" s="235"/>
      <c r="AVA140" s="235"/>
      <c r="AVB140" s="235"/>
      <c r="AVC140" s="235"/>
      <c r="AVD140" s="235"/>
      <c r="AVE140" s="235"/>
      <c r="AVF140" s="235"/>
      <c r="AVG140" s="235"/>
      <c r="AVH140" s="235"/>
      <c r="AVI140" s="235"/>
      <c r="AVJ140" s="235"/>
      <c r="AVK140" s="235"/>
      <c r="AVL140" s="235"/>
      <c r="AVM140" s="235"/>
      <c r="AVN140" s="235"/>
      <c r="AVO140" s="235"/>
      <c r="AVP140" s="235"/>
      <c r="AVQ140" s="235"/>
      <c r="AVR140" s="235"/>
      <c r="AVS140" s="235"/>
      <c r="AVT140" s="235"/>
      <c r="AVU140" s="235"/>
      <c r="AVV140" s="235"/>
      <c r="AVW140" s="235"/>
      <c r="AVX140" s="235"/>
      <c r="AVY140" s="235"/>
      <c r="AVZ140" s="235"/>
      <c r="AWA140" s="235"/>
      <c r="AWB140" s="235"/>
      <c r="AWC140" s="235"/>
      <c r="AWD140" s="235"/>
      <c r="AWE140" s="235"/>
      <c r="AWF140" s="235"/>
      <c r="AWG140" s="235"/>
      <c r="AWH140" s="235"/>
      <c r="AWI140" s="235"/>
      <c r="AWJ140" s="235"/>
      <c r="AWK140" s="235"/>
      <c r="AWL140" s="235"/>
      <c r="AWM140" s="235"/>
      <c r="AWN140" s="235"/>
      <c r="AWO140" s="235"/>
      <c r="AWP140" s="235"/>
      <c r="AWQ140" s="235"/>
      <c r="AWR140" s="235"/>
      <c r="AWS140" s="235"/>
      <c r="AWT140" s="235"/>
      <c r="AWU140" s="235"/>
      <c r="AWV140" s="235"/>
      <c r="AWW140" s="235"/>
      <c r="AWX140" s="235"/>
      <c r="AWY140" s="235"/>
      <c r="AWZ140" s="235"/>
      <c r="AXA140" s="235"/>
      <c r="AXB140" s="235"/>
      <c r="AXC140" s="235"/>
      <c r="AXD140" s="235"/>
      <c r="AXE140" s="235"/>
      <c r="AXF140" s="235"/>
      <c r="AXG140" s="235"/>
      <c r="AXH140" s="235"/>
      <c r="AXI140" s="235"/>
      <c r="AXJ140" s="235"/>
      <c r="AXK140" s="235"/>
      <c r="AXL140" s="235"/>
      <c r="AXM140" s="235"/>
      <c r="AXN140" s="235"/>
      <c r="AXO140" s="235"/>
      <c r="AXP140" s="235"/>
      <c r="AXQ140" s="235"/>
      <c r="AXR140" s="235"/>
      <c r="AXS140" s="235"/>
      <c r="AXT140" s="235"/>
      <c r="AXU140" s="235"/>
      <c r="AXV140" s="235"/>
      <c r="AXW140" s="235"/>
      <c r="AXX140" s="235"/>
      <c r="AXY140" s="235"/>
      <c r="AXZ140" s="235"/>
      <c r="AYA140" s="235"/>
      <c r="AYB140" s="235"/>
      <c r="AYC140" s="235"/>
      <c r="AYD140" s="235"/>
      <c r="AYE140" s="235"/>
      <c r="AYF140" s="235"/>
      <c r="AYG140" s="235"/>
      <c r="AYH140" s="235"/>
      <c r="AYI140" s="235"/>
      <c r="AYJ140" s="235"/>
      <c r="AYK140" s="235"/>
      <c r="AYL140" s="235"/>
      <c r="AYM140" s="235"/>
      <c r="AYN140" s="235"/>
      <c r="AYO140" s="235"/>
      <c r="AYP140" s="235"/>
      <c r="AYQ140" s="235"/>
      <c r="AYR140" s="235"/>
      <c r="AYS140" s="235"/>
      <c r="AYT140" s="235"/>
      <c r="AYU140" s="235"/>
      <c r="AYV140" s="235"/>
      <c r="AYW140" s="235"/>
      <c r="AYX140" s="235"/>
      <c r="AYY140" s="235"/>
      <c r="AYZ140" s="235"/>
      <c r="AZA140" s="235"/>
      <c r="AZB140" s="235"/>
      <c r="AZC140" s="235"/>
      <c r="AZD140" s="235"/>
      <c r="AZE140" s="235"/>
      <c r="AZF140" s="235"/>
      <c r="AZG140" s="235"/>
      <c r="AZH140" s="235"/>
      <c r="AZI140" s="235"/>
      <c r="AZJ140" s="235"/>
      <c r="AZK140" s="235"/>
      <c r="AZL140" s="235"/>
      <c r="AZM140" s="235"/>
      <c r="AZN140" s="235"/>
      <c r="AZO140" s="235"/>
      <c r="AZP140" s="235"/>
      <c r="AZQ140" s="235"/>
      <c r="AZR140" s="235"/>
      <c r="AZS140" s="235"/>
      <c r="AZT140" s="235"/>
      <c r="AZU140" s="235"/>
      <c r="AZV140" s="235"/>
      <c r="AZW140" s="235"/>
      <c r="AZX140" s="235"/>
      <c r="AZY140" s="235"/>
      <c r="AZZ140" s="235"/>
      <c r="BAA140" s="235"/>
      <c r="BAB140" s="235"/>
      <c r="BAC140" s="235"/>
      <c r="BAD140" s="235"/>
      <c r="BAE140" s="235"/>
      <c r="BAF140" s="235"/>
      <c r="BAG140" s="235"/>
      <c r="BAH140" s="235"/>
      <c r="BAI140" s="235"/>
      <c r="BAJ140" s="235"/>
      <c r="BAK140" s="235"/>
      <c r="BAL140" s="235"/>
      <c r="BAM140" s="235"/>
      <c r="BAN140" s="235"/>
      <c r="BAO140" s="235"/>
      <c r="BAP140" s="235"/>
      <c r="BAQ140" s="235"/>
      <c r="BAR140" s="235"/>
      <c r="BAS140" s="235"/>
      <c r="BAT140" s="235"/>
      <c r="BAU140" s="235"/>
      <c r="BAV140" s="235"/>
      <c r="BAW140" s="235"/>
      <c r="BAX140" s="235"/>
      <c r="BAY140" s="235"/>
      <c r="BAZ140" s="235"/>
      <c r="BBA140" s="235"/>
      <c r="BBB140" s="235"/>
      <c r="BBC140" s="235"/>
      <c r="BBD140" s="235"/>
      <c r="BBE140" s="235"/>
      <c r="BBF140" s="235"/>
      <c r="BBG140" s="235"/>
      <c r="BBH140" s="235"/>
      <c r="BBI140" s="235"/>
      <c r="BBJ140" s="235"/>
      <c r="BBK140" s="235"/>
      <c r="BBL140" s="235"/>
      <c r="BBM140" s="235"/>
      <c r="BBN140" s="235"/>
      <c r="BBO140" s="235"/>
      <c r="BBP140" s="235"/>
      <c r="BBQ140" s="235"/>
      <c r="BBR140" s="235"/>
      <c r="BBS140" s="235"/>
      <c r="BBT140" s="235"/>
      <c r="BBU140" s="235"/>
      <c r="BBV140" s="235"/>
      <c r="BBW140" s="235"/>
      <c r="BBX140" s="235"/>
      <c r="BBY140" s="235"/>
      <c r="BBZ140" s="235"/>
      <c r="BCA140" s="235"/>
      <c r="BCB140" s="235"/>
      <c r="BCC140" s="235"/>
      <c r="BCD140" s="235"/>
      <c r="BCE140" s="235"/>
      <c r="BCF140" s="235"/>
      <c r="BCG140" s="235"/>
      <c r="BCH140" s="235"/>
      <c r="BCI140" s="235"/>
      <c r="BCJ140" s="235"/>
      <c r="BCK140" s="235"/>
      <c r="BCL140" s="235"/>
      <c r="BCM140" s="235"/>
      <c r="BCN140" s="235"/>
      <c r="BCO140" s="235"/>
      <c r="BCP140" s="235"/>
      <c r="BCQ140" s="235"/>
      <c r="BCR140" s="235"/>
      <c r="BCS140" s="235"/>
      <c r="BCT140" s="235"/>
      <c r="BCU140" s="235"/>
      <c r="BCV140" s="235"/>
      <c r="BCW140" s="235"/>
      <c r="BCX140" s="235"/>
      <c r="BCY140" s="235"/>
      <c r="BCZ140" s="235"/>
      <c r="BDA140" s="235"/>
      <c r="BDB140" s="235"/>
      <c r="BDC140" s="235"/>
      <c r="BDD140" s="235"/>
      <c r="BDE140" s="235"/>
      <c r="BDF140" s="235"/>
      <c r="BDG140" s="235"/>
      <c r="BDH140" s="235"/>
      <c r="BDI140" s="235"/>
      <c r="BDJ140" s="235"/>
      <c r="BDK140" s="235"/>
      <c r="BDL140" s="235"/>
      <c r="BDM140" s="235"/>
      <c r="BDN140" s="235"/>
      <c r="BDO140" s="235"/>
      <c r="BDP140" s="235"/>
      <c r="BDQ140" s="235"/>
      <c r="BDR140" s="235"/>
      <c r="BDS140" s="235"/>
      <c r="BDT140" s="235"/>
      <c r="BDU140" s="235"/>
      <c r="BDV140" s="235"/>
      <c r="BDW140" s="235"/>
      <c r="BDX140" s="235"/>
      <c r="BDY140" s="235"/>
      <c r="BDZ140" s="235"/>
      <c r="BEA140" s="235"/>
      <c r="BEB140" s="235"/>
      <c r="BEC140" s="235"/>
      <c r="BED140" s="235"/>
      <c r="BEE140" s="235"/>
      <c r="BEF140" s="235"/>
      <c r="BEG140" s="235"/>
      <c r="BEH140" s="235"/>
      <c r="BEI140" s="235"/>
      <c r="BEJ140" s="235"/>
      <c r="BEK140" s="235"/>
      <c r="BEL140" s="235"/>
      <c r="BEM140" s="235"/>
      <c r="BEN140" s="235"/>
      <c r="BEO140" s="235"/>
      <c r="BEP140" s="235"/>
      <c r="BEQ140" s="235"/>
      <c r="BER140" s="235"/>
      <c r="BES140" s="235"/>
      <c r="BET140" s="235"/>
      <c r="BEU140" s="235"/>
      <c r="BEV140" s="235"/>
      <c r="BEW140" s="235"/>
      <c r="BEX140" s="235"/>
      <c r="BEY140" s="235"/>
      <c r="BEZ140" s="235"/>
      <c r="BFA140" s="235"/>
      <c r="BFB140" s="235"/>
      <c r="BFC140" s="235"/>
      <c r="BFD140" s="235"/>
      <c r="BFE140" s="235"/>
      <c r="BFF140" s="235"/>
      <c r="BFG140" s="235"/>
      <c r="BFH140" s="235"/>
      <c r="BFI140" s="235"/>
      <c r="BFJ140" s="235"/>
      <c r="BFK140" s="235"/>
      <c r="BFL140" s="235"/>
      <c r="BFM140" s="235"/>
      <c r="BFN140" s="235"/>
      <c r="BFO140" s="235"/>
      <c r="BFP140" s="235"/>
      <c r="BFQ140" s="235"/>
      <c r="BFR140" s="235"/>
      <c r="BFS140" s="235"/>
      <c r="BFT140" s="235"/>
      <c r="BFU140" s="235"/>
      <c r="BFV140" s="235"/>
      <c r="BFW140" s="235"/>
      <c r="BFX140" s="235"/>
      <c r="BFY140" s="235"/>
      <c r="BFZ140" s="235"/>
      <c r="BGA140" s="235"/>
      <c r="BGB140" s="235"/>
      <c r="BGC140" s="235"/>
      <c r="BGD140" s="235"/>
      <c r="BGE140" s="235"/>
      <c r="BGF140" s="235"/>
      <c r="BGG140" s="235"/>
      <c r="BGH140" s="235"/>
      <c r="BGI140" s="235"/>
      <c r="BGJ140" s="235"/>
      <c r="BGK140" s="235"/>
      <c r="BGL140" s="235"/>
      <c r="BGM140" s="235"/>
      <c r="BGN140" s="235"/>
      <c r="BGO140" s="235"/>
      <c r="BGP140" s="235"/>
      <c r="BGQ140" s="235"/>
      <c r="BGR140" s="235"/>
      <c r="BGS140" s="235"/>
      <c r="BGT140" s="235"/>
      <c r="BGU140" s="235"/>
      <c r="BGV140" s="235"/>
      <c r="BGW140" s="235"/>
      <c r="BGX140" s="235"/>
      <c r="BGY140" s="235"/>
      <c r="BGZ140" s="235"/>
      <c r="BHA140" s="235"/>
      <c r="BHB140" s="235"/>
      <c r="BHC140" s="235"/>
      <c r="BHD140" s="235"/>
      <c r="BHE140" s="235"/>
      <c r="BHF140" s="235"/>
      <c r="BHG140" s="235"/>
      <c r="BHH140" s="235"/>
      <c r="BHI140" s="235"/>
      <c r="BHJ140" s="235"/>
      <c r="BHK140" s="235"/>
      <c r="BHL140" s="235"/>
      <c r="BHM140" s="235"/>
      <c r="BHN140" s="235"/>
      <c r="BHO140" s="235"/>
      <c r="BHP140" s="235"/>
      <c r="BHQ140" s="235"/>
      <c r="BHR140" s="235"/>
      <c r="BHS140" s="235"/>
      <c r="BHT140" s="235"/>
      <c r="BHU140" s="235"/>
      <c r="BHV140" s="235"/>
      <c r="BHW140" s="235"/>
      <c r="BHX140" s="235"/>
      <c r="BHY140" s="235"/>
      <c r="BHZ140" s="235"/>
      <c r="BIA140" s="235"/>
      <c r="BIB140" s="235"/>
      <c r="BIC140" s="235"/>
      <c r="BID140" s="235"/>
      <c r="BIE140" s="235"/>
      <c r="BIF140" s="235"/>
      <c r="BIG140" s="235"/>
      <c r="BIH140" s="235"/>
      <c r="BII140" s="235"/>
      <c r="BIJ140" s="235"/>
      <c r="BIK140" s="235"/>
      <c r="BIL140" s="235"/>
      <c r="BIM140" s="235"/>
      <c r="BIN140" s="235"/>
      <c r="BIO140" s="235"/>
      <c r="BIP140" s="235"/>
      <c r="BIQ140" s="235"/>
      <c r="BIR140" s="235"/>
      <c r="BIS140" s="235"/>
      <c r="BIT140" s="235"/>
      <c r="BIU140" s="235"/>
      <c r="BIV140" s="235"/>
      <c r="BIW140" s="235"/>
      <c r="BIX140" s="235"/>
      <c r="BIY140" s="235"/>
      <c r="BIZ140" s="235"/>
      <c r="BJA140" s="235"/>
      <c r="BJB140" s="235"/>
      <c r="BJC140" s="235"/>
      <c r="BJD140" s="235"/>
      <c r="BJE140" s="235"/>
      <c r="BJF140" s="235"/>
      <c r="BJG140" s="235"/>
      <c r="BJH140" s="235"/>
      <c r="BJI140" s="235"/>
      <c r="BJJ140" s="235"/>
      <c r="BJK140" s="235"/>
      <c r="BJL140" s="235"/>
      <c r="BJM140" s="235"/>
      <c r="BJN140" s="235"/>
      <c r="BJO140" s="235"/>
      <c r="BJP140" s="235"/>
      <c r="BJQ140" s="235"/>
      <c r="BJR140" s="235"/>
      <c r="BJS140" s="235"/>
      <c r="BJT140" s="235"/>
      <c r="BJU140" s="235"/>
      <c r="BJV140" s="235"/>
      <c r="BJW140" s="235"/>
      <c r="BJX140" s="235"/>
      <c r="BJY140" s="235"/>
      <c r="BJZ140" s="235"/>
      <c r="BKA140" s="235"/>
      <c r="BKB140" s="235"/>
      <c r="BKC140" s="235"/>
      <c r="BKD140" s="235"/>
      <c r="BKE140" s="235"/>
      <c r="BKF140" s="235"/>
      <c r="BKG140" s="235"/>
      <c r="BKH140" s="235"/>
      <c r="BKI140" s="235"/>
      <c r="BKJ140" s="235"/>
      <c r="BKK140" s="235"/>
      <c r="BKL140" s="235"/>
      <c r="BKM140" s="235"/>
      <c r="BKN140" s="235"/>
      <c r="BKO140" s="235"/>
      <c r="BKP140" s="235"/>
      <c r="BKQ140" s="235"/>
      <c r="BKR140" s="235"/>
      <c r="BKS140" s="235"/>
      <c r="BKT140" s="235"/>
      <c r="BKU140" s="235"/>
      <c r="BKV140" s="235"/>
      <c r="BKW140" s="235"/>
      <c r="BKX140" s="235"/>
      <c r="BKY140" s="235"/>
      <c r="BKZ140" s="235"/>
      <c r="BLA140" s="235"/>
      <c r="BLB140" s="235"/>
      <c r="BLC140" s="235"/>
      <c r="BLD140" s="235"/>
      <c r="BLE140" s="235"/>
      <c r="BLF140" s="235"/>
      <c r="BLG140" s="235"/>
      <c r="BLH140" s="235"/>
      <c r="BLI140" s="235"/>
      <c r="BLJ140" s="235"/>
      <c r="BLK140" s="235"/>
      <c r="BLL140" s="235"/>
      <c r="BLM140" s="235"/>
      <c r="BLN140" s="235"/>
      <c r="BLO140" s="235"/>
      <c r="BLP140" s="235"/>
      <c r="BLQ140" s="235"/>
      <c r="BLR140" s="235"/>
      <c r="BLS140" s="235"/>
      <c r="BLT140" s="235"/>
      <c r="BLU140" s="235"/>
      <c r="BLV140" s="235"/>
      <c r="BLW140" s="235"/>
      <c r="BLX140" s="235"/>
      <c r="BLY140" s="235"/>
      <c r="BLZ140" s="235"/>
      <c r="BMA140" s="235"/>
      <c r="BMB140" s="235"/>
      <c r="BMC140" s="235"/>
      <c r="BMD140" s="235"/>
      <c r="BME140" s="235"/>
      <c r="BMF140" s="235"/>
      <c r="BMG140" s="235"/>
      <c r="BMH140" s="235"/>
      <c r="BMI140" s="235"/>
      <c r="BMJ140" s="235"/>
      <c r="BMK140" s="235"/>
      <c r="BML140" s="235"/>
      <c r="BMM140" s="235"/>
      <c r="BMN140" s="235"/>
      <c r="BMO140" s="235"/>
      <c r="BMP140" s="235"/>
      <c r="BMQ140" s="235"/>
      <c r="BMR140" s="235"/>
      <c r="BMS140" s="235"/>
      <c r="BMT140" s="235"/>
      <c r="BMU140" s="235"/>
      <c r="BMV140" s="235"/>
      <c r="BMW140" s="235"/>
      <c r="BMX140" s="235"/>
      <c r="BMY140" s="235"/>
      <c r="BMZ140" s="235"/>
      <c r="BNA140" s="235"/>
      <c r="BNB140" s="235"/>
      <c r="BNC140" s="235"/>
      <c r="BND140" s="235"/>
      <c r="BNE140" s="235"/>
      <c r="BNF140" s="235"/>
      <c r="BNG140" s="235"/>
      <c r="BNH140" s="235"/>
      <c r="BNI140" s="235"/>
      <c r="BNJ140" s="235"/>
      <c r="BNK140" s="235"/>
      <c r="BNL140" s="235"/>
      <c r="BNM140" s="235"/>
      <c r="BNN140" s="235"/>
      <c r="BNO140" s="235"/>
      <c r="BNP140" s="235"/>
      <c r="BNQ140" s="235"/>
      <c r="BNR140" s="235"/>
      <c r="BNS140" s="235"/>
      <c r="BNT140" s="235"/>
      <c r="BNU140" s="235"/>
      <c r="BNV140" s="235"/>
      <c r="BNW140" s="235"/>
      <c r="BNX140" s="235"/>
      <c r="BNY140" s="235"/>
      <c r="BNZ140" s="235"/>
      <c r="BOA140" s="235"/>
      <c r="BOB140" s="235"/>
      <c r="BOC140" s="235"/>
      <c r="BOD140" s="235"/>
      <c r="BOE140" s="235"/>
      <c r="BOF140" s="235"/>
      <c r="BOG140" s="235"/>
      <c r="BOH140" s="235"/>
      <c r="BOI140" s="235"/>
      <c r="BOJ140" s="235"/>
      <c r="BOK140" s="235"/>
      <c r="BOL140" s="235"/>
      <c r="BOM140" s="235"/>
      <c r="BON140" s="235"/>
      <c r="BOO140" s="235"/>
      <c r="BOP140" s="235"/>
      <c r="BOQ140" s="235"/>
      <c r="BOR140" s="235"/>
      <c r="BOS140" s="235"/>
      <c r="BOT140" s="235"/>
      <c r="BOU140" s="235"/>
      <c r="BOV140" s="235"/>
      <c r="BOW140" s="235"/>
      <c r="BOX140" s="235"/>
      <c r="BOY140" s="235"/>
      <c r="BOZ140" s="235"/>
      <c r="BPA140" s="235"/>
      <c r="BPB140" s="235"/>
      <c r="BPC140" s="235"/>
      <c r="BPD140" s="235"/>
      <c r="BPE140" s="235"/>
      <c r="BPF140" s="235"/>
      <c r="BPG140" s="235"/>
      <c r="BPH140" s="235"/>
      <c r="BPI140" s="235"/>
      <c r="BPJ140" s="235"/>
      <c r="BPK140" s="235"/>
      <c r="BPL140" s="235"/>
      <c r="BPM140" s="235"/>
      <c r="BPN140" s="235"/>
      <c r="BPO140" s="235"/>
      <c r="BPP140" s="235"/>
      <c r="BPQ140" s="235"/>
      <c r="BPR140" s="235"/>
      <c r="BPS140" s="235"/>
      <c r="BPT140" s="235"/>
      <c r="BPU140" s="235"/>
      <c r="BPV140" s="235"/>
      <c r="BPW140" s="235"/>
      <c r="BPX140" s="235"/>
      <c r="BPY140" s="235"/>
      <c r="BPZ140" s="235"/>
      <c r="BQA140" s="235"/>
      <c r="BQB140" s="235"/>
      <c r="BQC140" s="235"/>
      <c r="BQD140" s="235"/>
      <c r="BQE140" s="235"/>
      <c r="BQF140" s="235"/>
      <c r="BQG140" s="235"/>
      <c r="BQH140" s="235"/>
      <c r="BQI140" s="235"/>
      <c r="BQJ140" s="235"/>
      <c r="BQK140" s="235"/>
      <c r="BQL140" s="235"/>
      <c r="BQM140" s="235"/>
      <c r="BQN140" s="235"/>
      <c r="BQO140" s="235"/>
      <c r="BQP140" s="235"/>
      <c r="BQQ140" s="235"/>
      <c r="BQR140" s="235"/>
      <c r="BQS140" s="235"/>
      <c r="BQT140" s="235"/>
      <c r="BQU140" s="235"/>
      <c r="BQV140" s="235"/>
      <c r="BQW140" s="235"/>
      <c r="BQX140" s="235"/>
      <c r="BQY140" s="235"/>
      <c r="BQZ140" s="235"/>
      <c r="BRA140" s="235"/>
      <c r="BRB140" s="235"/>
      <c r="BRC140" s="235"/>
      <c r="BRD140" s="235"/>
      <c r="BRE140" s="235"/>
      <c r="BRF140" s="235"/>
      <c r="BRG140" s="235"/>
      <c r="BRH140" s="235"/>
      <c r="BRI140" s="235"/>
      <c r="BRJ140" s="235"/>
      <c r="BRK140" s="235"/>
      <c r="BRL140" s="235"/>
      <c r="BRM140" s="235"/>
      <c r="BRN140" s="235"/>
      <c r="BRO140" s="235"/>
      <c r="BRP140" s="235"/>
      <c r="BRQ140" s="235"/>
      <c r="BRR140" s="235"/>
      <c r="BRS140" s="235"/>
      <c r="BRT140" s="235"/>
      <c r="BRU140" s="235"/>
      <c r="BRV140" s="235"/>
      <c r="BRW140" s="235"/>
      <c r="BRX140" s="235"/>
      <c r="BRY140" s="235"/>
      <c r="BRZ140" s="235"/>
      <c r="BSA140" s="235"/>
      <c r="BSB140" s="235"/>
      <c r="BSC140" s="235"/>
      <c r="BSD140" s="235"/>
      <c r="BSE140" s="235"/>
      <c r="BSF140" s="235"/>
      <c r="BSG140" s="235"/>
      <c r="BSH140" s="235"/>
      <c r="BSI140" s="235"/>
      <c r="BSJ140" s="235"/>
      <c r="BSK140" s="235"/>
      <c r="BSL140" s="235"/>
      <c r="BSM140" s="235"/>
      <c r="BSN140" s="235"/>
      <c r="BSO140" s="235"/>
      <c r="BSP140" s="235"/>
      <c r="BSQ140" s="235"/>
      <c r="BSR140" s="235"/>
      <c r="BSS140" s="235"/>
      <c r="BST140" s="235"/>
      <c r="BSU140" s="235"/>
      <c r="BSV140" s="235"/>
      <c r="BSW140" s="235"/>
      <c r="BSX140" s="235"/>
      <c r="BSY140" s="235"/>
      <c r="BSZ140" s="235"/>
      <c r="BTA140" s="235"/>
      <c r="BTB140" s="235"/>
      <c r="BTC140" s="235"/>
      <c r="BTD140" s="235"/>
      <c r="BTE140" s="235"/>
      <c r="BTF140" s="235"/>
      <c r="BTG140" s="235"/>
      <c r="BTH140" s="235"/>
      <c r="BTI140" s="235"/>
      <c r="BTJ140" s="235"/>
      <c r="BTK140" s="235"/>
      <c r="BTL140" s="235"/>
      <c r="BTM140" s="235"/>
      <c r="BTN140" s="235"/>
      <c r="BTO140" s="235"/>
      <c r="BTP140" s="235"/>
      <c r="BTQ140" s="235"/>
      <c r="BTR140" s="235"/>
      <c r="BTS140" s="235"/>
      <c r="BTT140" s="235"/>
      <c r="BTU140" s="235"/>
      <c r="BTV140" s="235"/>
      <c r="BTW140" s="235"/>
      <c r="BTX140" s="235"/>
      <c r="BTY140" s="235"/>
      <c r="BTZ140" s="235"/>
      <c r="BUA140" s="235"/>
      <c r="BUB140" s="235"/>
      <c r="BUC140" s="235"/>
      <c r="BUD140" s="235"/>
      <c r="BUE140" s="235"/>
      <c r="BUF140" s="235"/>
      <c r="BUG140" s="235"/>
      <c r="BUH140" s="235"/>
      <c r="BUI140" s="235"/>
      <c r="BUJ140" s="235"/>
      <c r="BUK140" s="235"/>
      <c r="BUL140" s="235"/>
      <c r="BUM140" s="235"/>
      <c r="BUN140" s="235"/>
      <c r="BUO140" s="235"/>
      <c r="BUP140" s="235"/>
      <c r="BUQ140" s="235"/>
      <c r="BUR140" s="235"/>
      <c r="BUS140" s="235"/>
      <c r="BUT140" s="235"/>
      <c r="BUU140" s="235"/>
      <c r="BUV140" s="235"/>
      <c r="BUW140" s="235"/>
      <c r="BUX140" s="235"/>
      <c r="BUY140" s="235"/>
      <c r="BUZ140" s="235"/>
      <c r="BVA140" s="235"/>
      <c r="BVB140" s="235"/>
      <c r="BVC140" s="235"/>
      <c r="BVD140" s="235"/>
      <c r="BVE140" s="235"/>
      <c r="BVF140" s="235"/>
      <c r="BVG140" s="235"/>
      <c r="BVH140" s="235"/>
      <c r="BVI140" s="235"/>
      <c r="BVJ140" s="235"/>
      <c r="BVK140" s="235"/>
      <c r="BVL140" s="235"/>
      <c r="BVM140" s="235"/>
      <c r="BVN140" s="235"/>
      <c r="BVO140" s="235"/>
      <c r="BVP140" s="235"/>
      <c r="BVQ140" s="235"/>
      <c r="BVR140" s="235"/>
      <c r="BVS140" s="235"/>
      <c r="BVT140" s="235"/>
      <c r="BVU140" s="235"/>
      <c r="BVV140" s="235"/>
      <c r="BVW140" s="235"/>
      <c r="BVX140" s="235"/>
      <c r="BVY140" s="235"/>
      <c r="BVZ140" s="235"/>
      <c r="BWA140" s="235"/>
      <c r="BWB140" s="235"/>
      <c r="BWC140" s="235"/>
      <c r="BWD140" s="235"/>
      <c r="BWE140" s="235"/>
      <c r="BWF140" s="235"/>
      <c r="BWG140" s="235"/>
      <c r="BWH140" s="235"/>
      <c r="BWI140" s="235"/>
      <c r="BWJ140" s="235"/>
      <c r="BWK140" s="235"/>
      <c r="BWL140" s="235"/>
      <c r="BWM140" s="235"/>
      <c r="BWN140" s="235"/>
      <c r="BWO140" s="235"/>
      <c r="BWP140" s="235"/>
      <c r="BWQ140" s="235"/>
      <c r="BWR140" s="235"/>
      <c r="BWS140" s="235"/>
      <c r="BWT140" s="235"/>
      <c r="BWU140" s="235"/>
      <c r="BWV140" s="235"/>
      <c r="BWW140" s="235"/>
      <c r="BWX140" s="235"/>
      <c r="BWY140" s="235"/>
      <c r="BWZ140" s="235"/>
      <c r="BXA140" s="235"/>
      <c r="BXB140" s="235"/>
      <c r="BXC140" s="235"/>
      <c r="BXD140" s="235"/>
      <c r="BXE140" s="235"/>
      <c r="BXF140" s="235"/>
      <c r="BXG140" s="235"/>
      <c r="BXH140" s="235"/>
      <c r="BXI140" s="235"/>
      <c r="BXJ140" s="235"/>
      <c r="BXK140" s="235"/>
      <c r="BXL140" s="235"/>
      <c r="BXM140" s="235"/>
      <c r="BXN140" s="235"/>
      <c r="BXO140" s="235"/>
      <c r="BXP140" s="235"/>
      <c r="BXQ140" s="235"/>
      <c r="BXR140" s="235"/>
      <c r="BXS140" s="235"/>
      <c r="BXT140" s="235"/>
      <c r="BXU140" s="235"/>
      <c r="BXV140" s="235"/>
      <c r="BXW140" s="235"/>
      <c r="BXX140" s="235"/>
      <c r="BXY140" s="235"/>
      <c r="BXZ140" s="235"/>
      <c r="BYA140" s="235"/>
      <c r="BYB140" s="235"/>
      <c r="BYC140" s="235"/>
      <c r="BYD140" s="235"/>
      <c r="BYE140" s="235"/>
      <c r="BYF140" s="235"/>
      <c r="BYG140" s="235"/>
      <c r="BYH140" s="235"/>
      <c r="BYI140" s="235"/>
      <c r="BYJ140" s="235"/>
      <c r="BYK140" s="235"/>
      <c r="BYL140" s="235"/>
      <c r="BYM140" s="235"/>
      <c r="BYN140" s="235"/>
      <c r="BYO140" s="235"/>
      <c r="BYP140" s="235"/>
      <c r="BYQ140" s="235"/>
      <c r="BYR140" s="235"/>
      <c r="BYS140" s="235"/>
      <c r="BYT140" s="235"/>
      <c r="BYU140" s="235"/>
      <c r="BYV140" s="235"/>
      <c r="BYW140" s="235"/>
      <c r="BYX140" s="235"/>
      <c r="BYY140" s="235"/>
      <c r="BYZ140" s="235"/>
      <c r="BZA140" s="235"/>
      <c r="BZB140" s="235"/>
      <c r="BZC140" s="235"/>
      <c r="BZD140" s="235"/>
      <c r="BZE140" s="235"/>
      <c r="BZF140" s="235"/>
      <c r="BZG140" s="235"/>
      <c r="BZH140" s="235"/>
      <c r="BZI140" s="235"/>
      <c r="BZJ140" s="235"/>
      <c r="BZK140" s="235"/>
      <c r="BZL140" s="235"/>
      <c r="BZM140" s="235"/>
      <c r="BZN140" s="235"/>
      <c r="BZO140" s="235"/>
      <c r="BZP140" s="235"/>
      <c r="BZQ140" s="235"/>
      <c r="BZR140" s="235"/>
      <c r="BZS140" s="235"/>
      <c r="BZT140" s="235"/>
      <c r="BZU140" s="235"/>
      <c r="BZV140" s="235"/>
      <c r="BZW140" s="235"/>
      <c r="BZX140" s="235"/>
      <c r="BZY140" s="235"/>
      <c r="BZZ140" s="235"/>
      <c r="CAA140" s="235"/>
      <c r="CAB140" s="235"/>
      <c r="CAC140" s="235"/>
      <c r="CAD140" s="235"/>
      <c r="CAE140" s="235"/>
      <c r="CAF140" s="235"/>
      <c r="CAG140" s="235"/>
      <c r="CAH140" s="235"/>
      <c r="CAI140" s="235"/>
      <c r="CAJ140" s="235"/>
      <c r="CAK140" s="235"/>
      <c r="CAL140" s="235"/>
      <c r="CAM140" s="235"/>
      <c r="CAN140" s="235"/>
      <c r="CAO140" s="235"/>
      <c r="CAP140" s="235"/>
      <c r="CAQ140" s="235"/>
      <c r="CAR140" s="235"/>
      <c r="CAS140" s="235"/>
      <c r="CAT140" s="235"/>
      <c r="CAU140" s="235"/>
      <c r="CAV140" s="235"/>
      <c r="CAW140" s="235"/>
      <c r="CAX140" s="235"/>
      <c r="CAY140" s="235"/>
      <c r="CAZ140" s="235"/>
      <c r="CBA140" s="235"/>
      <c r="CBB140" s="235"/>
      <c r="CBC140" s="235"/>
      <c r="CBD140" s="235"/>
      <c r="CBE140" s="235"/>
      <c r="CBF140" s="235"/>
      <c r="CBG140" s="235"/>
      <c r="CBH140" s="235"/>
      <c r="CBI140" s="235"/>
      <c r="CBJ140" s="235"/>
      <c r="CBK140" s="235"/>
      <c r="CBL140" s="235"/>
      <c r="CBM140" s="235"/>
      <c r="CBN140" s="235"/>
      <c r="CBO140" s="235"/>
      <c r="CBP140" s="235"/>
      <c r="CBQ140" s="235"/>
      <c r="CBR140" s="235"/>
      <c r="CBS140" s="235"/>
      <c r="CBT140" s="235"/>
      <c r="CBU140" s="235"/>
      <c r="CBV140" s="235"/>
      <c r="CBW140" s="235"/>
      <c r="CBX140" s="235"/>
      <c r="CBY140" s="235"/>
      <c r="CBZ140" s="235"/>
      <c r="CCA140" s="235"/>
      <c r="CCB140" s="235"/>
      <c r="CCC140" s="235"/>
      <c r="CCD140" s="235"/>
      <c r="CCE140" s="235"/>
      <c r="CCF140" s="235"/>
      <c r="CCG140" s="235"/>
      <c r="CCH140" s="235"/>
      <c r="CCI140" s="235"/>
      <c r="CCJ140" s="235"/>
      <c r="CCK140" s="235"/>
      <c r="CCL140" s="235"/>
      <c r="CCM140" s="235"/>
      <c r="CCN140" s="235"/>
      <c r="CCO140" s="235"/>
      <c r="CCP140" s="235"/>
      <c r="CCQ140" s="235"/>
      <c r="CCR140" s="235"/>
      <c r="CCS140" s="235"/>
      <c r="CCT140" s="235"/>
      <c r="CCU140" s="235"/>
      <c r="CCV140" s="235"/>
      <c r="CCW140" s="235"/>
      <c r="CCX140" s="235"/>
      <c r="CCY140" s="235"/>
      <c r="CCZ140" s="235"/>
      <c r="CDA140" s="235"/>
      <c r="CDB140" s="235"/>
      <c r="CDC140" s="235"/>
      <c r="CDD140" s="235"/>
      <c r="CDE140" s="235"/>
      <c r="CDF140" s="235"/>
      <c r="CDG140" s="235"/>
      <c r="CDH140" s="235"/>
      <c r="CDI140" s="235"/>
      <c r="CDJ140" s="235"/>
      <c r="CDK140" s="235"/>
      <c r="CDL140" s="235"/>
      <c r="CDM140" s="235"/>
      <c r="CDN140" s="235"/>
      <c r="CDO140" s="235"/>
      <c r="CDP140" s="235"/>
      <c r="CDQ140" s="235"/>
      <c r="CDR140" s="235"/>
      <c r="CDS140" s="235"/>
      <c r="CDT140" s="235"/>
      <c r="CDU140" s="235"/>
      <c r="CDV140" s="235"/>
      <c r="CDW140" s="235"/>
      <c r="CDX140" s="235"/>
      <c r="CDY140" s="235"/>
      <c r="CDZ140" s="235"/>
      <c r="CEA140" s="235"/>
      <c r="CEB140" s="235"/>
      <c r="CEC140" s="235"/>
      <c r="CED140" s="235"/>
      <c r="CEE140" s="235"/>
      <c r="CEF140" s="235"/>
      <c r="CEG140" s="235"/>
      <c r="CEH140" s="235"/>
      <c r="CEI140" s="235"/>
      <c r="CEJ140" s="235"/>
      <c r="CEK140" s="235"/>
      <c r="CEL140" s="235"/>
      <c r="CEM140" s="235"/>
      <c r="CEN140" s="235"/>
      <c r="CEO140" s="235"/>
      <c r="CEP140" s="235"/>
      <c r="CEQ140" s="235"/>
      <c r="CER140" s="235"/>
      <c r="CES140" s="235"/>
      <c r="CET140" s="235"/>
      <c r="CEU140" s="235"/>
      <c r="CEV140" s="235"/>
      <c r="CEW140" s="235"/>
      <c r="CEX140" s="235"/>
      <c r="CEY140" s="235"/>
      <c r="CEZ140" s="235"/>
      <c r="CFA140" s="235"/>
      <c r="CFB140" s="235"/>
      <c r="CFC140" s="235"/>
      <c r="CFD140" s="235"/>
      <c r="CFE140" s="235"/>
      <c r="CFF140" s="235"/>
      <c r="CFG140" s="235"/>
      <c r="CFH140" s="235"/>
      <c r="CFI140" s="235"/>
      <c r="CFJ140" s="235"/>
      <c r="CFK140" s="235"/>
      <c r="CFL140" s="235"/>
      <c r="CFM140" s="235"/>
      <c r="CFN140" s="235"/>
      <c r="CFO140" s="235"/>
      <c r="CFP140" s="235"/>
      <c r="CFQ140" s="235"/>
      <c r="CFR140" s="235"/>
      <c r="CFS140" s="235"/>
      <c r="CFT140" s="235"/>
      <c r="CFU140" s="235"/>
      <c r="CFV140" s="235"/>
      <c r="CFW140" s="235"/>
      <c r="CFX140" s="235"/>
      <c r="CFY140" s="235"/>
      <c r="CFZ140" s="235"/>
      <c r="CGA140" s="235"/>
      <c r="CGB140" s="235"/>
      <c r="CGC140" s="235"/>
      <c r="CGD140" s="235"/>
      <c r="CGE140" s="235"/>
      <c r="CGF140" s="235"/>
      <c r="CGG140" s="235"/>
      <c r="CGH140" s="235"/>
      <c r="CGI140" s="235"/>
      <c r="CGJ140" s="235"/>
      <c r="CGK140" s="235"/>
      <c r="CGL140" s="235"/>
      <c r="CGM140" s="235"/>
      <c r="CGN140" s="235"/>
      <c r="CGO140" s="235"/>
      <c r="CGP140" s="235"/>
      <c r="CGQ140" s="235"/>
      <c r="CGR140" s="235"/>
      <c r="CGS140" s="235"/>
      <c r="CGT140" s="235"/>
      <c r="CGU140" s="235"/>
      <c r="CGV140" s="235"/>
      <c r="CGW140" s="235"/>
      <c r="CGX140" s="235"/>
      <c r="CGY140" s="235"/>
      <c r="CGZ140" s="235"/>
      <c r="CHA140" s="235"/>
      <c r="CHB140" s="235"/>
      <c r="CHC140" s="235"/>
      <c r="CHD140" s="235"/>
      <c r="CHE140" s="235"/>
      <c r="CHF140" s="235"/>
      <c r="CHG140" s="235"/>
      <c r="CHH140" s="235"/>
      <c r="CHI140" s="235"/>
      <c r="CHJ140" s="235"/>
      <c r="CHK140" s="235"/>
      <c r="CHL140" s="235"/>
      <c r="CHM140" s="235"/>
      <c r="CHN140" s="235"/>
      <c r="CHO140" s="235"/>
      <c r="CHP140" s="235"/>
      <c r="CHQ140" s="235"/>
      <c r="CHR140" s="235"/>
      <c r="CHS140" s="235"/>
      <c r="CHT140" s="235"/>
      <c r="CHU140" s="235"/>
      <c r="CHV140" s="235"/>
      <c r="CHW140" s="235"/>
      <c r="CHX140" s="235"/>
      <c r="CHY140" s="235"/>
      <c r="CHZ140" s="235"/>
      <c r="CIA140" s="235"/>
      <c r="CIB140" s="235"/>
      <c r="CIC140" s="235"/>
      <c r="CID140" s="235"/>
      <c r="CIE140" s="235"/>
      <c r="CIF140" s="235"/>
      <c r="CIG140" s="235"/>
      <c r="CIH140" s="235"/>
      <c r="CII140" s="235"/>
      <c r="CIJ140" s="235"/>
      <c r="CIK140" s="235"/>
      <c r="CIL140" s="235"/>
      <c r="CIM140" s="235"/>
      <c r="CIN140" s="235"/>
      <c r="CIO140" s="235"/>
      <c r="CIP140" s="235"/>
      <c r="CIQ140" s="235"/>
      <c r="CIR140" s="235"/>
      <c r="CIS140" s="235"/>
      <c r="CIT140" s="235"/>
      <c r="CIU140" s="235"/>
      <c r="CIV140" s="235"/>
      <c r="CIW140" s="235"/>
      <c r="CIX140" s="235"/>
      <c r="CIY140" s="235"/>
      <c r="CIZ140" s="235"/>
      <c r="CJA140" s="235"/>
      <c r="CJB140" s="235"/>
      <c r="CJC140" s="235"/>
      <c r="CJD140" s="235"/>
      <c r="CJE140" s="235"/>
      <c r="CJF140" s="235"/>
      <c r="CJG140" s="235"/>
      <c r="CJH140" s="235"/>
      <c r="CJI140" s="235"/>
      <c r="CJJ140" s="235"/>
      <c r="CJK140" s="235"/>
      <c r="CJL140" s="235"/>
      <c r="CJM140" s="235"/>
      <c r="CJN140" s="235"/>
      <c r="CJO140" s="235"/>
      <c r="CJP140" s="235"/>
      <c r="CJQ140" s="235"/>
      <c r="CJR140" s="235"/>
      <c r="CJS140" s="235"/>
      <c r="CJT140" s="235"/>
      <c r="CJU140" s="235"/>
      <c r="CJV140" s="235"/>
      <c r="CJW140" s="235"/>
      <c r="CJX140" s="235"/>
      <c r="CJY140" s="235"/>
      <c r="CJZ140" s="235"/>
      <c r="CKA140" s="235"/>
      <c r="CKB140" s="235"/>
      <c r="CKC140" s="235"/>
      <c r="CKD140" s="235"/>
      <c r="CKE140" s="235"/>
      <c r="CKF140" s="235"/>
      <c r="CKG140" s="235"/>
      <c r="CKH140" s="235"/>
      <c r="CKI140" s="235"/>
      <c r="CKJ140" s="235"/>
      <c r="CKK140" s="235"/>
      <c r="CKL140" s="235"/>
      <c r="CKM140" s="235"/>
      <c r="CKN140" s="235"/>
      <c r="CKO140" s="235"/>
      <c r="CKP140" s="235"/>
      <c r="CKQ140" s="235"/>
      <c r="CKR140" s="235"/>
      <c r="CKS140" s="235"/>
      <c r="CKT140" s="235"/>
      <c r="CKU140" s="235"/>
      <c r="CKV140" s="235"/>
      <c r="CKW140" s="235"/>
      <c r="CKX140" s="235"/>
      <c r="CKY140" s="235"/>
      <c r="CKZ140" s="235"/>
      <c r="CLA140" s="235"/>
      <c r="CLB140" s="235"/>
      <c r="CLC140" s="235"/>
      <c r="CLD140" s="235"/>
      <c r="CLE140" s="235"/>
      <c r="CLF140" s="235"/>
      <c r="CLG140" s="235"/>
      <c r="CLH140" s="235"/>
      <c r="CLI140" s="235"/>
      <c r="CLJ140" s="235"/>
      <c r="CLK140" s="235"/>
      <c r="CLL140" s="235"/>
      <c r="CLM140" s="235"/>
      <c r="CLN140" s="235"/>
      <c r="CLO140" s="235"/>
      <c r="CLP140" s="235"/>
      <c r="CLQ140" s="235"/>
      <c r="CLR140" s="235"/>
      <c r="CLS140" s="235"/>
      <c r="CLT140" s="235"/>
      <c r="CLU140" s="235"/>
      <c r="CLV140" s="235"/>
      <c r="CLW140" s="235"/>
      <c r="CLX140" s="235"/>
      <c r="CLY140" s="235"/>
      <c r="CLZ140" s="235"/>
      <c r="CMA140" s="235"/>
      <c r="CMB140" s="235"/>
      <c r="CMC140" s="235"/>
      <c r="CMD140" s="235"/>
      <c r="CME140" s="235"/>
      <c r="CMF140" s="235"/>
      <c r="CMG140" s="235"/>
      <c r="CMH140" s="235"/>
      <c r="CMI140" s="235"/>
      <c r="CMJ140" s="235"/>
      <c r="CMK140" s="235"/>
      <c r="CML140" s="235"/>
      <c r="CMM140" s="235"/>
      <c r="CMN140" s="235"/>
      <c r="CMO140" s="235"/>
      <c r="CMP140" s="235"/>
      <c r="CMQ140" s="235"/>
      <c r="CMR140" s="235"/>
      <c r="CMS140" s="235"/>
      <c r="CMT140" s="235"/>
      <c r="CMU140" s="235"/>
      <c r="CMV140" s="235"/>
      <c r="CMW140" s="235"/>
      <c r="CMX140" s="235"/>
      <c r="CMY140" s="235"/>
      <c r="CMZ140" s="235"/>
      <c r="CNA140" s="235"/>
      <c r="CNB140" s="235"/>
      <c r="CNC140" s="235"/>
      <c r="CND140" s="235"/>
      <c r="CNE140" s="235"/>
      <c r="CNF140" s="235"/>
      <c r="CNG140" s="235"/>
      <c r="CNH140" s="235"/>
      <c r="CNI140" s="235"/>
      <c r="CNJ140" s="235"/>
      <c r="CNK140" s="235"/>
      <c r="CNL140" s="235"/>
      <c r="CNM140" s="235"/>
      <c r="CNN140" s="235"/>
      <c r="CNO140" s="235"/>
      <c r="CNP140" s="235"/>
      <c r="CNQ140" s="235"/>
      <c r="CNR140" s="235"/>
      <c r="CNS140" s="235"/>
      <c r="CNT140" s="235"/>
      <c r="CNU140" s="235"/>
      <c r="CNV140" s="235"/>
      <c r="CNW140" s="235"/>
      <c r="CNX140" s="235"/>
      <c r="CNY140" s="235"/>
      <c r="CNZ140" s="235"/>
      <c r="COA140" s="235"/>
      <c r="COB140" s="235"/>
      <c r="COC140" s="235"/>
      <c r="COD140" s="235"/>
      <c r="COE140" s="235"/>
      <c r="COF140" s="235"/>
      <c r="COG140" s="235"/>
      <c r="COH140" s="235"/>
      <c r="COI140" s="235"/>
      <c r="COJ140" s="235"/>
      <c r="COK140" s="235"/>
      <c r="COL140" s="235"/>
      <c r="COM140" s="235"/>
      <c r="CON140" s="235"/>
      <c r="COO140" s="235"/>
      <c r="COP140" s="235"/>
      <c r="COQ140" s="235"/>
      <c r="COR140" s="235"/>
      <c r="COS140" s="235"/>
      <c r="COT140" s="235"/>
      <c r="COU140" s="235"/>
      <c r="COV140" s="235"/>
      <c r="COW140" s="235"/>
      <c r="COX140" s="235"/>
      <c r="COY140" s="235"/>
      <c r="COZ140" s="235"/>
      <c r="CPA140" s="235"/>
      <c r="CPB140" s="235"/>
      <c r="CPC140" s="235"/>
      <c r="CPD140" s="235"/>
      <c r="CPE140" s="235"/>
      <c r="CPF140" s="235"/>
      <c r="CPG140" s="235"/>
      <c r="CPH140" s="235"/>
      <c r="CPI140" s="235"/>
      <c r="CPJ140" s="235"/>
      <c r="CPK140" s="235"/>
      <c r="CPL140" s="235"/>
      <c r="CPM140" s="235"/>
      <c r="CPN140" s="235"/>
      <c r="CPO140" s="235"/>
      <c r="CPP140" s="235"/>
      <c r="CPQ140" s="235"/>
      <c r="CPR140" s="235"/>
      <c r="CPS140" s="235"/>
      <c r="CPT140" s="235"/>
      <c r="CPU140" s="235"/>
      <c r="CPV140" s="235"/>
      <c r="CPW140" s="235"/>
      <c r="CPX140" s="235"/>
      <c r="CPY140" s="235"/>
      <c r="CPZ140" s="235"/>
      <c r="CQA140" s="235"/>
      <c r="CQB140" s="235"/>
      <c r="CQC140" s="235"/>
      <c r="CQD140" s="235"/>
      <c r="CQE140" s="235"/>
      <c r="CQF140" s="235"/>
      <c r="CQG140" s="235"/>
      <c r="CQH140" s="235"/>
      <c r="CQI140" s="235"/>
      <c r="CQJ140" s="235"/>
      <c r="CQK140" s="235"/>
      <c r="CQL140" s="235"/>
      <c r="CQM140" s="235"/>
      <c r="CQN140" s="235"/>
      <c r="CQO140" s="235"/>
      <c r="CQP140" s="235"/>
      <c r="CQQ140" s="235"/>
      <c r="CQR140" s="235"/>
      <c r="CQS140" s="235"/>
      <c r="CQT140" s="235"/>
      <c r="CQU140" s="235"/>
      <c r="CQV140" s="235"/>
      <c r="CQW140" s="235"/>
      <c r="CQX140" s="235"/>
      <c r="CQY140" s="235"/>
      <c r="CQZ140" s="235"/>
      <c r="CRA140" s="235"/>
      <c r="CRB140" s="235"/>
      <c r="CRC140" s="235"/>
      <c r="CRD140" s="235"/>
      <c r="CRE140" s="235"/>
      <c r="CRF140" s="235"/>
      <c r="CRG140" s="235"/>
      <c r="CRH140" s="235"/>
      <c r="CRI140" s="235"/>
      <c r="CRJ140" s="235"/>
      <c r="CRK140" s="235"/>
      <c r="CRL140" s="235"/>
      <c r="CRM140" s="235"/>
      <c r="CRN140" s="235"/>
      <c r="CRO140" s="235"/>
      <c r="CRP140" s="235"/>
      <c r="CRQ140" s="235"/>
      <c r="CRR140" s="235"/>
      <c r="CRS140" s="235"/>
      <c r="CRT140" s="235"/>
      <c r="CRU140" s="235"/>
      <c r="CRV140" s="235"/>
      <c r="CRW140" s="235"/>
      <c r="CRX140" s="235"/>
      <c r="CRY140" s="235"/>
      <c r="CRZ140" s="235"/>
      <c r="CSA140" s="235"/>
      <c r="CSB140" s="235"/>
      <c r="CSC140" s="235"/>
      <c r="CSD140" s="235"/>
      <c r="CSE140" s="235"/>
      <c r="CSF140" s="235"/>
      <c r="CSG140" s="235"/>
      <c r="CSH140" s="235"/>
      <c r="CSI140" s="235"/>
      <c r="CSJ140" s="235"/>
      <c r="CSK140" s="235"/>
      <c r="CSL140" s="235"/>
      <c r="CSM140" s="235"/>
      <c r="CSN140" s="235"/>
      <c r="CSO140" s="235"/>
      <c r="CSP140" s="235"/>
      <c r="CSQ140" s="235"/>
      <c r="CSR140" s="235"/>
      <c r="CSS140" s="235"/>
      <c r="CST140" s="235"/>
      <c r="CSU140" s="235"/>
      <c r="CSV140" s="235"/>
      <c r="CSW140" s="235"/>
      <c r="CSX140" s="235"/>
      <c r="CSY140" s="235"/>
      <c r="CSZ140" s="235"/>
      <c r="CTA140" s="235"/>
      <c r="CTB140" s="235"/>
      <c r="CTC140" s="235"/>
      <c r="CTD140" s="235"/>
      <c r="CTE140" s="235"/>
      <c r="CTF140" s="235"/>
      <c r="CTG140" s="235"/>
      <c r="CTH140" s="235"/>
      <c r="CTI140" s="235"/>
      <c r="CTJ140" s="235"/>
      <c r="CTK140" s="235"/>
      <c r="CTL140" s="235"/>
      <c r="CTM140" s="235"/>
      <c r="CTN140" s="235"/>
      <c r="CTO140" s="235"/>
      <c r="CTP140" s="235"/>
      <c r="CTQ140" s="235"/>
      <c r="CTR140" s="235"/>
      <c r="CTS140" s="235"/>
      <c r="CTT140" s="235"/>
      <c r="CTU140" s="235"/>
      <c r="CTV140" s="235"/>
      <c r="CTW140" s="235"/>
      <c r="CTX140" s="235"/>
      <c r="CTY140" s="235"/>
      <c r="CTZ140" s="235"/>
      <c r="CUA140" s="235"/>
      <c r="CUB140" s="235"/>
      <c r="CUC140" s="235"/>
      <c r="CUD140" s="235"/>
      <c r="CUE140" s="235"/>
      <c r="CUF140" s="235"/>
      <c r="CUG140" s="235"/>
      <c r="CUH140" s="235"/>
      <c r="CUI140" s="235"/>
      <c r="CUJ140" s="235"/>
      <c r="CUK140" s="235"/>
      <c r="CUL140" s="235"/>
      <c r="CUM140" s="235"/>
      <c r="CUN140" s="235"/>
      <c r="CUO140" s="235"/>
      <c r="CUP140" s="235"/>
      <c r="CUQ140" s="235"/>
      <c r="CUR140" s="235"/>
      <c r="CUS140" s="235"/>
      <c r="CUT140" s="235"/>
      <c r="CUU140" s="235"/>
      <c r="CUV140" s="235"/>
      <c r="CUW140" s="235"/>
      <c r="CUX140" s="235"/>
      <c r="CUY140" s="235"/>
      <c r="CUZ140" s="235"/>
      <c r="CVA140" s="235"/>
      <c r="CVB140" s="235"/>
      <c r="CVC140" s="235"/>
      <c r="CVD140" s="235"/>
      <c r="CVE140" s="235"/>
      <c r="CVF140" s="235"/>
      <c r="CVG140" s="235"/>
      <c r="CVH140" s="235"/>
      <c r="CVI140" s="235"/>
      <c r="CVJ140" s="235"/>
      <c r="CVK140" s="235"/>
      <c r="CVL140" s="235"/>
      <c r="CVM140" s="235"/>
      <c r="CVN140" s="235"/>
      <c r="CVO140" s="235"/>
      <c r="CVP140" s="235"/>
      <c r="CVQ140" s="235"/>
      <c r="CVR140" s="235"/>
      <c r="CVS140" s="235"/>
      <c r="CVT140" s="235"/>
      <c r="CVU140" s="235"/>
      <c r="CVV140" s="235"/>
      <c r="CVW140" s="235"/>
      <c r="CVX140" s="235"/>
      <c r="CVY140" s="235"/>
      <c r="CVZ140" s="235"/>
      <c r="CWA140" s="235"/>
      <c r="CWB140" s="235"/>
      <c r="CWC140" s="235"/>
      <c r="CWD140" s="235"/>
      <c r="CWE140" s="235"/>
      <c r="CWF140" s="235"/>
      <c r="CWG140" s="235"/>
      <c r="CWH140" s="235"/>
      <c r="CWI140" s="235"/>
      <c r="CWJ140" s="235"/>
      <c r="CWK140" s="235"/>
      <c r="CWL140" s="235"/>
      <c r="CWM140" s="235"/>
      <c r="CWN140" s="235"/>
      <c r="CWO140" s="235"/>
      <c r="CWP140" s="235"/>
      <c r="CWQ140" s="235"/>
      <c r="CWR140" s="235"/>
      <c r="CWS140" s="235"/>
      <c r="CWT140" s="235"/>
      <c r="CWU140" s="235"/>
      <c r="CWV140" s="235"/>
      <c r="CWW140" s="235"/>
      <c r="CWX140" s="235"/>
      <c r="CWY140" s="235"/>
      <c r="CWZ140" s="235"/>
      <c r="CXA140" s="235"/>
      <c r="CXB140" s="235"/>
      <c r="CXC140" s="235"/>
      <c r="CXD140" s="235"/>
      <c r="CXE140" s="235"/>
      <c r="CXF140" s="235"/>
      <c r="CXG140" s="235"/>
      <c r="CXH140" s="235"/>
      <c r="CXI140" s="235"/>
      <c r="CXJ140" s="235"/>
      <c r="CXK140" s="235"/>
      <c r="CXL140" s="235"/>
      <c r="CXM140" s="235"/>
      <c r="CXN140" s="235"/>
      <c r="CXO140" s="235"/>
      <c r="CXP140" s="235"/>
      <c r="CXQ140" s="235"/>
      <c r="CXR140" s="235"/>
      <c r="CXS140" s="235"/>
      <c r="CXT140" s="235"/>
      <c r="CXU140" s="235"/>
      <c r="CXV140" s="235"/>
      <c r="CXW140" s="235"/>
      <c r="CXX140" s="235"/>
      <c r="CXY140" s="235"/>
      <c r="CXZ140" s="235"/>
      <c r="CYA140" s="235"/>
      <c r="CYB140" s="235"/>
      <c r="CYC140" s="235"/>
      <c r="CYD140" s="235"/>
      <c r="CYE140" s="235"/>
      <c r="CYF140" s="235"/>
      <c r="CYG140" s="235"/>
      <c r="CYH140" s="235"/>
      <c r="CYI140" s="235"/>
      <c r="CYJ140" s="235"/>
      <c r="CYK140" s="235"/>
      <c r="CYL140" s="235"/>
      <c r="CYM140" s="235"/>
      <c r="CYN140" s="235"/>
      <c r="CYO140" s="235"/>
      <c r="CYP140" s="235"/>
      <c r="CYQ140" s="235"/>
      <c r="CYR140" s="235"/>
      <c r="CYS140" s="235"/>
      <c r="CYT140" s="235"/>
      <c r="CYU140" s="235"/>
      <c r="CYV140" s="235"/>
      <c r="CYW140" s="235"/>
      <c r="CYX140" s="235"/>
      <c r="CYY140" s="235"/>
      <c r="CYZ140" s="235"/>
      <c r="CZA140" s="235"/>
      <c r="CZB140" s="235"/>
      <c r="CZC140" s="235"/>
      <c r="CZD140" s="235"/>
      <c r="CZE140" s="235"/>
      <c r="CZF140" s="235"/>
      <c r="CZG140" s="235"/>
      <c r="CZH140" s="235"/>
      <c r="CZI140" s="235"/>
      <c r="CZJ140" s="235"/>
      <c r="CZK140" s="235"/>
      <c r="CZL140" s="235"/>
      <c r="CZM140" s="235"/>
      <c r="CZN140" s="235"/>
      <c r="CZO140" s="235"/>
      <c r="CZP140" s="235"/>
      <c r="CZQ140" s="235"/>
      <c r="CZR140" s="235"/>
      <c r="CZS140" s="235"/>
      <c r="CZT140" s="235"/>
      <c r="CZU140" s="235"/>
      <c r="CZV140" s="235"/>
      <c r="CZW140" s="235"/>
      <c r="CZX140" s="235"/>
      <c r="CZY140" s="235"/>
      <c r="CZZ140" s="235"/>
      <c r="DAA140" s="235"/>
      <c r="DAB140" s="235"/>
      <c r="DAC140" s="235"/>
      <c r="DAD140" s="235"/>
      <c r="DAE140" s="235"/>
      <c r="DAF140" s="235"/>
      <c r="DAG140" s="235"/>
      <c r="DAH140" s="235"/>
      <c r="DAI140" s="235"/>
      <c r="DAJ140" s="235"/>
      <c r="DAK140" s="235"/>
      <c r="DAL140" s="235"/>
      <c r="DAM140" s="235"/>
      <c r="DAN140" s="235"/>
      <c r="DAO140" s="235"/>
      <c r="DAP140" s="235"/>
      <c r="DAQ140" s="235"/>
      <c r="DAR140" s="235"/>
      <c r="DAS140" s="235"/>
      <c r="DAT140" s="235"/>
      <c r="DAU140" s="235"/>
      <c r="DAV140" s="235"/>
      <c r="DAW140" s="235"/>
      <c r="DAX140" s="235"/>
      <c r="DAY140" s="235"/>
      <c r="DAZ140" s="235"/>
      <c r="DBA140" s="235"/>
      <c r="DBB140" s="235"/>
      <c r="DBC140" s="235"/>
      <c r="DBD140" s="235"/>
      <c r="DBE140" s="235"/>
      <c r="DBF140" s="235"/>
      <c r="DBG140" s="235"/>
      <c r="DBH140" s="235"/>
      <c r="DBI140" s="235"/>
      <c r="DBJ140" s="235"/>
      <c r="DBK140" s="235"/>
      <c r="DBL140" s="235"/>
      <c r="DBM140" s="235"/>
      <c r="DBN140" s="235"/>
      <c r="DBO140" s="235"/>
      <c r="DBP140" s="235"/>
      <c r="DBQ140" s="235"/>
      <c r="DBR140" s="235"/>
      <c r="DBS140" s="235"/>
      <c r="DBT140" s="235"/>
      <c r="DBU140" s="235"/>
      <c r="DBV140" s="235"/>
      <c r="DBW140" s="235"/>
      <c r="DBX140" s="235"/>
      <c r="DBY140" s="235"/>
      <c r="DBZ140" s="235"/>
      <c r="DCA140" s="235"/>
      <c r="DCB140" s="235"/>
      <c r="DCC140" s="235"/>
      <c r="DCD140" s="235"/>
      <c r="DCE140" s="235"/>
      <c r="DCF140" s="235"/>
      <c r="DCG140" s="235"/>
      <c r="DCH140" s="235"/>
      <c r="DCI140" s="235"/>
      <c r="DCJ140" s="235"/>
      <c r="DCK140" s="235"/>
      <c r="DCL140" s="235"/>
      <c r="DCM140" s="235"/>
      <c r="DCN140" s="235"/>
      <c r="DCO140" s="235"/>
      <c r="DCP140" s="235"/>
      <c r="DCQ140" s="235"/>
      <c r="DCR140" s="235"/>
      <c r="DCS140" s="235"/>
      <c r="DCT140" s="235"/>
      <c r="DCU140" s="235"/>
      <c r="DCV140" s="235"/>
      <c r="DCW140" s="235"/>
      <c r="DCX140" s="235"/>
      <c r="DCY140" s="235"/>
      <c r="DCZ140" s="235"/>
      <c r="DDA140" s="235"/>
      <c r="DDB140" s="235"/>
      <c r="DDC140" s="235"/>
      <c r="DDD140" s="235"/>
      <c r="DDE140" s="235"/>
      <c r="DDF140" s="235"/>
      <c r="DDG140" s="235"/>
      <c r="DDH140" s="235"/>
      <c r="DDI140" s="235"/>
      <c r="DDJ140" s="235"/>
      <c r="DDK140" s="235"/>
      <c r="DDL140" s="235"/>
      <c r="DDM140" s="235"/>
      <c r="DDN140" s="235"/>
      <c r="DDO140" s="235"/>
      <c r="DDP140" s="235"/>
      <c r="DDQ140" s="235"/>
      <c r="DDR140" s="235"/>
      <c r="DDS140" s="235"/>
      <c r="DDT140" s="235"/>
      <c r="DDU140" s="235"/>
      <c r="DDV140" s="235"/>
      <c r="DDW140" s="235"/>
      <c r="DDX140" s="235"/>
      <c r="DDY140" s="235"/>
      <c r="DDZ140" s="235"/>
      <c r="DEA140" s="235"/>
      <c r="DEB140" s="235"/>
      <c r="DEC140" s="235"/>
      <c r="DED140" s="235"/>
      <c r="DEE140" s="235"/>
      <c r="DEF140" s="235"/>
      <c r="DEG140" s="235"/>
      <c r="DEH140" s="235"/>
      <c r="DEI140" s="235"/>
      <c r="DEJ140" s="235"/>
      <c r="DEK140" s="235"/>
      <c r="DEL140" s="235"/>
      <c r="DEM140" s="235"/>
      <c r="DEN140" s="235"/>
      <c r="DEO140" s="235"/>
      <c r="DEP140" s="235"/>
      <c r="DEQ140" s="235"/>
      <c r="DER140" s="235"/>
      <c r="DES140" s="235"/>
      <c r="DET140" s="235"/>
      <c r="DEU140" s="235"/>
      <c r="DEV140" s="235"/>
      <c r="DEW140" s="235"/>
      <c r="DEX140" s="235"/>
      <c r="DEY140" s="235"/>
      <c r="DEZ140" s="235"/>
      <c r="DFA140" s="235"/>
      <c r="DFB140" s="235"/>
      <c r="DFC140" s="235"/>
      <c r="DFD140" s="235"/>
      <c r="DFE140" s="235"/>
      <c r="DFF140" s="235"/>
      <c r="DFG140" s="235"/>
      <c r="DFH140" s="235"/>
      <c r="DFI140" s="235"/>
      <c r="DFJ140" s="235"/>
      <c r="DFK140" s="235"/>
      <c r="DFL140" s="235"/>
      <c r="DFM140" s="235"/>
      <c r="DFN140" s="235"/>
      <c r="DFO140" s="235"/>
      <c r="DFP140" s="235"/>
      <c r="DFQ140" s="235"/>
      <c r="DFR140" s="235"/>
      <c r="DFS140" s="235"/>
      <c r="DFT140" s="235"/>
      <c r="DFU140" s="235"/>
      <c r="DFV140" s="235"/>
      <c r="DFW140" s="235"/>
      <c r="DFX140" s="235"/>
      <c r="DFY140" s="235"/>
      <c r="DFZ140" s="235"/>
      <c r="DGA140" s="235"/>
      <c r="DGB140" s="235"/>
      <c r="DGC140" s="235"/>
      <c r="DGD140" s="235"/>
      <c r="DGE140" s="235"/>
      <c r="DGF140" s="235"/>
      <c r="DGG140" s="235"/>
      <c r="DGH140" s="235"/>
      <c r="DGI140" s="235"/>
      <c r="DGJ140" s="235"/>
      <c r="DGK140" s="235"/>
      <c r="DGL140" s="235"/>
      <c r="DGM140" s="235"/>
      <c r="DGN140" s="235"/>
      <c r="DGO140" s="235"/>
      <c r="DGP140" s="235"/>
      <c r="DGQ140" s="235"/>
      <c r="DGR140" s="235"/>
      <c r="DGS140" s="235"/>
      <c r="DGT140" s="235"/>
      <c r="DGU140" s="235"/>
      <c r="DGV140" s="235"/>
      <c r="DGW140" s="235"/>
      <c r="DGX140" s="235"/>
      <c r="DGY140" s="235"/>
      <c r="DGZ140" s="235"/>
      <c r="DHA140" s="235"/>
      <c r="DHB140" s="235"/>
      <c r="DHC140" s="235"/>
      <c r="DHD140" s="235"/>
      <c r="DHE140" s="235"/>
      <c r="DHF140" s="235"/>
      <c r="DHG140" s="235"/>
      <c r="DHH140" s="235"/>
      <c r="DHI140" s="235"/>
      <c r="DHJ140" s="235"/>
      <c r="DHK140" s="235"/>
      <c r="DHL140" s="235"/>
      <c r="DHM140" s="235"/>
      <c r="DHN140" s="235"/>
      <c r="DHO140" s="235"/>
      <c r="DHP140" s="235"/>
      <c r="DHQ140" s="235"/>
      <c r="DHR140" s="235"/>
      <c r="DHS140" s="235"/>
      <c r="DHT140" s="235"/>
      <c r="DHU140" s="235"/>
      <c r="DHV140" s="235"/>
      <c r="DHW140" s="235"/>
      <c r="DHX140" s="235"/>
      <c r="DHY140" s="235"/>
      <c r="DHZ140" s="235"/>
      <c r="DIA140" s="235"/>
      <c r="DIB140" s="235"/>
      <c r="DIC140" s="235"/>
      <c r="DID140" s="235"/>
      <c r="DIE140" s="235"/>
      <c r="DIF140" s="235"/>
      <c r="DIG140" s="235"/>
      <c r="DIH140" s="235"/>
      <c r="DII140" s="235"/>
      <c r="DIJ140" s="235"/>
      <c r="DIK140" s="235"/>
      <c r="DIL140" s="235"/>
      <c r="DIM140" s="235"/>
      <c r="DIN140" s="235"/>
      <c r="DIO140" s="235"/>
      <c r="DIP140" s="235"/>
      <c r="DIQ140" s="235"/>
      <c r="DIR140" s="235"/>
      <c r="DIS140" s="235"/>
      <c r="DIT140" s="235"/>
      <c r="DIU140" s="235"/>
      <c r="DIV140" s="235"/>
      <c r="DIW140" s="235"/>
      <c r="DIX140" s="235"/>
      <c r="DIY140" s="235"/>
      <c r="DIZ140" s="235"/>
      <c r="DJA140" s="235"/>
      <c r="DJB140" s="235"/>
      <c r="DJC140" s="235"/>
      <c r="DJD140" s="235"/>
      <c r="DJE140" s="235"/>
      <c r="DJF140" s="235"/>
      <c r="DJG140" s="235"/>
      <c r="DJH140" s="235"/>
      <c r="DJI140" s="235"/>
      <c r="DJJ140" s="235"/>
      <c r="DJK140" s="235"/>
      <c r="DJL140" s="235"/>
      <c r="DJM140" s="235"/>
      <c r="DJN140" s="235"/>
      <c r="DJO140" s="235"/>
      <c r="DJP140" s="235"/>
      <c r="DJQ140" s="235"/>
      <c r="DJR140" s="235"/>
      <c r="DJS140" s="235"/>
      <c r="DJT140" s="235"/>
      <c r="DJU140" s="235"/>
      <c r="DJV140" s="235"/>
      <c r="DJW140" s="235"/>
      <c r="DJX140" s="235"/>
      <c r="DJY140" s="235"/>
      <c r="DJZ140" s="235"/>
      <c r="DKA140" s="235"/>
      <c r="DKB140" s="235"/>
      <c r="DKC140" s="235"/>
      <c r="DKD140" s="235"/>
      <c r="DKE140" s="235"/>
      <c r="DKF140" s="235"/>
      <c r="DKG140" s="235"/>
      <c r="DKH140" s="235"/>
      <c r="DKI140" s="235"/>
      <c r="DKJ140" s="235"/>
      <c r="DKK140" s="235"/>
      <c r="DKL140" s="235"/>
      <c r="DKM140" s="235"/>
      <c r="DKN140" s="235"/>
      <c r="DKO140" s="235"/>
      <c r="DKP140" s="235"/>
      <c r="DKQ140" s="235"/>
      <c r="DKR140" s="235"/>
      <c r="DKS140" s="235"/>
      <c r="DKT140" s="235"/>
      <c r="DKU140" s="235"/>
      <c r="DKV140" s="235"/>
      <c r="DKW140" s="235"/>
      <c r="DKX140" s="235"/>
      <c r="DKY140" s="235"/>
      <c r="DKZ140" s="235"/>
      <c r="DLA140" s="235"/>
      <c r="DLB140" s="235"/>
      <c r="DLC140" s="235"/>
      <c r="DLD140" s="235"/>
      <c r="DLE140" s="235"/>
      <c r="DLF140" s="235"/>
      <c r="DLG140" s="235"/>
      <c r="DLH140" s="235"/>
      <c r="DLI140" s="235"/>
      <c r="DLJ140" s="235"/>
      <c r="DLK140" s="235"/>
      <c r="DLL140" s="235"/>
      <c r="DLM140" s="235"/>
      <c r="DLN140" s="235"/>
      <c r="DLO140" s="235"/>
      <c r="DLP140" s="235"/>
      <c r="DLQ140" s="235"/>
      <c r="DLR140" s="235"/>
      <c r="DLS140" s="235"/>
      <c r="DLT140" s="235"/>
      <c r="DLU140" s="235"/>
      <c r="DLV140" s="235"/>
      <c r="DLW140" s="235"/>
      <c r="DLX140" s="235"/>
      <c r="DLY140" s="235"/>
      <c r="DLZ140" s="235"/>
      <c r="DMA140" s="235"/>
      <c r="DMB140" s="235"/>
      <c r="DMC140" s="235"/>
      <c r="DMD140" s="235"/>
      <c r="DME140" s="235"/>
      <c r="DMF140" s="235"/>
      <c r="DMG140" s="235"/>
      <c r="DMH140" s="235"/>
      <c r="DMI140" s="235"/>
      <c r="DMJ140" s="235"/>
      <c r="DMK140" s="235"/>
      <c r="DML140" s="235"/>
      <c r="DMM140" s="235"/>
      <c r="DMN140" s="235"/>
      <c r="DMO140" s="235"/>
      <c r="DMP140" s="235"/>
      <c r="DMQ140" s="235"/>
      <c r="DMR140" s="235"/>
      <c r="DMS140" s="235"/>
      <c r="DMT140" s="235"/>
      <c r="DMU140" s="235"/>
      <c r="DMV140" s="235"/>
      <c r="DMW140" s="235"/>
      <c r="DMX140" s="235"/>
      <c r="DMY140" s="235"/>
      <c r="DMZ140" s="235"/>
      <c r="DNA140" s="235"/>
      <c r="DNB140" s="235"/>
      <c r="DNC140" s="235"/>
      <c r="DND140" s="235"/>
      <c r="DNE140" s="235"/>
      <c r="DNF140" s="235"/>
      <c r="DNG140" s="235"/>
      <c r="DNH140" s="235"/>
      <c r="DNI140" s="235"/>
      <c r="DNJ140" s="235"/>
      <c r="DNK140" s="235"/>
      <c r="DNL140" s="235"/>
      <c r="DNM140" s="235"/>
      <c r="DNN140" s="235"/>
      <c r="DNO140" s="235"/>
      <c r="DNP140" s="235"/>
      <c r="DNQ140" s="235"/>
      <c r="DNR140" s="235"/>
      <c r="DNS140" s="235"/>
      <c r="DNT140" s="235"/>
      <c r="DNU140" s="235"/>
      <c r="DNV140" s="235"/>
      <c r="DNW140" s="235"/>
      <c r="DNX140" s="235"/>
      <c r="DNY140" s="235"/>
      <c r="DNZ140" s="235"/>
      <c r="DOA140" s="235"/>
      <c r="DOB140" s="235"/>
      <c r="DOC140" s="235"/>
      <c r="DOD140" s="235"/>
      <c r="DOE140" s="235"/>
      <c r="DOF140" s="235"/>
      <c r="DOG140" s="235"/>
      <c r="DOH140" s="235"/>
      <c r="DOI140" s="235"/>
      <c r="DOJ140" s="235"/>
      <c r="DOK140" s="235"/>
      <c r="DOL140" s="235"/>
      <c r="DOM140" s="235"/>
      <c r="DON140" s="235"/>
      <c r="DOO140" s="235"/>
      <c r="DOP140" s="235"/>
      <c r="DOQ140" s="235"/>
      <c r="DOR140" s="235"/>
      <c r="DOS140" s="235"/>
      <c r="DOT140" s="235"/>
      <c r="DOU140" s="235"/>
      <c r="DOV140" s="235"/>
      <c r="DOW140" s="235"/>
      <c r="DOX140" s="235"/>
      <c r="DOY140" s="235"/>
      <c r="DOZ140" s="235"/>
      <c r="DPA140" s="235"/>
      <c r="DPB140" s="235"/>
      <c r="DPC140" s="235"/>
      <c r="DPD140" s="235"/>
      <c r="DPE140" s="235"/>
      <c r="DPF140" s="235"/>
      <c r="DPG140" s="235"/>
      <c r="DPH140" s="235"/>
      <c r="DPI140" s="235"/>
      <c r="DPJ140" s="235"/>
      <c r="DPK140" s="235"/>
      <c r="DPL140" s="235"/>
      <c r="DPM140" s="235"/>
      <c r="DPN140" s="235"/>
      <c r="DPO140" s="235"/>
      <c r="DPP140" s="235"/>
      <c r="DPQ140" s="235"/>
      <c r="DPR140" s="235"/>
      <c r="DPS140" s="235"/>
      <c r="DPT140" s="235"/>
      <c r="DPU140" s="235"/>
      <c r="DPV140" s="235"/>
      <c r="DPW140" s="235"/>
      <c r="DPX140" s="235"/>
      <c r="DPY140" s="235"/>
      <c r="DPZ140" s="235"/>
      <c r="DQA140" s="235"/>
      <c r="DQB140" s="235"/>
      <c r="DQC140" s="235"/>
      <c r="DQD140" s="235"/>
      <c r="DQE140" s="235"/>
      <c r="DQF140" s="235"/>
      <c r="DQG140" s="235"/>
      <c r="DQH140" s="235"/>
      <c r="DQI140" s="235"/>
      <c r="DQJ140" s="235"/>
      <c r="DQK140" s="235"/>
      <c r="DQL140" s="235"/>
      <c r="DQM140" s="235"/>
      <c r="DQN140" s="235"/>
      <c r="DQO140" s="235"/>
      <c r="DQP140" s="235"/>
      <c r="DQQ140" s="235"/>
      <c r="DQR140" s="235"/>
      <c r="DQS140" s="235"/>
      <c r="DQT140" s="235"/>
      <c r="DQU140" s="235"/>
      <c r="DQV140" s="235"/>
      <c r="DQW140" s="235"/>
      <c r="DQX140" s="235"/>
      <c r="DQY140" s="235"/>
      <c r="DQZ140" s="235"/>
      <c r="DRA140" s="235"/>
      <c r="DRB140" s="235"/>
      <c r="DRC140" s="235"/>
      <c r="DRD140" s="235"/>
      <c r="DRE140" s="235"/>
      <c r="DRF140" s="235"/>
      <c r="DRG140" s="235"/>
      <c r="DRH140" s="235"/>
      <c r="DRI140" s="235"/>
      <c r="DRJ140" s="235"/>
      <c r="DRK140" s="235"/>
      <c r="DRL140" s="235"/>
      <c r="DRM140" s="235"/>
      <c r="DRN140" s="235"/>
      <c r="DRO140" s="235"/>
      <c r="DRP140" s="235"/>
      <c r="DRQ140" s="235"/>
      <c r="DRR140" s="235"/>
      <c r="DRS140" s="235"/>
      <c r="DRT140" s="235"/>
      <c r="DRU140" s="235"/>
      <c r="DRV140" s="235"/>
      <c r="DRW140" s="235"/>
      <c r="DRX140" s="235"/>
      <c r="DRY140" s="235"/>
      <c r="DRZ140" s="235"/>
      <c r="DSA140" s="235"/>
      <c r="DSB140" s="235"/>
      <c r="DSC140" s="235"/>
      <c r="DSD140" s="235"/>
      <c r="DSE140" s="235"/>
      <c r="DSF140" s="235"/>
      <c r="DSG140" s="235"/>
      <c r="DSH140" s="235"/>
      <c r="DSI140" s="235"/>
      <c r="DSJ140" s="235"/>
      <c r="DSK140" s="235"/>
      <c r="DSL140" s="235"/>
      <c r="DSM140" s="235"/>
      <c r="DSN140" s="235"/>
      <c r="DSO140" s="235"/>
      <c r="DSP140" s="235"/>
      <c r="DSQ140" s="235"/>
      <c r="DSR140" s="235"/>
      <c r="DSS140" s="235"/>
      <c r="DST140" s="235"/>
      <c r="DSU140" s="235"/>
      <c r="DSV140" s="235"/>
      <c r="DSW140" s="235"/>
      <c r="DSX140" s="235"/>
      <c r="DSY140" s="235"/>
      <c r="DSZ140" s="235"/>
      <c r="DTA140" s="235"/>
      <c r="DTB140" s="235"/>
      <c r="DTC140" s="235"/>
      <c r="DTD140" s="235"/>
      <c r="DTE140" s="235"/>
      <c r="DTF140" s="235"/>
      <c r="DTG140" s="235"/>
      <c r="DTH140" s="235"/>
      <c r="DTI140" s="235"/>
      <c r="DTJ140" s="235"/>
      <c r="DTK140" s="235"/>
      <c r="DTL140" s="235"/>
      <c r="DTM140" s="235"/>
      <c r="DTN140" s="235"/>
      <c r="DTO140" s="235"/>
      <c r="DTP140" s="235"/>
      <c r="DTQ140" s="235"/>
      <c r="DTR140" s="235"/>
      <c r="DTS140" s="235"/>
      <c r="DTT140" s="235"/>
      <c r="DTU140" s="235"/>
      <c r="DTV140" s="235"/>
      <c r="DTW140" s="235"/>
      <c r="DTX140" s="235"/>
      <c r="DTY140" s="235"/>
      <c r="DTZ140" s="235"/>
      <c r="DUA140" s="235"/>
      <c r="DUB140" s="235"/>
      <c r="DUC140" s="235"/>
      <c r="DUD140" s="235"/>
      <c r="DUE140" s="235"/>
      <c r="DUF140" s="235"/>
      <c r="DUG140" s="235"/>
      <c r="DUH140" s="235"/>
      <c r="DUI140" s="235"/>
      <c r="DUJ140" s="235"/>
      <c r="DUK140" s="235"/>
      <c r="DUL140" s="235"/>
      <c r="DUM140" s="235"/>
      <c r="DUN140" s="235"/>
      <c r="DUO140" s="235"/>
      <c r="DUP140" s="235"/>
      <c r="DUQ140" s="235"/>
      <c r="DUR140" s="235"/>
      <c r="DUS140" s="235"/>
      <c r="DUT140" s="235"/>
      <c r="DUU140" s="235"/>
      <c r="DUV140" s="235"/>
      <c r="DUW140" s="235"/>
      <c r="DUX140" s="235"/>
      <c r="DUY140" s="235"/>
      <c r="DUZ140" s="235"/>
      <c r="DVA140" s="235"/>
      <c r="DVB140" s="235"/>
      <c r="DVC140" s="235"/>
      <c r="DVD140" s="235"/>
      <c r="DVE140" s="235"/>
      <c r="DVF140" s="235"/>
      <c r="DVG140" s="235"/>
      <c r="DVH140" s="235"/>
      <c r="DVI140" s="235"/>
      <c r="DVJ140" s="235"/>
      <c r="DVK140" s="235"/>
      <c r="DVL140" s="235"/>
      <c r="DVM140" s="235"/>
      <c r="DVN140" s="235"/>
      <c r="DVO140" s="235"/>
      <c r="DVP140" s="235"/>
      <c r="DVQ140" s="235"/>
      <c r="DVR140" s="235"/>
      <c r="DVS140" s="235"/>
      <c r="DVT140" s="235"/>
      <c r="DVU140" s="235"/>
      <c r="DVV140" s="235"/>
      <c r="DVW140" s="235"/>
      <c r="DVX140" s="235"/>
      <c r="DVY140" s="235"/>
      <c r="DVZ140" s="235"/>
      <c r="DWA140" s="235"/>
      <c r="DWB140" s="235"/>
      <c r="DWC140" s="235"/>
      <c r="DWD140" s="235"/>
      <c r="DWE140" s="235"/>
      <c r="DWF140" s="235"/>
      <c r="DWG140" s="235"/>
      <c r="DWH140" s="235"/>
      <c r="DWI140" s="235"/>
      <c r="DWJ140" s="235"/>
      <c r="DWK140" s="235"/>
      <c r="DWL140" s="235"/>
      <c r="DWM140" s="235"/>
      <c r="DWN140" s="235"/>
      <c r="DWO140" s="235"/>
      <c r="DWP140" s="235"/>
      <c r="DWQ140" s="235"/>
      <c r="DWR140" s="235"/>
      <c r="DWS140" s="235"/>
      <c r="DWT140" s="235"/>
      <c r="DWU140" s="235"/>
      <c r="DWV140" s="235"/>
      <c r="DWW140" s="235"/>
      <c r="DWX140" s="235"/>
      <c r="DWY140" s="235"/>
      <c r="DWZ140" s="235"/>
      <c r="DXA140" s="235"/>
      <c r="DXB140" s="235"/>
      <c r="DXC140" s="235"/>
      <c r="DXD140" s="235"/>
      <c r="DXE140" s="235"/>
      <c r="DXF140" s="235"/>
      <c r="DXG140" s="235"/>
      <c r="DXH140" s="235"/>
      <c r="DXI140" s="235"/>
      <c r="DXJ140" s="235"/>
      <c r="DXK140" s="235"/>
      <c r="DXL140" s="235"/>
      <c r="DXM140" s="235"/>
      <c r="DXN140" s="235"/>
      <c r="DXO140" s="235"/>
      <c r="DXP140" s="235"/>
      <c r="DXQ140" s="235"/>
      <c r="DXR140" s="235"/>
      <c r="DXS140" s="235"/>
      <c r="DXT140" s="235"/>
      <c r="DXU140" s="235"/>
      <c r="DXV140" s="235"/>
      <c r="DXW140" s="235"/>
      <c r="DXX140" s="235"/>
      <c r="DXY140" s="235"/>
      <c r="DXZ140" s="235"/>
      <c r="DYA140" s="235"/>
      <c r="DYB140" s="235"/>
      <c r="DYC140" s="235"/>
      <c r="DYD140" s="235"/>
      <c r="DYE140" s="235"/>
      <c r="DYF140" s="235"/>
      <c r="DYG140" s="235"/>
      <c r="DYH140" s="235"/>
      <c r="DYI140" s="235"/>
      <c r="DYJ140" s="235"/>
      <c r="DYK140" s="235"/>
      <c r="DYL140" s="235"/>
      <c r="DYM140" s="235"/>
      <c r="DYN140" s="235"/>
      <c r="DYO140" s="235"/>
      <c r="DYP140" s="235"/>
      <c r="DYQ140" s="235"/>
      <c r="DYR140" s="235"/>
      <c r="DYS140" s="235"/>
      <c r="DYT140" s="235"/>
      <c r="DYU140" s="235"/>
      <c r="DYV140" s="235"/>
      <c r="DYW140" s="235"/>
      <c r="DYX140" s="235"/>
      <c r="DYY140" s="235"/>
      <c r="DYZ140" s="235"/>
      <c r="DZA140" s="235"/>
      <c r="DZB140" s="235"/>
      <c r="DZC140" s="235"/>
      <c r="DZD140" s="235"/>
      <c r="DZE140" s="235"/>
      <c r="DZF140" s="235"/>
      <c r="DZG140" s="235"/>
      <c r="DZH140" s="235"/>
      <c r="DZI140" s="235"/>
      <c r="DZJ140" s="235"/>
      <c r="DZK140" s="235"/>
      <c r="DZL140" s="235"/>
      <c r="DZM140" s="235"/>
      <c r="DZN140" s="235"/>
      <c r="DZO140" s="235"/>
      <c r="DZP140" s="235"/>
      <c r="DZQ140" s="235"/>
      <c r="DZR140" s="235"/>
      <c r="DZS140" s="235"/>
      <c r="DZT140" s="235"/>
      <c r="DZU140" s="235"/>
      <c r="DZV140" s="235"/>
      <c r="DZW140" s="235"/>
      <c r="DZX140" s="235"/>
      <c r="DZY140" s="235"/>
      <c r="DZZ140" s="235"/>
      <c r="EAA140" s="235"/>
      <c r="EAB140" s="235"/>
      <c r="EAC140" s="235"/>
      <c r="EAD140" s="235"/>
      <c r="EAE140" s="235"/>
      <c r="EAF140" s="235"/>
      <c r="EAG140" s="235"/>
      <c r="EAH140" s="235"/>
      <c r="EAI140" s="235"/>
      <c r="EAJ140" s="235"/>
      <c r="EAK140" s="235"/>
      <c r="EAL140" s="235"/>
      <c r="EAM140" s="235"/>
      <c r="EAN140" s="235"/>
      <c r="EAO140" s="235"/>
      <c r="EAP140" s="235"/>
      <c r="EAQ140" s="235"/>
      <c r="EAR140" s="235"/>
      <c r="EAS140" s="235"/>
      <c r="EAT140" s="235"/>
      <c r="EAU140" s="235"/>
      <c r="EAV140" s="235"/>
      <c r="EAW140" s="235"/>
      <c r="EAX140" s="235"/>
      <c r="EAY140" s="235"/>
      <c r="EAZ140" s="235"/>
      <c r="EBA140" s="235"/>
      <c r="EBB140" s="235"/>
      <c r="EBC140" s="235"/>
      <c r="EBD140" s="235"/>
      <c r="EBE140" s="235"/>
      <c r="EBF140" s="235"/>
      <c r="EBG140" s="235"/>
      <c r="EBH140" s="235"/>
      <c r="EBI140" s="235"/>
      <c r="EBJ140" s="235"/>
      <c r="EBK140" s="235"/>
      <c r="EBL140" s="235"/>
      <c r="EBM140" s="235"/>
      <c r="EBN140" s="235"/>
      <c r="EBO140" s="235"/>
      <c r="EBP140" s="235"/>
      <c r="EBQ140" s="235"/>
      <c r="EBR140" s="235"/>
      <c r="EBS140" s="235"/>
      <c r="EBT140" s="235"/>
      <c r="EBU140" s="235"/>
      <c r="EBV140" s="235"/>
      <c r="EBW140" s="235"/>
      <c r="EBX140" s="235"/>
      <c r="EBY140" s="235"/>
      <c r="EBZ140" s="235"/>
      <c r="ECA140" s="235"/>
      <c r="ECB140" s="235"/>
      <c r="ECC140" s="235"/>
      <c r="ECD140" s="235"/>
      <c r="ECE140" s="235"/>
      <c r="ECF140" s="235"/>
      <c r="ECG140" s="235"/>
      <c r="ECH140" s="235"/>
      <c r="ECI140" s="235"/>
      <c r="ECJ140" s="235"/>
      <c r="ECK140" s="235"/>
      <c r="ECL140" s="235"/>
      <c r="ECM140" s="235"/>
      <c r="ECN140" s="235"/>
      <c r="ECO140" s="235"/>
      <c r="ECP140" s="235"/>
      <c r="ECQ140" s="235"/>
      <c r="ECR140" s="235"/>
      <c r="ECS140" s="235"/>
      <c r="ECT140" s="235"/>
      <c r="ECU140" s="235"/>
      <c r="ECV140" s="235"/>
      <c r="ECW140" s="235"/>
      <c r="ECX140" s="235"/>
      <c r="ECY140" s="235"/>
      <c r="ECZ140" s="235"/>
      <c r="EDA140" s="235"/>
      <c r="EDB140" s="235"/>
      <c r="EDC140" s="235"/>
      <c r="EDD140" s="235"/>
      <c r="EDE140" s="235"/>
      <c r="EDF140" s="235"/>
      <c r="EDG140" s="235"/>
      <c r="EDH140" s="235"/>
      <c r="EDI140" s="235"/>
      <c r="EDJ140" s="235"/>
      <c r="EDK140" s="235"/>
      <c r="EDL140" s="235"/>
      <c r="EDM140" s="235"/>
      <c r="EDN140" s="235"/>
      <c r="EDO140" s="235"/>
      <c r="EDP140" s="235"/>
      <c r="EDQ140" s="235"/>
      <c r="EDR140" s="235"/>
      <c r="EDS140" s="235"/>
      <c r="EDT140" s="235"/>
      <c r="EDU140" s="235"/>
      <c r="EDV140" s="235"/>
      <c r="EDW140" s="235"/>
      <c r="EDX140" s="235"/>
      <c r="EDY140" s="235"/>
      <c r="EDZ140" s="235"/>
      <c r="EEA140" s="235"/>
      <c r="EEB140" s="235"/>
      <c r="EEC140" s="235"/>
      <c r="EED140" s="235"/>
      <c r="EEE140" s="235"/>
      <c r="EEF140" s="235"/>
      <c r="EEG140" s="235"/>
      <c r="EEH140" s="235"/>
      <c r="EEI140" s="235"/>
      <c r="EEJ140" s="235"/>
      <c r="EEK140" s="235"/>
      <c r="EEL140" s="235"/>
      <c r="EEM140" s="235"/>
      <c r="EEN140" s="235"/>
      <c r="EEO140" s="235"/>
      <c r="EEP140" s="235"/>
      <c r="EEQ140" s="235"/>
      <c r="EER140" s="235"/>
      <c r="EES140" s="235"/>
      <c r="EET140" s="235"/>
      <c r="EEU140" s="235"/>
      <c r="EEV140" s="235"/>
      <c r="EEW140" s="235"/>
      <c r="EEX140" s="235"/>
      <c r="EEY140" s="235"/>
      <c r="EEZ140" s="235"/>
      <c r="EFA140" s="235"/>
      <c r="EFB140" s="235"/>
      <c r="EFC140" s="235"/>
      <c r="EFD140" s="235"/>
      <c r="EFE140" s="235"/>
      <c r="EFF140" s="235"/>
      <c r="EFG140" s="235"/>
      <c r="EFH140" s="235"/>
      <c r="EFI140" s="235"/>
      <c r="EFJ140" s="235"/>
      <c r="EFK140" s="235"/>
      <c r="EFL140" s="235"/>
      <c r="EFM140" s="235"/>
      <c r="EFN140" s="235"/>
      <c r="EFO140" s="235"/>
      <c r="EFP140" s="235"/>
      <c r="EFQ140" s="235"/>
      <c r="EFR140" s="235"/>
      <c r="EFS140" s="235"/>
      <c r="EFT140" s="235"/>
      <c r="EFU140" s="235"/>
      <c r="EFV140" s="235"/>
      <c r="EFW140" s="235"/>
      <c r="EFX140" s="235"/>
      <c r="EFY140" s="235"/>
      <c r="EFZ140" s="235"/>
      <c r="EGA140" s="235"/>
      <c r="EGB140" s="235"/>
      <c r="EGC140" s="235"/>
      <c r="EGD140" s="235"/>
      <c r="EGE140" s="235"/>
      <c r="EGF140" s="235"/>
      <c r="EGG140" s="235"/>
      <c r="EGH140" s="235"/>
      <c r="EGI140" s="235"/>
      <c r="EGJ140" s="235"/>
      <c r="EGK140" s="235"/>
      <c r="EGL140" s="235"/>
      <c r="EGM140" s="235"/>
      <c r="EGN140" s="235"/>
      <c r="EGO140" s="235"/>
      <c r="EGP140" s="235"/>
      <c r="EGQ140" s="235"/>
      <c r="EGR140" s="235"/>
      <c r="EGS140" s="235"/>
      <c r="EGT140" s="235"/>
      <c r="EGU140" s="235"/>
      <c r="EGV140" s="235"/>
      <c r="EGW140" s="235"/>
      <c r="EGX140" s="235"/>
      <c r="EGY140" s="235"/>
      <c r="EGZ140" s="235"/>
      <c r="EHA140" s="235"/>
      <c r="EHB140" s="235"/>
      <c r="EHC140" s="235"/>
      <c r="EHD140" s="235"/>
      <c r="EHE140" s="235"/>
      <c r="EHF140" s="235"/>
      <c r="EHG140" s="235"/>
      <c r="EHH140" s="235"/>
      <c r="EHI140" s="235"/>
      <c r="EHJ140" s="235"/>
      <c r="EHK140" s="235"/>
      <c r="EHL140" s="235"/>
      <c r="EHM140" s="235"/>
      <c r="EHN140" s="235"/>
      <c r="EHO140" s="235"/>
      <c r="EHP140" s="235"/>
      <c r="EHQ140" s="235"/>
      <c r="EHR140" s="235"/>
      <c r="EHS140" s="235"/>
      <c r="EHT140" s="235"/>
      <c r="EHU140" s="235"/>
      <c r="EHV140" s="235"/>
      <c r="EHW140" s="235"/>
      <c r="EHX140" s="235"/>
      <c r="EHY140" s="235"/>
      <c r="EHZ140" s="235"/>
      <c r="EIA140" s="235"/>
      <c r="EIB140" s="235"/>
      <c r="EIC140" s="235"/>
      <c r="EID140" s="235"/>
      <c r="EIE140" s="235"/>
      <c r="EIF140" s="235"/>
      <c r="EIG140" s="235"/>
      <c r="EIH140" s="235"/>
      <c r="EII140" s="235"/>
      <c r="EIJ140" s="235"/>
      <c r="EIK140" s="235"/>
      <c r="EIL140" s="235"/>
      <c r="EIM140" s="235"/>
      <c r="EIN140" s="235"/>
      <c r="EIO140" s="235"/>
      <c r="EIP140" s="235"/>
      <c r="EIQ140" s="235"/>
      <c r="EIR140" s="235"/>
      <c r="EIS140" s="235"/>
      <c r="EIT140" s="235"/>
      <c r="EIU140" s="235"/>
      <c r="EIV140" s="235"/>
      <c r="EIW140" s="235"/>
      <c r="EIX140" s="235"/>
      <c r="EIY140" s="235"/>
      <c r="EIZ140" s="235"/>
      <c r="EJA140" s="235"/>
      <c r="EJB140" s="235"/>
      <c r="EJC140" s="235"/>
      <c r="EJD140" s="235"/>
      <c r="EJE140" s="235"/>
      <c r="EJF140" s="235"/>
      <c r="EJG140" s="235"/>
      <c r="EJH140" s="235"/>
      <c r="EJI140" s="235"/>
      <c r="EJJ140" s="235"/>
      <c r="EJK140" s="235"/>
      <c r="EJL140" s="235"/>
      <c r="EJM140" s="235"/>
      <c r="EJN140" s="235"/>
      <c r="EJO140" s="235"/>
      <c r="EJP140" s="235"/>
      <c r="EJQ140" s="235"/>
      <c r="EJR140" s="235"/>
      <c r="EJS140" s="235"/>
      <c r="EJT140" s="235"/>
      <c r="EJU140" s="235"/>
      <c r="EJV140" s="235"/>
      <c r="EJW140" s="235"/>
      <c r="EJX140" s="235"/>
      <c r="EJY140" s="235"/>
      <c r="EJZ140" s="235"/>
      <c r="EKA140" s="235"/>
      <c r="EKB140" s="235"/>
      <c r="EKC140" s="235"/>
      <c r="EKD140" s="235"/>
      <c r="EKE140" s="235"/>
      <c r="EKF140" s="235"/>
      <c r="EKG140" s="235"/>
      <c r="EKH140" s="235"/>
      <c r="EKI140" s="235"/>
      <c r="EKJ140" s="235"/>
      <c r="EKK140" s="235"/>
      <c r="EKL140" s="235"/>
      <c r="EKM140" s="235"/>
      <c r="EKN140" s="235"/>
      <c r="EKO140" s="235"/>
      <c r="EKP140" s="235"/>
      <c r="EKQ140" s="235"/>
      <c r="EKR140" s="235"/>
      <c r="EKS140" s="235"/>
      <c r="EKT140" s="235"/>
      <c r="EKU140" s="235"/>
      <c r="EKV140" s="235"/>
      <c r="EKW140" s="235"/>
      <c r="EKX140" s="235"/>
      <c r="EKY140" s="235"/>
      <c r="EKZ140" s="235"/>
      <c r="ELA140" s="235"/>
      <c r="ELB140" s="235"/>
      <c r="ELC140" s="235"/>
      <c r="ELD140" s="235"/>
      <c r="ELE140" s="235"/>
      <c r="ELF140" s="235"/>
      <c r="ELG140" s="235"/>
      <c r="ELH140" s="235"/>
      <c r="ELI140" s="235"/>
      <c r="ELJ140" s="235"/>
      <c r="ELK140" s="235"/>
      <c r="ELL140" s="235"/>
      <c r="ELM140" s="235"/>
      <c r="ELN140" s="235"/>
      <c r="ELO140" s="235"/>
      <c r="ELP140" s="235"/>
      <c r="ELQ140" s="235"/>
      <c r="ELR140" s="235"/>
      <c r="ELS140" s="235"/>
      <c r="ELT140" s="235"/>
      <c r="ELU140" s="235"/>
      <c r="ELV140" s="235"/>
      <c r="ELW140" s="235"/>
      <c r="ELX140" s="235"/>
      <c r="ELY140" s="235"/>
      <c r="ELZ140" s="235"/>
      <c r="EMA140" s="235"/>
      <c r="EMB140" s="235"/>
      <c r="EMC140" s="235"/>
      <c r="EMD140" s="235"/>
      <c r="EME140" s="235"/>
      <c r="EMF140" s="235"/>
      <c r="EMG140" s="235"/>
      <c r="EMH140" s="235"/>
      <c r="EMI140" s="235"/>
      <c r="EMJ140" s="235"/>
      <c r="EMK140" s="235"/>
      <c r="EML140" s="235"/>
      <c r="EMM140" s="235"/>
      <c r="EMN140" s="235"/>
      <c r="EMO140" s="235"/>
      <c r="EMP140" s="235"/>
      <c r="EMQ140" s="235"/>
      <c r="EMR140" s="235"/>
      <c r="EMS140" s="235"/>
      <c r="EMT140" s="235"/>
      <c r="EMU140" s="235"/>
      <c r="EMV140" s="235"/>
      <c r="EMW140" s="235"/>
      <c r="EMX140" s="235"/>
      <c r="EMY140" s="235"/>
      <c r="EMZ140" s="235"/>
      <c r="ENA140" s="235"/>
      <c r="ENB140" s="235"/>
      <c r="ENC140" s="235"/>
      <c r="END140" s="235"/>
      <c r="ENE140" s="235"/>
      <c r="ENF140" s="235"/>
      <c r="ENG140" s="235"/>
      <c r="ENH140" s="235"/>
      <c r="ENI140" s="235"/>
      <c r="ENJ140" s="235"/>
      <c r="ENK140" s="235"/>
      <c r="ENL140" s="235"/>
      <c r="ENM140" s="235"/>
      <c r="ENN140" s="235"/>
      <c r="ENO140" s="235"/>
      <c r="ENP140" s="235"/>
      <c r="ENQ140" s="235"/>
      <c r="ENR140" s="235"/>
      <c r="ENS140" s="235"/>
      <c r="ENT140" s="235"/>
      <c r="ENU140" s="235"/>
      <c r="ENV140" s="235"/>
      <c r="ENW140" s="235"/>
      <c r="ENX140" s="235"/>
      <c r="ENY140" s="235"/>
      <c r="ENZ140" s="235"/>
      <c r="EOA140" s="235"/>
      <c r="EOB140" s="235"/>
      <c r="EOC140" s="235"/>
      <c r="EOD140" s="235"/>
      <c r="EOE140" s="235"/>
      <c r="EOF140" s="235"/>
      <c r="EOG140" s="235"/>
      <c r="EOH140" s="235"/>
      <c r="EOI140" s="235"/>
      <c r="EOJ140" s="235"/>
      <c r="EOK140" s="235"/>
      <c r="EOL140" s="235"/>
      <c r="EOM140" s="235"/>
      <c r="EON140" s="235"/>
      <c r="EOO140" s="235"/>
      <c r="EOP140" s="235"/>
      <c r="EOQ140" s="235"/>
      <c r="EOR140" s="235"/>
      <c r="EOS140" s="235"/>
      <c r="EOT140" s="235"/>
      <c r="EOU140" s="235"/>
      <c r="EOV140" s="235"/>
      <c r="EOW140" s="235"/>
      <c r="EOX140" s="235"/>
      <c r="EOY140" s="235"/>
      <c r="EOZ140" s="235"/>
      <c r="EPA140" s="235"/>
      <c r="EPB140" s="235"/>
      <c r="EPC140" s="235"/>
      <c r="EPD140" s="235"/>
      <c r="EPE140" s="235"/>
      <c r="EPF140" s="235"/>
      <c r="EPG140" s="235"/>
      <c r="EPH140" s="235"/>
      <c r="EPI140" s="235"/>
      <c r="EPJ140" s="235"/>
      <c r="EPK140" s="235"/>
      <c r="EPL140" s="235"/>
      <c r="EPM140" s="235"/>
      <c r="EPN140" s="235"/>
      <c r="EPO140" s="235"/>
      <c r="EPP140" s="235"/>
      <c r="EPQ140" s="235"/>
      <c r="EPR140" s="235"/>
      <c r="EPS140" s="235"/>
      <c r="EPT140" s="235"/>
      <c r="EPU140" s="235"/>
      <c r="EPV140" s="235"/>
      <c r="EPW140" s="235"/>
      <c r="EPX140" s="235"/>
      <c r="EPY140" s="235"/>
      <c r="EPZ140" s="235"/>
      <c r="EQA140" s="235"/>
      <c r="EQB140" s="235"/>
      <c r="EQC140" s="235"/>
      <c r="EQD140" s="235"/>
      <c r="EQE140" s="235"/>
      <c r="EQF140" s="235"/>
      <c r="EQG140" s="235"/>
      <c r="EQH140" s="235"/>
      <c r="EQI140" s="235"/>
      <c r="EQJ140" s="235"/>
      <c r="EQK140" s="235"/>
      <c r="EQL140" s="235"/>
      <c r="EQM140" s="235"/>
      <c r="EQN140" s="235"/>
      <c r="EQO140" s="235"/>
      <c r="EQP140" s="235"/>
      <c r="EQQ140" s="235"/>
      <c r="EQR140" s="235"/>
      <c r="EQS140" s="235"/>
      <c r="EQT140" s="235"/>
      <c r="EQU140" s="235"/>
      <c r="EQV140" s="235"/>
      <c r="EQW140" s="235"/>
      <c r="EQX140" s="235"/>
      <c r="EQY140" s="235"/>
      <c r="EQZ140" s="235"/>
      <c r="ERA140" s="235"/>
      <c r="ERB140" s="235"/>
      <c r="ERC140" s="235"/>
      <c r="ERD140" s="235"/>
      <c r="ERE140" s="235"/>
      <c r="ERF140" s="235"/>
      <c r="ERG140" s="235"/>
      <c r="ERH140" s="235"/>
      <c r="ERI140" s="235"/>
      <c r="ERJ140" s="235"/>
      <c r="ERK140" s="235"/>
      <c r="ERL140" s="235"/>
      <c r="ERM140" s="235"/>
      <c r="ERN140" s="235"/>
      <c r="ERO140" s="235"/>
      <c r="ERP140" s="235"/>
      <c r="ERQ140" s="235"/>
      <c r="ERR140" s="235"/>
      <c r="ERS140" s="235"/>
      <c r="ERT140" s="235"/>
      <c r="ERU140" s="235"/>
      <c r="ERV140" s="235"/>
      <c r="ERW140" s="235"/>
      <c r="ERX140" s="235"/>
      <c r="ERY140" s="235"/>
      <c r="ERZ140" s="235"/>
      <c r="ESA140" s="235"/>
      <c r="ESB140" s="235"/>
      <c r="ESC140" s="235"/>
      <c r="ESD140" s="235"/>
      <c r="ESE140" s="235"/>
      <c r="ESF140" s="235"/>
      <c r="ESG140" s="235"/>
      <c r="ESH140" s="235"/>
      <c r="ESI140" s="235"/>
      <c r="ESJ140" s="235"/>
      <c r="ESK140" s="235"/>
      <c r="ESL140" s="235"/>
      <c r="ESM140" s="235"/>
      <c r="ESN140" s="235"/>
      <c r="ESO140" s="235"/>
      <c r="ESP140" s="235"/>
      <c r="ESQ140" s="235"/>
      <c r="ESR140" s="235"/>
      <c r="ESS140" s="235"/>
      <c r="EST140" s="235"/>
      <c r="ESU140" s="235"/>
      <c r="ESV140" s="235"/>
      <c r="ESW140" s="235"/>
      <c r="ESX140" s="235"/>
      <c r="ESY140" s="235"/>
      <c r="ESZ140" s="235"/>
      <c r="ETA140" s="235"/>
      <c r="ETB140" s="235"/>
      <c r="ETC140" s="235"/>
      <c r="ETD140" s="235"/>
      <c r="ETE140" s="235"/>
      <c r="ETF140" s="235"/>
      <c r="ETG140" s="235"/>
      <c r="ETH140" s="235"/>
      <c r="ETI140" s="235"/>
      <c r="ETJ140" s="235"/>
      <c r="ETK140" s="235"/>
      <c r="ETL140" s="235"/>
      <c r="ETM140" s="235"/>
      <c r="ETN140" s="235"/>
      <c r="ETO140" s="235"/>
      <c r="ETP140" s="235"/>
      <c r="ETQ140" s="235"/>
      <c r="ETR140" s="235"/>
      <c r="ETS140" s="235"/>
      <c r="ETT140" s="235"/>
      <c r="ETU140" s="235"/>
      <c r="ETV140" s="235"/>
      <c r="ETW140" s="235"/>
      <c r="ETX140" s="235"/>
      <c r="ETY140" s="235"/>
      <c r="ETZ140" s="235"/>
      <c r="EUA140" s="235"/>
      <c r="EUB140" s="235"/>
      <c r="EUC140" s="235"/>
      <c r="EUD140" s="235"/>
      <c r="EUE140" s="235"/>
      <c r="EUF140" s="235"/>
      <c r="EUG140" s="235"/>
      <c r="EUH140" s="235"/>
      <c r="EUI140" s="235"/>
      <c r="EUJ140" s="235"/>
      <c r="EUK140" s="235"/>
      <c r="EUL140" s="235"/>
      <c r="EUM140" s="235"/>
      <c r="EUN140" s="235"/>
      <c r="EUO140" s="235"/>
      <c r="EUP140" s="235"/>
      <c r="EUQ140" s="235"/>
      <c r="EUR140" s="235"/>
      <c r="EUS140" s="235"/>
      <c r="EUT140" s="235"/>
      <c r="EUU140" s="235"/>
      <c r="EUV140" s="235"/>
      <c r="EUW140" s="235"/>
      <c r="EUX140" s="235"/>
      <c r="EUY140" s="235"/>
      <c r="EUZ140" s="235"/>
      <c r="EVA140" s="235"/>
      <c r="EVB140" s="235"/>
      <c r="EVC140" s="235"/>
      <c r="EVD140" s="235"/>
      <c r="EVE140" s="235"/>
      <c r="EVF140" s="235"/>
      <c r="EVG140" s="235"/>
      <c r="EVH140" s="235"/>
      <c r="EVI140" s="235"/>
      <c r="EVJ140" s="235"/>
      <c r="EVK140" s="235"/>
      <c r="EVL140" s="235"/>
      <c r="EVM140" s="235"/>
      <c r="EVN140" s="235"/>
      <c r="EVO140" s="235"/>
      <c r="EVP140" s="235"/>
      <c r="EVQ140" s="235"/>
      <c r="EVR140" s="235"/>
      <c r="EVS140" s="235"/>
      <c r="EVT140" s="235"/>
      <c r="EVU140" s="235"/>
      <c r="EVV140" s="235"/>
      <c r="EVW140" s="235"/>
      <c r="EVX140" s="235"/>
      <c r="EVY140" s="235"/>
      <c r="EVZ140" s="235"/>
      <c r="EWA140" s="235"/>
      <c r="EWB140" s="235"/>
      <c r="EWC140" s="235"/>
      <c r="EWD140" s="235"/>
      <c r="EWE140" s="235"/>
      <c r="EWF140" s="235"/>
      <c r="EWG140" s="235"/>
      <c r="EWH140" s="235"/>
      <c r="EWI140" s="235"/>
      <c r="EWJ140" s="235"/>
      <c r="EWK140" s="235"/>
      <c r="EWL140" s="235"/>
      <c r="EWM140" s="235"/>
      <c r="EWN140" s="235"/>
      <c r="EWO140" s="235"/>
      <c r="EWP140" s="235"/>
      <c r="EWQ140" s="235"/>
      <c r="EWR140" s="235"/>
      <c r="EWS140" s="235"/>
      <c r="EWT140" s="235"/>
      <c r="EWU140" s="235"/>
      <c r="EWV140" s="235"/>
      <c r="EWW140" s="235"/>
      <c r="EWX140" s="235"/>
      <c r="EWY140" s="235"/>
      <c r="EWZ140" s="235"/>
      <c r="EXA140" s="235"/>
      <c r="EXB140" s="235"/>
      <c r="EXC140" s="235"/>
      <c r="EXD140" s="235"/>
      <c r="EXE140" s="235"/>
      <c r="EXF140" s="235"/>
      <c r="EXG140" s="235"/>
      <c r="EXH140" s="235"/>
      <c r="EXI140" s="235"/>
      <c r="EXJ140" s="235"/>
      <c r="EXK140" s="235"/>
      <c r="EXL140" s="235"/>
      <c r="EXM140" s="235"/>
      <c r="EXN140" s="235"/>
      <c r="EXO140" s="235"/>
      <c r="EXP140" s="235"/>
      <c r="EXQ140" s="235"/>
      <c r="EXR140" s="235"/>
      <c r="EXS140" s="235"/>
      <c r="EXT140" s="235"/>
      <c r="EXU140" s="235"/>
      <c r="EXV140" s="235"/>
      <c r="EXW140" s="235"/>
      <c r="EXX140" s="235"/>
      <c r="EXY140" s="235"/>
      <c r="EXZ140" s="235"/>
      <c r="EYA140" s="235"/>
      <c r="EYB140" s="235"/>
      <c r="EYC140" s="235"/>
      <c r="EYD140" s="235"/>
      <c r="EYE140" s="235"/>
      <c r="EYF140" s="235"/>
      <c r="EYG140" s="235"/>
      <c r="EYH140" s="235"/>
      <c r="EYI140" s="235"/>
      <c r="EYJ140" s="235"/>
      <c r="EYK140" s="235"/>
      <c r="EYL140" s="235"/>
      <c r="EYM140" s="235"/>
      <c r="EYN140" s="235"/>
      <c r="EYO140" s="235"/>
      <c r="EYP140" s="235"/>
      <c r="EYQ140" s="235"/>
      <c r="EYR140" s="235"/>
      <c r="EYS140" s="235"/>
      <c r="EYT140" s="235"/>
      <c r="EYU140" s="235"/>
      <c r="EYV140" s="235"/>
      <c r="EYW140" s="235"/>
      <c r="EYX140" s="235"/>
      <c r="EYY140" s="235"/>
      <c r="EYZ140" s="235"/>
      <c r="EZA140" s="235"/>
      <c r="EZB140" s="235"/>
      <c r="EZC140" s="235"/>
      <c r="EZD140" s="235"/>
      <c r="EZE140" s="235"/>
      <c r="EZF140" s="235"/>
      <c r="EZG140" s="235"/>
      <c r="EZH140" s="235"/>
      <c r="EZI140" s="235"/>
      <c r="EZJ140" s="235"/>
      <c r="EZK140" s="235"/>
      <c r="EZL140" s="235"/>
      <c r="EZM140" s="235"/>
      <c r="EZN140" s="235"/>
      <c r="EZO140" s="235"/>
      <c r="EZP140" s="235"/>
      <c r="EZQ140" s="235"/>
      <c r="EZR140" s="235"/>
      <c r="EZS140" s="235"/>
      <c r="EZT140" s="235"/>
      <c r="EZU140" s="235"/>
      <c r="EZV140" s="235"/>
      <c r="EZW140" s="235"/>
      <c r="EZX140" s="235"/>
      <c r="EZY140" s="235"/>
      <c r="EZZ140" s="235"/>
      <c r="FAA140" s="235"/>
      <c r="FAB140" s="235"/>
      <c r="FAC140" s="235"/>
      <c r="FAD140" s="235"/>
      <c r="FAE140" s="235"/>
      <c r="FAF140" s="235"/>
      <c r="FAG140" s="235"/>
      <c r="FAH140" s="235"/>
      <c r="FAI140" s="235"/>
      <c r="FAJ140" s="235"/>
      <c r="FAK140" s="235"/>
      <c r="FAL140" s="235"/>
      <c r="FAM140" s="235"/>
      <c r="FAN140" s="235"/>
      <c r="FAO140" s="235"/>
      <c r="FAP140" s="235"/>
      <c r="FAQ140" s="235"/>
      <c r="FAR140" s="235"/>
      <c r="FAS140" s="235"/>
      <c r="FAT140" s="235"/>
      <c r="FAU140" s="235"/>
      <c r="FAV140" s="235"/>
      <c r="FAW140" s="235"/>
      <c r="FAX140" s="235"/>
      <c r="FAY140" s="235"/>
      <c r="FAZ140" s="235"/>
      <c r="FBA140" s="235"/>
      <c r="FBB140" s="235"/>
      <c r="FBC140" s="235"/>
      <c r="FBD140" s="235"/>
      <c r="FBE140" s="235"/>
      <c r="FBF140" s="235"/>
      <c r="FBG140" s="235"/>
      <c r="FBH140" s="235"/>
      <c r="FBI140" s="235"/>
      <c r="FBJ140" s="235"/>
      <c r="FBK140" s="235"/>
      <c r="FBL140" s="235"/>
      <c r="FBM140" s="235"/>
      <c r="FBN140" s="235"/>
      <c r="FBO140" s="235"/>
      <c r="FBP140" s="235"/>
      <c r="FBQ140" s="235"/>
      <c r="FBR140" s="235"/>
      <c r="FBS140" s="235"/>
      <c r="FBT140" s="235"/>
      <c r="FBU140" s="235"/>
      <c r="FBV140" s="235"/>
      <c r="FBW140" s="235"/>
      <c r="FBX140" s="235"/>
      <c r="FBY140" s="235"/>
      <c r="FBZ140" s="235"/>
      <c r="FCA140" s="235"/>
      <c r="FCB140" s="235"/>
      <c r="FCC140" s="235"/>
      <c r="FCD140" s="235"/>
      <c r="FCE140" s="235"/>
      <c r="FCF140" s="235"/>
      <c r="FCG140" s="235"/>
      <c r="FCH140" s="235"/>
      <c r="FCI140" s="235"/>
      <c r="FCJ140" s="235"/>
      <c r="FCK140" s="235"/>
      <c r="FCL140" s="235"/>
      <c r="FCM140" s="235"/>
      <c r="FCN140" s="235"/>
      <c r="FCO140" s="235"/>
      <c r="FCP140" s="235"/>
      <c r="FCQ140" s="235"/>
      <c r="FCR140" s="235"/>
      <c r="FCS140" s="235"/>
      <c r="FCT140" s="235"/>
      <c r="FCU140" s="235"/>
      <c r="FCV140" s="235"/>
      <c r="FCW140" s="235"/>
      <c r="FCX140" s="235"/>
      <c r="FCY140" s="235"/>
      <c r="FCZ140" s="235"/>
      <c r="FDA140" s="235"/>
      <c r="FDB140" s="235"/>
      <c r="FDC140" s="235"/>
      <c r="FDD140" s="235"/>
      <c r="FDE140" s="235"/>
      <c r="FDF140" s="235"/>
      <c r="FDG140" s="235"/>
      <c r="FDH140" s="235"/>
      <c r="FDI140" s="235"/>
      <c r="FDJ140" s="235"/>
      <c r="FDK140" s="235"/>
      <c r="FDL140" s="235"/>
      <c r="FDM140" s="235"/>
      <c r="FDN140" s="235"/>
      <c r="FDO140" s="235"/>
      <c r="FDP140" s="235"/>
      <c r="FDQ140" s="235"/>
      <c r="FDR140" s="235"/>
      <c r="FDS140" s="235"/>
      <c r="FDT140" s="235"/>
      <c r="FDU140" s="235"/>
      <c r="FDV140" s="235"/>
      <c r="FDW140" s="235"/>
      <c r="FDX140" s="235"/>
      <c r="FDY140" s="235"/>
      <c r="FDZ140" s="235"/>
      <c r="FEA140" s="235"/>
      <c r="FEB140" s="235"/>
      <c r="FEC140" s="235"/>
      <c r="FED140" s="235"/>
      <c r="FEE140" s="235"/>
      <c r="FEF140" s="235"/>
      <c r="FEG140" s="235"/>
      <c r="FEH140" s="235"/>
      <c r="FEI140" s="235"/>
      <c r="FEJ140" s="235"/>
      <c r="FEK140" s="235"/>
      <c r="FEL140" s="235"/>
      <c r="FEM140" s="235"/>
      <c r="FEN140" s="235"/>
      <c r="FEO140" s="235"/>
      <c r="FEP140" s="235"/>
      <c r="FEQ140" s="235"/>
      <c r="FER140" s="235"/>
      <c r="FES140" s="235"/>
      <c r="FET140" s="235"/>
      <c r="FEU140" s="235"/>
      <c r="FEV140" s="235"/>
      <c r="FEW140" s="235"/>
      <c r="FEX140" s="235"/>
      <c r="FEY140" s="235"/>
      <c r="FEZ140" s="235"/>
      <c r="FFA140" s="235"/>
      <c r="FFB140" s="235"/>
      <c r="FFC140" s="235"/>
      <c r="FFD140" s="235"/>
      <c r="FFE140" s="235"/>
      <c r="FFF140" s="235"/>
      <c r="FFG140" s="235"/>
      <c r="FFH140" s="235"/>
      <c r="FFI140" s="235"/>
      <c r="FFJ140" s="235"/>
      <c r="FFK140" s="235"/>
      <c r="FFL140" s="235"/>
      <c r="FFM140" s="235"/>
      <c r="FFN140" s="235"/>
      <c r="FFO140" s="235"/>
      <c r="FFP140" s="235"/>
      <c r="FFQ140" s="235"/>
      <c r="FFR140" s="235"/>
      <c r="FFS140" s="235"/>
      <c r="FFT140" s="235"/>
      <c r="FFU140" s="235"/>
      <c r="FFV140" s="235"/>
      <c r="FFW140" s="235"/>
      <c r="FFX140" s="235"/>
      <c r="FFY140" s="235"/>
      <c r="FFZ140" s="235"/>
      <c r="FGA140" s="235"/>
      <c r="FGB140" s="235"/>
      <c r="FGC140" s="235"/>
      <c r="FGD140" s="235"/>
      <c r="FGE140" s="235"/>
      <c r="FGF140" s="235"/>
      <c r="FGG140" s="235"/>
      <c r="FGH140" s="235"/>
      <c r="FGI140" s="235"/>
      <c r="FGJ140" s="235"/>
      <c r="FGK140" s="235"/>
      <c r="FGL140" s="235"/>
      <c r="FGM140" s="235"/>
      <c r="FGN140" s="235"/>
      <c r="FGO140" s="235"/>
      <c r="FGP140" s="235"/>
      <c r="FGQ140" s="235"/>
      <c r="FGR140" s="235"/>
      <c r="FGS140" s="235"/>
      <c r="FGT140" s="235"/>
      <c r="FGU140" s="235"/>
      <c r="FGV140" s="235"/>
      <c r="FGW140" s="235"/>
      <c r="FGX140" s="235"/>
      <c r="FGY140" s="235"/>
      <c r="FGZ140" s="235"/>
      <c r="FHA140" s="235"/>
      <c r="FHB140" s="235"/>
      <c r="FHC140" s="235"/>
      <c r="FHD140" s="235"/>
      <c r="FHE140" s="235"/>
      <c r="FHF140" s="235"/>
      <c r="FHG140" s="235"/>
      <c r="FHH140" s="235"/>
      <c r="FHI140" s="235"/>
      <c r="FHJ140" s="235"/>
      <c r="FHK140" s="235"/>
      <c r="FHL140" s="235"/>
      <c r="FHM140" s="235"/>
      <c r="FHN140" s="235"/>
      <c r="FHO140" s="235"/>
      <c r="FHP140" s="235"/>
      <c r="FHQ140" s="235"/>
      <c r="FHR140" s="235"/>
      <c r="FHS140" s="235"/>
      <c r="FHT140" s="235"/>
      <c r="FHU140" s="235"/>
      <c r="FHV140" s="235"/>
      <c r="FHW140" s="235"/>
      <c r="FHX140" s="235"/>
      <c r="FHY140" s="235"/>
      <c r="FHZ140" s="235"/>
      <c r="FIA140" s="235"/>
      <c r="FIB140" s="235"/>
      <c r="FIC140" s="235"/>
      <c r="FID140" s="235"/>
      <c r="FIE140" s="235"/>
      <c r="FIF140" s="235"/>
      <c r="FIG140" s="235"/>
      <c r="FIH140" s="235"/>
      <c r="FII140" s="235"/>
      <c r="FIJ140" s="235"/>
      <c r="FIK140" s="235"/>
      <c r="FIL140" s="235"/>
      <c r="FIM140" s="235"/>
      <c r="FIN140" s="235"/>
      <c r="FIO140" s="235"/>
      <c r="FIP140" s="235"/>
      <c r="FIQ140" s="235"/>
      <c r="FIR140" s="235"/>
      <c r="FIS140" s="235"/>
      <c r="FIT140" s="235"/>
      <c r="FIU140" s="235"/>
      <c r="FIV140" s="235"/>
      <c r="FIW140" s="235"/>
      <c r="FIX140" s="235"/>
      <c r="FIY140" s="235"/>
      <c r="FIZ140" s="235"/>
      <c r="FJA140" s="235"/>
      <c r="FJB140" s="235"/>
      <c r="FJC140" s="235"/>
      <c r="FJD140" s="235"/>
      <c r="FJE140" s="235"/>
      <c r="FJF140" s="235"/>
      <c r="FJG140" s="235"/>
      <c r="FJH140" s="235"/>
      <c r="FJI140" s="235"/>
      <c r="FJJ140" s="235"/>
      <c r="FJK140" s="235"/>
      <c r="FJL140" s="235"/>
      <c r="FJM140" s="235"/>
      <c r="FJN140" s="235"/>
      <c r="FJO140" s="235"/>
      <c r="FJP140" s="235"/>
      <c r="FJQ140" s="235"/>
      <c r="FJR140" s="235"/>
      <c r="FJS140" s="235"/>
      <c r="FJT140" s="235"/>
      <c r="FJU140" s="235"/>
      <c r="FJV140" s="235"/>
      <c r="FJW140" s="235"/>
      <c r="FJX140" s="235"/>
      <c r="FJY140" s="235"/>
      <c r="FJZ140" s="235"/>
      <c r="FKA140" s="235"/>
      <c r="FKB140" s="235"/>
      <c r="FKC140" s="235"/>
      <c r="FKD140" s="235"/>
      <c r="FKE140" s="235"/>
      <c r="FKF140" s="235"/>
      <c r="FKG140" s="235"/>
      <c r="FKH140" s="235"/>
      <c r="FKI140" s="235"/>
      <c r="FKJ140" s="235"/>
      <c r="FKK140" s="235"/>
      <c r="FKL140" s="235"/>
      <c r="FKM140" s="235"/>
      <c r="FKN140" s="235"/>
      <c r="FKO140" s="235"/>
      <c r="FKP140" s="235"/>
      <c r="FKQ140" s="235"/>
      <c r="FKR140" s="235"/>
      <c r="FKS140" s="235"/>
      <c r="FKT140" s="235"/>
      <c r="FKU140" s="235"/>
      <c r="FKV140" s="235"/>
      <c r="FKW140" s="235"/>
      <c r="FKX140" s="235"/>
      <c r="FKY140" s="235"/>
      <c r="FKZ140" s="235"/>
      <c r="FLA140" s="235"/>
      <c r="FLB140" s="235"/>
      <c r="FLC140" s="235"/>
      <c r="FLD140" s="235"/>
      <c r="FLE140" s="235"/>
      <c r="FLF140" s="235"/>
      <c r="FLG140" s="235"/>
      <c r="FLH140" s="235"/>
      <c r="FLI140" s="235"/>
      <c r="FLJ140" s="235"/>
      <c r="FLK140" s="235"/>
      <c r="FLL140" s="235"/>
      <c r="FLM140" s="235"/>
      <c r="FLN140" s="235"/>
      <c r="FLO140" s="235"/>
      <c r="FLP140" s="235"/>
      <c r="FLQ140" s="235"/>
      <c r="FLR140" s="235"/>
      <c r="FLS140" s="235"/>
      <c r="FLT140" s="235"/>
      <c r="FLU140" s="235"/>
      <c r="FLV140" s="235"/>
      <c r="FLW140" s="235"/>
      <c r="FLX140" s="235"/>
      <c r="FLY140" s="235"/>
      <c r="FLZ140" s="235"/>
      <c r="FMA140" s="235"/>
      <c r="FMB140" s="235"/>
      <c r="FMC140" s="235"/>
      <c r="FMD140" s="235"/>
      <c r="FME140" s="235"/>
      <c r="FMF140" s="235"/>
      <c r="FMG140" s="235"/>
      <c r="FMH140" s="235"/>
      <c r="FMI140" s="235"/>
      <c r="FMJ140" s="235"/>
      <c r="FMK140" s="235"/>
      <c r="FML140" s="235"/>
      <c r="FMM140" s="235"/>
      <c r="FMN140" s="235"/>
      <c r="FMO140" s="235"/>
      <c r="FMP140" s="235"/>
      <c r="FMQ140" s="235"/>
      <c r="FMR140" s="235"/>
      <c r="FMS140" s="235"/>
      <c r="FMT140" s="235"/>
      <c r="FMU140" s="235"/>
      <c r="FMV140" s="235"/>
      <c r="FMW140" s="235"/>
      <c r="FMX140" s="235"/>
      <c r="FMY140" s="235"/>
      <c r="FMZ140" s="235"/>
      <c r="FNA140" s="235"/>
      <c r="FNB140" s="235"/>
      <c r="FNC140" s="235"/>
      <c r="FND140" s="235"/>
      <c r="FNE140" s="235"/>
      <c r="FNF140" s="235"/>
      <c r="FNG140" s="235"/>
      <c r="FNH140" s="235"/>
      <c r="FNI140" s="235"/>
      <c r="FNJ140" s="235"/>
      <c r="FNK140" s="235"/>
      <c r="FNL140" s="235"/>
      <c r="FNM140" s="235"/>
      <c r="FNN140" s="235"/>
      <c r="FNO140" s="235"/>
      <c r="FNP140" s="235"/>
      <c r="FNQ140" s="235"/>
      <c r="FNR140" s="235"/>
      <c r="FNS140" s="235"/>
      <c r="FNT140" s="235"/>
      <c r="FNU140" s="235"/>
      <c r="FNV140" s="235"/>
      <c r="FNW140" s="235"/>
      <c r="FNX140" s="235"/>
      <c r="FNY140" s="235"/>
      <c r="FNZ140" s="235"/>
      <c r="FOA140" s="235"/>
      <c r="FOB140" s="235"/>
      <c r="FOC140" s="235"/>
      <c r="FOD140" s="235"/>
      <c r="FOE140" s="235"/>
      <c r="FOF140" s="235"/>
      <c r="FOG140" s="235"/>
      <c r="FOH140" s="235"/>
      <c r="FOI140" s="235"/>
      <c r="FOJ140" s="235"/>
      <c r="FOK140" s="235"/>
      <c r="FOL140" s="235"/>
      <c r="FOM140" s="235"/>
      <c r="FON140" s="235"/>
      <c r="FOO140" s="235"/>
      <c r="FOP140" s="235"/>
      <c r="FOQ140" s="235"/>
      <c r="FOR140" s="235"/>
      <c r="FOS140" s="235"/>
      <c r="FOT140" s="235"/>
      <c r="FOU140" s="235"/>
      <c r="FOV140" s="235"/>
      <c r="FOW140" s="235"/>
      <c r="FOX140" s="235"/>
      <c r="FOY140" s="235"/>
      <c r="FOZ140" s="235"/>
      <c r="FPA140" s="235"/>
      <c r="FPB140" s="235"/>
      <c r="FPC140" s="235"/>
      <c r="FPD140" s="235"/>
      <c r="FPE140" s="235"/>
      <c r="FPF140" s="235"/>
      <c r="FPG140" s="235"/>
      <c r="FPH140" s="235"/>
      <c r="FPI140" s="235"/>
      <c r="FPJ140" s="235"/>
      <c r="FPK140" s="235"/>
      <c r="FPL140" s="235"/>
      <c r="FPM140" s="235"/>
      <c r="FPN140" s="235"/>
      <c r="FPO140" s="235"/>
      <c r="FPP140" s="235"/>
      <c r="FPQ140" s="235"/>
      <c r="FPR140" s="235"/>
      <c r="FPS140" s="235"/>
      <c r="FPT140" s="235"/>
      <c r="FPU140" s="235"/>
      <c r="FPV140" s="235"/>
      <c r="FPW140" s="235"/>
      <c r="FPX140" s="235"/>
      <c r="FPY140" s="235"/>
      <c r="FPZ140" s="235"/>
      <c r="FQA140" s="235"/>
      <c r="FQB140" s="235"/>
      <c r="FQC140" s="235"/>
      <c r="FQD140" s="235"/>
      <c r="FQE140" s="235"/>
      <c r="FQF140" s="235"/>
      <c r="FQG140" s="235"/>
      <c r="FQH140" s="235"/>
      <c r="FQI140" s="235"/>
      <c r="FQJ140" s="235"/>
      <c r="FQK140" s="235"/>
      <c r="FQL140" s="235"/>
      <c r="FQM140" s="235"/>
      <c r="FQN140" s="235"/>
      <c r="FQO140" s="235"/>
      <c r="FQP140" s="235"/>
      <c r="FQQ140" s="235"/>
      <c r="FQR140" s="235"/>
      <c r="FQS140" s="235"/>
      <c r="FQT140" s="235"/>
      <c r="FQU140" s="235"/>
      <c r="FQV140" s="235"/>
      <c r="FQW140" s="235"/>
      <c r="FQX140" s="235"/>
      <c r="FQY140" s="235"/>
      <c r="FQZ140" s="235"/>
      <c r="FRA140" s="235"/>
      <c r="FRB140" s="235"/>
      <c r="FRC140" s="235"/>
      <c r="FRD140" s="235"/>
      <c r="FRE140" s="235"/>
      <c r="FRF140" s="235"/>
      <c r="FRG140" s="235"/>
      <c r="FRH140" s="235"/>
      <c r="FRI140" s="235"/>
      <c r="FRJ140" s="235"/>
      <c r="FRK140" s="235"/>
      <c r="FRL140" s="235"/>
      <c r="FRM140" s="235"/>
      <c r="FRN140" s="235"/>
      <c r="FRO140" s="235"/>
      <c r="FRP140" s="235"/>
      <c r="FRQ140" s="235"/>
      <c r="FRR140" s="235"/>
      <c r="FRS140" s="235"/>
      <c r="FRT140" s="235"/>
      <c r="FRU140" s="235"/>
      <c r="FRV140" s="235"/>
      <c r="FRW140" s="235"/>
      <c r="FRX140" s="235"/>
      <c r="FRY140" s="235"/>
      <c r="FRZ140" s="235"/>
      <c r="FSA140" s="235"/>
      <c r="FSB140" s="235"/>
      <c r="FSC140" s="235"/>
      <c r="FSD140" s="235"/>
      <c r="FSE140" s="235"/>
      <c r="FSF140" s="235"/>
      <c r="FSG140" s="235"/>
      <c r="FSH140" s="235"/>
      <c r="FSI140" s="235"/>
      <c r="FSJ140" s="235"/>
      <c r="FSK140" s="235"/>
      <c r="FSL140" s="235"/>
      <c r="FSM140" s="235"/>
      <c r="FSN140" s="235"/>
      <c r="FSO140" s="235"/>
      <c r="FSP140" s="235"/>
      <c r="FSQ140" s="235"/>
      <c r="FSR140" s="235"/>
      <c r="FSS140" s="235"/>
      <c r="FST140" s="235"/>
      <c r="FSU140" s="235"/>
      <c r="FSV140" s="235"/>
      <c r="FSW140" s="235"/>
      <c r="FSX140" s="235"/>
      <c r="FSY140" s="235"/>
      <c r="FSZ140" s="235"/>
      <c r="FTA140" s="235"/>
      <c r="FTB140" s="235"/>
      <c r="FTC140" s="235"/>
      <c r="FTD140" s="235"/>
      <c r="FTE140" s="235"/>
      <c r="FTF140" s="235"/>
      <c r="FTG140" s="235"/>
      <c r="FTH140" s="235"/>
      <c r="FTI140" s="235"/>
      <c r="FTJ140" s="235"/>
      <c r="FTK140" s="235"/>
      <c r="FTL140" s="235"/>
      <c r="FTM140" s="235"/>
      <c r="FTN140" s="235"/>
      <c r="FTO140" s="235"/>
      <c r="FTP140" s="235"/>
      <c r="FTQ140" s="235"/>
      <c r="FTR140" s="235"/>
      <c r="FTS140" s="235"/>
      <c r="FTT140" s="235"/>
      <c r="FTU140" s="235"/>
      <c r="FTV140" s="235"/>
      <c r="FTW140" s="235"/>
      <c r="FTX140" s="235"/>
      <c r="FTY140" s="235"/>
      <c r="FTZ140" s="235"/>
      <c r="FUA140" s="235"/>
      <c r="FUB140" s="235"/>
      <c r="FUC140" s="235"/>
      <c r="FUD140" s="235"/>
      <c r="FUE140" s="235"/>
      <c r="FUF140" s="235"/>
      <c r="FUG140" s="235"/>
      <c r="FUH140" s="235"/>
      <c r="FUI140" s="235"/>
      <c r="FUJ140" s="235"/>
      <c r="FUK140" s="235"/>
      <c r="FUL140" s="235"/>
      <c r="FUM140" s="235"/>
      <c r="FUN140" s="235"/>
      <c r="FUO140" s="235"/>
      <c r="FUP140" s="235"/>
      <c r="FUQ140" s="235"/>
      <c r="FUR140" s="235"/>
      <c r="FUS140" s="235"/>
      <c r="FUT140" s="235"/>
      <c r="FUU140" s="235"/>
      <c r="FUV140" s="235"/>
      <c r="FUW140" s="235"/>
      <c r="FUX140" s="235"/>
      <c r="FUY140" s="235"/>
      <c r="FUZ140" s="235"/>
      <c r="FVA140" s="235"/>
      <c r="FVB140" s="235"/>
      <c r="FVC140" s="235"/>
      <c r="FVD140" s="235"/>
      <c r="FVE140" s="235"/>
      <c r="FVF140" s="235"/>
      <c r="FVG140" s="235"/>
      <c r="FVH140" s="235"/>
      <c r="FVI140" s="235"/>
      <c r="FVJ140" s="235"/>
      <c r="FVK140" s="235"/>
      <c r="FVL140" s="235"/>
      <c r="FVM140" s="235"/>
      <c r="FVN140" s="235"/>
      <c r="FVO140" s="235"/>
      <c r="FVP140" s="235"/>
      <c r="FVQ140" s="235"/>
      <c r="FVR140" s="235"/>
      <c r="FVS140" s="235"/>
      <c r="FVT140" s="235"/>
      <c r="FVU140" s="235"/>
      <c r="FVV140" s="235"/>
      <c r="FVW140" s="235"/>
      <c r="FVX140" s="235"/>
      <c r="FVY140" s="235"/>
      <c r="FVZ140" s="235"/>
      <c r="FWA140" s="235"/>
      <c r="FWB140" s="235"/>
      <c r="FWC140" s="235"/>
      <c r="FWD140" s="235"/>
      <c r="FWE140" s="235"/>
      <c r="FWF140" s="235"/>
      <c r="FWG140" s="235"/>
      <c r="FWH140" s="235"/>
      <c r="FWI140" s="235"/>
      <c r="FWJ140" s="235"/>
      <c r="FWK140" s="235"/>
      <c r="FWL140" s="235"/>
      <c r="FWM140" s="235"/>
      <c r="FWN140" s="235"/>
      <c r="FWO140" s="235"/>
      <c r="FWP140" s="235"/>
      <c r="FWQ140" s="235"/>
      <c r="FWR140" s="235"/>
      <c r="FWS140" s="235"/>
      <c r="FWT140" s="235"/>
      <c r="FWU140" s="235"/>
      <c r="FWV140" s="235"/>
      <c r="FWW140" s="235"/>
      <c r="FWX140" s="235"/>
      <c r="FWY140" s="235"/>
      <c r="FWZ140" s="235"/>
      <c r="FXA140" s="235"/>
      <c r="FXB140" s="235"/>
      <c r="FXC140" s="235"/>
      <c r="FXD140" s="235"/>
      <c r="FXE140" s="235"/>
      <c r="FXF140" s="235"/>
      <c r="FXG140" s="235"/>
      <c r="FXH140" s="235"/>
      <c r="FXI140" s="235"/>
      <c r="FXJ140" s="235"/>
      <c r="FXK140" s="235"/>
      <c r="FXL140" s="235"/>
      <c r="FXM140" s="235"/>
      <c r="FXN140" s="235"/>
      <c r="FXO140" s="235"/>
      <c r="FXP140" s="235"/>
      <c r="FXQ140" s="235"/>
      <c r="FXR140" s="235"/>
      <c r="FXS140" s="235"/>
      <c r="FXT140" s="235"/>
      <c r="FXU140" s="235"/>
      <c r="FXV140" s="235"/>
      <c r="FXW140" s="235"/>
      <c r="FXX140" s="235"/>
      <c r="FXY140" s="235"/>
      <c r="FXZ140" s="235"/>
      <c r="FYA140" s="235"/>
      <c r="FYB140" s="235"/>
      <c r="FYC140" s="235"/>
      <c r="FYD140" s="235"/>
      <c r="FYE140" s="235"/>
      <c r="FYF140" s="235"/>
      <c r="FYG140" s="235"/>
      <c r="FYH140" s="235"/>
      <c r="FYI140" s="235"/>
      <c r="FYJ140" s="235"/>
      <c r="FYK140" s="235"/>
      <c r="FYL140" s="235"/>
      <c r="FYM140" s="235"/>
      <c r="FYN140" s="235"/>
      <c r="FYO140" s="235"/>
      <c r="FYP140" s="235"/>
      <c r="FYQ140" s="235"/>
      <c r="FYR140" s="235"/>
      <c r="FYS140" s="235"/>
      <c r="FYT140" s="235"/>
      <c r="FYU140" s="235"/>
      <c r="FYV140" s="235"/>
      <c r="FYW140" s="235"/>
      <c r="FYX140" s="235"/>
      <c r="FYY140" s="235"/>
      <c r="FYZ140" s="235"/>
      <c r="FZA140" s="235"/>
      <c r="FZB140" s="235"/>
      <c r="FZC140" s="235"/>
      <c r="FZD140" s="235"/>
      <c r="FZE140" s="235"/>
      <c r="FZF140" s="235"/>
      <c r="FZG140" s="235"/>
      <c r="FZH140" s="235"/>
      <c r="FZI140" s="235"/>
      <c r="FZJ140" s="235"/>
      <c r="FZK140" s="235"/>
      <c r="FZL140" s="235"/>
      <c r="FZM140" s="235"/>
      <c r="FZN140" s="235"/>
      <c r="FZO140" s="235"/>
      <c r="FZP140" s="235"/>
      <c r="FZQ140" s="235"/>
      <c r="FZR140" s="235"/>
      <c r="FZS140" s="235"/>
      <c r="FZT140" s="235"/>
      <c r="FZU140" s="235"/>
      <c r="FZV140" s="235"/>
      <c r="FZW140" s="235"/>
      <c r="FZX140" s="235"/>
      <c r="FZY140" s="235"/>
      <c r="FZZ140" s="235"/>
      <c r="GAA140" s="235"/>
      <c r="GAB140" s="235"/>
      <c r="GAC140" s="235"/>
      <c r="GAD140" s="235"/>
      <c r="GAE140" s="235"/>
      <c r="GAF140" s="235"/>
      <c r="GAG140" s="235"/>
      <c r="GAH140" s="235"/>
      <c r="GAI140" s="235"/>
      <c r="GAJ140" s="235"/>
      <c r="GAK140" s="235"/>
      <c r="GAL140" s="235"/>
      <c r="GAM140" s="235"/>
      <c r="GAN140" s="235"/>
      <c r="GAO140" s="235"/>
      <c r="GAP140" s="235"/>
      <c r="GAQ140" s="235"/>
      <c r="GAR140" s="235"/>
      <c r="GAS140" s="235"/>
      <c r="GAT140" s="235"/>
      <c r="GAU140" s="235"/>
      <c r="GAV140" s="235"/>
      <c r="GAW140" s="235"/>
      <c r="GAX140" s="235"/>
      <c r="GAY140" s="235"/>
      <c r="GAZ140" s="235"/>
      <c r="GBA140" s="235"/>
      <c r="GBB140" s="235"/>
      <c r="GBC140" s="235"/>
      <c r="GBD140" s="235"/>
      <c r="GBE140" s="235"/>
      <c r="GBF140" s="235"/>
      <c r="GBG140" s="235"/>
      <c r="GBH140" s="235"/>
      <c r="GBI140" s="235"/>
      <c r="GBJ140" s="235"/>
      <c r="GBK140" s="235"/>
      <c r="GBL140" s="235"/>
      <c r="GBM140" s="235"/>
      <c r="GBN140" s="235"/>
      <c r="GBO140" s="235"/>
      <c r="GBP140" s="235"/>
      <c r="GBQ140" s="235"/>
      <c r="GBR140" s="235"/>
      <c r="GBS140" s="235"/>
      <c r="GBT140" s="235"/>
      <c r="GBU140" s="235"/>
      <c r="GBV140" s="235"/>
      <c r="GBW140" s="235"/>
      <c r="GBX140" s="235"/>
      <c r="GBY140" s="235"/>
      <c r="GBZ140" s="235"/>
      <c r="GCA140" s="235"/>
      <c r="GCB140" s="235"/>
      <c r="GCC140" s="235"/>
      <c r="GCD140" s="235"/>
      <c r="GCE140" s="235"/>
      <c r="GCF140" s="235"/>
      <c r="GCG140" s="235"/>
      <c r="GCH140" s="235"/>
      <c r="GCI140" s="235"/>
      <c r="GCJ140" s="235"/>
      <c r="GCK140" s="235"/>
      <c r="GCL140" s="235"/>
      <c r="GCM140" s="235"/>
      <c r="GCN140" s="235"/>
      <c r="GCO140" s="235"/>
      <c r="GCP140" s="235"/>
      <c r="GCQ140" s="235"/>
      <c r="GCR140" s="235"/>
      <c r="GCS140" s="235"/>
      <c r="GCT140" s="235"/>
      <c r="GCU140" s="235"/>
      <c r="GCV140" s="235"/>
      <c r="GCW140" s="235"/>
      <c r="GCX140" s="235"/>
      <c r="GCY140" s="235"/>
      <c r="GCZ140" s="235"/>
      <c r="GDA140" s="235"/>
      <c r="GDB140" s="235"/>
      <c r="GDC140" s="235"/>
      <c r="GDD140" s="235"/>
      <c r="GDE140" s="235"/>
      <c r="GDF140" s="235"/>
      <c r="GDG140" s="235"/>
      <c r="GDH140" s="235"/>
      <c r="GDI140" s="235"/>
      <c r="GDJ140" s="235"/>
      <c r="GDK140" s="235"/>
      <c r="GDL140" s="235"/>
      <c r="GDM140" s="235"/>
      <c r="GDN140" s="235"/>
      <c r="GDO140" s="235"/>
      <c r="GDP140" s="235"/>
      <c r="GDQ140" s="235"/>
      <c r="GDR140" s="235"/>
      <c r="GDS140" s="235"/>
      <c r="GDT140" s="235"/>
      <c r="GDU140" s="235"/>
      <c r="GDV140" s="235"/>
      <c r="GDW140" s="235"/>
      <c r="GDX140" s="235"/>
      <c r="GDY140" s="235"/>
      <c r="GDZ140" s="235"/>
      <c r="GEA140" s="235"/>
      <c r="GEB140" s="235"/>
      <c r="GEC140" s="235"/>
      <c r="GED140" s="235"/>
      <c r="GEE140" s="235"/>
      <c r="GEF140" s="235"/>
      <c r="GEG140" s="235"/>
      <c r="GEH140" s="235"/>
      <c r="GEI140" s="235"/>
      <c r="GEJ140" s="235"/>
      <c r="GEK140" s="235"/>
      <c r="GEL140" s="235"/>
      <c r="GEM140" s="235"/>
      <c r="GEN140" s="235"/>
      <c r="GEO140" s="235"/>
      <c r="GEP140" s="235"/>
      <c r="GEQ140" s="235"/>
      <c r="GER140" s="235"/>
      <c r="GES140" s="235"/>
      <c r="GET140" s="235"/>
      <c r="GEU140" s="235"/>
      <c r="GEV140" s="235"/>
      <c r="GEW140" s="235"/>
      <c r="GEX140" s="235"/>
      <c r="GEY140" s="235"/>
      <c r="GEZ140" s="235"/>
      <c r="GFA140" s="235"/>
      <c r="GFB140" s="235"/>
      <c r="GFC140" s="235"/>
      <c r="GFD140" s="235"/>
      <c r="GFE140" s="235"/>
      <c r="GFF140" s="235"/>
      <c r="GFG140" s="235"/>
      <c r="GFH140" s="235"/>
      <c r="GFI140" s="235"/>
      <c r="GFJ140" s="235"/>
      <c r="GFK140" s="235"/>
      <c r="GFL140" s="235"/>
      <c r="GFM140" s="235"/>
      <c r="GFN140" s="235"/>
      <c r="GFO140" s="235"/>
      <c r="GFP140" s="235"/>
      <c r="GFQ140" s="235"/>
      <c r="GFR140" s="235"/>
      <c r="GFS140" s="235"/>
      <c r="GFT140" s="235"/>
      <c r="GFU140" s="235"/>
      <c r="GFV140" s="235"/>
      <c r="GFW140" s="235"/>
      <c r="GFX140" s="235"/>
      <c r="GFY140" s="235"/>
      <c r="GFZ140" s="235"/>
      <c r="GGA140" s="235"/>
      <c r="GGB140" s="235"/>
      <c r="GGC140" s="235"/>
      <c r="GGD140" s="235"/>
      <c r="GGE140" s="235"/>
      <c r="GGF140" s="235"/>
      <c r="GGG140" s="235"/>
      <c r="GGH140" s="235"/>
      <c r="GGI140" s="235"/>
      <c r="GGJ140" s="235"/>
      <c r="GGK140" s="235"/>
      <c r="GGL140" s="235"/>
      <c r="GGM140" s="235"/>
      <c r="GGN140" s="235"/>
      <c r="GGO140" s="235"/>
      <c r="GGP140" s="235"/>
      <c r="GGQ140" s="235"/>
      <c r="GGR140" s="235"/>
      <c r="GGS140" s="235"/>
      <c r="GGT140" s="235"/>
      <c r="GGU140" s="235"/>
      <c r="GGV140" s="235"/>
      <c r="GGW140" s="235"/>
      <c r="GGX140" s="235"/>
      <c r="GGY140" s="235"/>
      <c r="GGZ140" s="235"/>
      <c r="GHA140" s="235"/>
      <c r="GHB140" s="235"/>
      <c r="GHC140" s="235"/>
      <c r="GHD140" s="235"/>
      <c r="GHE140" s="235"/>
      <c r="GHF140" s="235"/>
      <c r="GHG140" s="235"/>
      <c r="GHH140" s="235"/>
      <c r="GHI140" s="235"/>
      <c r="GHJ140" s="235"/>
      <c r="GHK140" s="235"/>
      <c r="GHL140" s="235"/>
      <c r="GHM140" s="235"/>
      <c r="GHN140" s="235"/>
      <c r="GHO140" s="235"/>
      <c r="GHP140" s="235"/>
      <c r="GHQ140" s="235"/>
      <c r="GHR140" s="235"/>
      <c r="GHS140" s="235"/>
      <c r="GHT140" s="235"/>
      <c r="GHU140" s="235"/>
      <c r="GHV140" s="235"/>
      <c r="GHW140" s="235"/>
      <c r="GHX140" s="235"/>
      <c r="GHY140" s="235"/>
      <c r="GHZ140" s="235"/>
      <c r="GIA140" s="235"/>
      <c r="GIB140" s="235"/>
      <c r="GIC140" s="235"/>
      <c r="GID140" s="235"/>
      <c r="GIE140" s="235"/>
      <c r="GIF140" s="235"/>
      <c r="GIG140" s="235"/>
      <c r="GIH140" s="235"/>
      <c r="GII140" s="235"/>
      <c r="GIJ140" s="235"/>
      <c r="GIK140" s="235"/>
      <c r="GIL140" s="235"/>
      <c r="GIM140" s="235"/>
      <c r="GIN140" s="235"/>
      <c r="GIO140" s="235"/>
      <c r="GIP140" s="235"/>
      <c r="GIQ140" s="235"/>
      <c r="GIR140" s="235"/>
      <c r="GIS140" s="235"/>
      <c r="GIT140" s="235"/>
      <c r="GIU140" s="235"/>
      <c r="GIV140" s="235"/>
      <c r="GIW140" s="235"/>
      <c r="GIX140" s="235"/>
      <c r="GIY140" s="235"/>
      <c r="GIZ140" s="235"/>
      <c r="GJA140" s="235"/>
      <c r="GJB140" s="235"/>
      <c r="GJC140" s="235"/>
      <c r="GJD140" s="235"/>
      <c r="GJE140" s="235"/>
      <c r="GJF140" s="235"/>
      <c r="GJG140" s="235"/>
      <c r="GJH140" s="235"/>
      <c r="GJI140" s="235"/>
      <c r="GJJ140" s="235"/>
      <c r="GJK140" s="235"/>
      <c r="GJL140" s="235"/>
      <c r="GJM140" s="235"/>
      <c r="GJN140" s="235"/>
      <c r="GJO140" s="235"/>
      <c r="GJP140" s="235"/>
      <c r="GJQ140" s="235"/>
      <c r="GJR140" s="235"/>
      <c r="GJS140" s="235"/>
      <c r="GJT140" s="235"/>
      <c r="GJU140" s="235"/>
      <c r="GJV140" s="235"/>
      <c r="GJW140" s="235"/>
      <c r="GJX140" s="235"/>
      <c r="GJY140" s="235"/>
      <c r="GJZ140" s="235"/>
      <c r="GKA140" s="235"/>
      <c r="GKB140" s="235"/>
      <c r="GKC140" s="235"/>
      <c r="GKD140" s="235"/>
      <c r="GKE140" s="235"/>
      <c r="GKF140" s="235"/>
      <c r="GKG140" s="235"/>
      <c r="GKH140" s="235"/>
      <c r="GKI140" s="235"/>
      <c r="GKJ140" s="235"/>
      <c r="GKK140" s="235"/>
      <c r="GKL140" s="235"/>
      <c r="GKM140" s="235"/>
      <c r="GKN140" s="235"/>
      <c r="GKO140" s="235"/>
      <c r="GKP140" s="235"/>
      <c r="GKQ140" s="235"/>
      <c r="GKR140" s="235"/>
      <c r="GKS140" s="235"/>
      <c r="GKT140" s="235"/>
      <c r="GKU140" s="235"/>
      <c r="GKV140" s="235"/>
      <c r="GKW140" s="235"/>
      <c r="GKX140" s="235"/>
      <c r="GKY140" s="235"/>
      <c r="GKZ140" s="235"/>
      <c r="GLA140" s="235"/>
      <c r="GLB140" s="235"/>
      <c r="GLC140" s="235"/>
      <c r="GLD140" s="235"/>
      <c r="GLE140" s="235"/>
      <c r="GLF140" s="235"/>
      <c r="GLG140" s="235"/>
      <c r="GLH140" s="235"/>
      <c r="GLI140" s="235"/>
      <c r="GLJ140" s="235"/>
      <c r="GLK140" s="235"/>
      <c r="GLL140" s="235"/>
      <c r="GLM140" s="235"/>
      <c r="GLN140" s="235"/>
      <c r="GLO140" s="235"/>
      <c r="GLP140" s="235"/>
      <c r="GLQ140" s="235"/>
      <c r="GLR140" s="235"/>
      <c r="GLS140" s="235"/>
      <c r="GLT140" s="235"/>
      <c r="GLU140" s="235"/>
      <c r="GLV140" s="235"/>
      <c r="GLW140" s="235"/>
      <c r="GLX140" s="235"/>
      <c r="GLY140" s="235"/>
      <c r="GLZ140" s="235"/>
      <c r="GMA140" s="235"/>
      <c r="GMB140" s="235"/>
      <c r="GMC140" s="235"/>
      <c r="GMD140" s="235"/>
      <c r="GME140" s="235"/>
      <c r="GMF140" s="235"/>
      <c r="GMG140" s="235"/>
      <c r="GMH140" s="235"/>
      <c r="GMI140" s="235"/>
      <c r="GMJ140" s="235"/>
      <c r="GMK140" s="235"/>
      <c r="GML140" s="235"/>
      <c r="GMM140" s="235"/>
      <c r="GMN140" s="235"/>
      <c r="GMO140" s="235"/>
      <c r="GMP140" s="235"/>
      <c r="GMQ140" s="235"/>
      <c r="GMR140" s="235"/>
      <c r="GMS140" s="235"/>
      <c r="GMT140" s="235"/>
      <c r="GMU140" s="235"/>
      <c r="GMV140" s="235"/>
      <c r="GMW140" s="235"/>
      <c r="GMX140" s="235"/>
      <c r="GMY140" s="235"/>
      <c r="GMZ140" s="235"/>
      <c r="GNA140" s="235"/>
      <c r="GNB140" s="235"/>
      <c r="GNC140" s="235"/>
      <c r="GND140" s="235"/>
      <c r="GNE140" s="235"/>
      <c r="GNF140" s="235"/>
      <c r="GNG140" s="235"/>
      <c r="GNH140" s="235"/>
      <c r="GNI140" s="235"/>
      <c r="GNJ140" s="235"/>
      <c r="GNK140" s="235"/>
      <c r="GNL140" s="235"/>
      <c r="GNM140" s="235"/>
      <c r="GNN140" s="235"/>
      <c r="GNO140" s="235"/>
      <c r="GNP140" s="235"/>
      <c r="GNQ140" s="235"/>
      <c r="GNR140" s="235"/>
      <c r="GNS140" s="235"/>
      <c r="GNT140" s="235"/>
      <c r="GNU140" s="235"/>
      <c r="GNV140" s="235"/>
      <c r="GNW140" s="235"/>
      <c r="GNX140" s="235"/>
      <c r="GNY140" s="235"/>
      <c r="GNZ140" s="235"/>
      <c r="GOA140" s="235"/>
      <c r="GOB140" s="235"/>
      <c r="GOC140" s="235"/>
      <c r="GOD140" s="235"/>
      <c r="GOE140" s="235"/>
      <c r="GOF140" s="235"/>
      <c r="GOG140" s="235"/>
      <c r="GOH140" s="235"/>
      <c r="GOI140" s="235"/>
      <c r="GOJ140" s="235"/>
      <c r="GOK140" s="235"/>
      <c r="GOL140" s="235"/>
      <c r="GOM140" s="235"/>
      <c r="GON140" s="235"/>
      <c r="GOO140" s="235"/>
      <c r="GOP140" s="235"/>
      <c r="GOQ140" s="235"/>
      <c r="GOR140" s="235"/>
      <c r="GOS140" s="235"/>
      <c r="GOT140" s="235"/>
      <c r="GOU140" s="235"/>
      <c r="GOV140" s="235"/>
      <c r="GOW140" s="235"/>
      <c r="GOX140" s="235"/>
      <c r="GOY140" s="235"/>
      <c r="GOZ140" s="235"/>
      <c r="GPA140" s="235"/>
      <c r="GPB140" s="235"/>
      <c r="GPC140" s="235"/>
      <c r="GPD140" s="235"/>
      <c r="GPE140" s="235"/>
      <c r="GPF140" s="235"/>
      <c r="GPG140" s="235"/>
      <c r="GPH140" s="235"/>
      <c r="GPI140" s="235"/>
      <c r="GPJ140" s="235"/>
      <c r="GPK140" s="235"/>
      <c r="GPL140" s="235"/>
      <c r="GPM140" s="235"/>
      <c r="GPN140" s="235"/>
      <c r="GPO140" s="235"/>
      <c r="GPP140" s="235"/>
      <c r="GPQ140" s="235"/>
      <c r="GPR140" s="235"/>
      <c r="GPS140" s="235"/>
      <c r="GPT140" s="235"/>
      <c r="GPU140" s="235"/>
      <c r="GPV140" s="235"/>
      <c r="GPW140" s="235"/>
      <c r="GPX140" s="235"/>
      <c r="GPY140" s="235"/>
      <c r="GPZ140" s="235"/>
      <c r="GQA140" s="235"/>
      <c r="GQB140" s="235"/>
      <c r="GQC140" s="235"/>
      <c r="GQD140" s="235"/>
      <c r="GQE140" s="235"/>
      <c r="GQF140" s="235"/>
      <c r="GQG140" s="235"/>
      <c r="GQH140" s="235"/>
      <c r="GQI140" s="235"/>
      <c r="GQJ140" s="235"/>
      <c r="GQK140" s="235"/>
      <c r="GQL140" s="235"/>
      <c r="GQM140" s="235"/>
      <c r="GQN140" s="235"/>
      <c r="GQO140" s="235"/>
      <c r="GQP140" s="235"/>
      <c r="GQQ140" s="235"/>
      <c r="GQR140" s="235"/>
      <c r="GQS140" s="235"/>
      <c r="GQT140" s="235"/>
      <c r="GQU140" s="235"/>
      <c r="GQV140" s="235"/>
      <c r="GQW140" s="235"/>
      <c r="GQX140" s="235"/>
      <c r="GQY140" s="235"/>
      <c r="GQZ140" s="235"/>
      <c r="GRA140" s="235"/>
      <c r="GRB140" s="235"/>
      <c r="GRC140" s="235"/>
      <c r="GRD140" s="235"/>
      <c r="GRE140" s="235"/>
      <c r="GRF140" s="235"/>
      <c r="GRG140" s="235"/>
      <c r="GRH140" s="235"/>
      <c r="GRI140" s="235"/>
      <c r="GRJ140" s="235"/>
      <c r="GRK140" s="235"/>
      <c r="GRL140" s="235"/>
      <c r="GRM140" s="235"/>
      <c r="GRN140" s="235"/>
      <c r="GRO140" s="235"/>
      <c r="GRP140" s="235"/>
      <c r="GRQ140" s="235"/>
      <c r="GRR140" s="235"/>
      <c r="GRS140" s="235"/>
      <c r="GRT140" s="235"/>
      <c r="GRU140" s="235"/>
      <c r="GRV140" s="235"/>
      <c r="GRW140" s="235"/>
      <c r="GRX140" s="235"/>
      <c r="GRY140" s="235"/>
      <c r="GRZ140" s="235"/>
      <c r="GSA140" s="235"/>
      <c r="GSB140" s="235"/>
      <c r="GSC140" s="235"/>
      <c r="GSD140" s="235"/>
      <c r="GSE140" s="235"/>
      <c r="GSF140" s="235"/>
      <c r="GSG140" s="235"/>
      <c r="GSH140" s="235"/>
      <c r="GSI140" s="235"/>
      <c r="GSJ140" s="235"/>
      <c r="GSK140" s="235"/>
      <c r="GSL140" s="235"/>
      <c r="GSM140" s="235"/>
      <c r="GSN140" s="235"/>
      <c r="GSO140" s="235"/>
      <c r="GSP140" s="235"/>
      <c r="GSQ140" s="235"/>
      <c r="GSR140" s="235"/>
      <c r="GSS140" s="235"/>
      <c r="GST140" s="235"/>
      <c r="GSU140" s="235"/>
      <c r="GSV140" s="235"/>
      <c r="GSW140" s="235"/>
      <c r="GSX140" s="235"/>
      <c r="GSY140" s="235"/>
      <c r="GSZ140" s="235"/>
      <c r="GTA140" s="235"/>
      <c r="GTB140" s="235"/>
      <c r="GTC140" s="235"/>
      <c r="GTD140" s="235"/>
      <c r="GTE140" s="235"/>
      <c r="GTF140" s="235"/>
      <c r="GTG140" s="235"/>
      <c r="GTH140" s="235"/>
      <c r="GTI140" s="235"/>
      <c r="GTJ140" s="235"/>
      <c r="GTK140" s="235"/>
      <c r="GTL140" s="235"/>
      <c r="GTM140" s="235"/>
      <c r="GTN140" s="235"/>
      <c r="GTO140" s="235"/>
      <c r="GTP140" s="235"/>
      <c r="GTQ140" s="235"/>
      <c r="GTR140" s="235"/>
      <c r="GTS140" s="235"/>
      <c r="GTT140" s="235"/>
      <c r="GTU140" s="235"/>
      <c r="GTV140" s="235"/>
      <c r="GTW140" s="235"/>
      <c r="GTX140" s="235"/>
      <c r="GTY140" s="235"/>
      <c r="GTZ140" s="235"/>
      <c r="GUA140" s="235"/>
      <c r="GUB140" s="235"/>
      <c r="GUC140" s="235"/>
      <c r="GUD140" s="235"/>
      <c r="GUE140" s="235"/>
      <c r="GUF140" s="235"/>
      <c r="GUG140" s="235"/>
      <c r="GUH140" s="235"/>
      <c r="GUI140" s="235"/>
      <c r="GUJ140" s="235"/>
      <c r="GUK140" s="235"/>
      <c r="GUL140" s="235"/>
      <c r="GUM140" s="235"/>
      <c r="GUN140" s="235"/>
      <c r="GUO140" s="235"/>
      <c r="GUP140" s="235"/>
      <c r="GUQ140" s="235"/>
      <c r="GUR140" s="235"/>
      <c r="GUS140" s="235"/>
      <c r="GUT140" s="235"/>
      <c r="GUU140" s="235"/>
      <c r="GUV140" s="235"/>
      <c r="GUW140" s="235"/>
      <c r="GUX140" s="235"/>
      <c r="GUY140" s="235"/>
      <c r="GUZ140" s="235"/>
      <c r="GVA140" s="235"/>
      <c r="GVB140" s="235"/>
      <c r="GVC140" s="235"/>
      <c r="GVD140" s="235"/>
      <c r="GVE140" s="235"/>
      <c r="GVF140" s="235"/>
      <c r="GVG140" s="235"/>
      <c r="GVH140" s="235"/>
      <c r="GVI140" s="235"/>
      <c r="GVJ140" s="235"/>
      <c r="GVK140" s="235"/>
      <c r="GVL140" s="235"/>
      <c r="GVM140" s="235"/>
      <c r="GVN140" s="235"/>
      <c r="GVO140" s="235"/>
      <c r="GVP140" s="235"/>
      <c r="GVQ140" s="235"/>
      <c r="GVR140" s="235"/>
      <c r="GVS140" s="235"/>
      <c r="GVT140" s="235"/>
      <c r="GVU140" s="235"/>
      <c r="GVV140" s="235"/>
      <c r="GVW140" s="235"/>
      <c r="GVX140" s="235"/>
      <c r="GVY140" s="235"/>
      <c r="GVZ140" s="235"/>
      <c r="GWA140" s="235"/>
      <c r="GWB140" s="235"/>
      <c r="GWC140" s="235"/>
      <c r="GWD140" s="235"/>
      <c r="GWE140" s="235"/>
      <c r="GWF140" s="235"/>
      <c r="GWG140" s="235"/>
      <c r="GWH140" s="235"/>
      <c r="GWI140" s="235"/>
      <c r="GWJ140" s="235"/>
      <c r="GWK140" s="235"/>
      <c r="GWL140" s="235"/>
      <c r="GWM140" s="235"/>
      <c r="GWN140" s="235"/>
      <c r="GWO140" s="235"/>
      <c r="GWP140" s="235"/>
      <c r="GWQ140" s="235"/>
      <c r="GWR140" s="235"/>
      <c r="GWS140" s="235"/>
      <c r="GWT140" s="235"/>
      <c r="GWU140" s="235"/>
      <c r="GWV140" s="235"/>
      <c r="GWW140" s="235"/>
      <c r="GWX140" s="235"/>
      <c r="GWY140" s="235"/>
      <c r="GWZ140" s="235"/>
      <c r="GXA140" s="235"/>
      <c r="GXB140" s="235"/>
      <c r="GXC140" s="235"/>
      <c r="GXD140" s="235"/>
      <c r="GXE140" s="235"/>
      <c r="GXF140" s="235"/>
      <c r="GXG140" s="235"/>
      <c r="GXH140" s="235"/>
      <c r="GXI140" s="235"/>
      <c r="GXJ140" s="235"/>
      <c r="GXK140" s="235"/>
      <c r="GXL140" s="235"/>
      <c r="GXM140" s="235"/>
      <c r="GXN140" s="235"/>
      <c r="GXO140" s="235"/>
      <c r="GXP140" s="235"/>
      <c r="GXQ140" s="235"/>
      <c r="GXR140" s="235"/>
      <c r="GXS140" s="235"/>
      <c r="GXT140" s="235"/>
      <c r="GXU140" s="235"/>
      <c r="GXV140" s="235"/>
      <c r="GXW140" s="235"/>
      <c r="GXX140" s="235"/>
      <c r="GXY140" s="235"/>
      <c r="GXZ140" s="235"/>
      <c r="GYA140" s="235"/>
      <c r="GYB140" s="235"/>
      <c r="GYC140" s="235"/>
      <c r="GYD140" s="235"/>
      <c r="GYE140" s="235"/>
      <c r="GYF140" s="235"/>
      <c r="GYG140" s="235"/>
      <c r="GYH140" s="235"/>
      <c r="GYI140" s="235"/>
      <c r="GYJ140" s="235"/>
      <c r="GYK140" s="235"/>
      <c r="GYL140" s="235"/>
      <c r="GYM140" s="235"/>
      <c r="GYN140" s="235"/>
      <c r="GYO140" s="235"/>
      <c r="GYP140" s="235"/>
      <c r="GYQ140" s="235"/>
      <c r="GYR140" s="235"/>
      <c r="GYS140" s="235"/>
      <c r="GYT140" s="235"/>
      <c r="GYU140" s="235"/>
      <c r="GYV140" s="235"/>
      <c r="GYW140" s="235"/>
      <c r="GYX140" s="235"/>
      <c r="GYY140" s="235"/>
      <c r="GYZ140" s="235"/>
      <c r="GZA140" s="235"/>
      <c r="GZB140" s="235"/>
      <c r="GZC140" s="235"/>
      <c r="GZD140" s="235"/>
      <c r="GZE140" s="235"/>
      <c r="GZF140" s="235"/>
      <c r="GZG140" s="235"/>
      <c r="GZH140" s="235"/>
      <c r="GZI140" s="235"/>
      <c r="GZJ140" s="235"/>
      <c r="GZK140" s="235"/>
      <c r="GZL140" s="235"/>
      <c r="GZM140" s="235"/>
      <c r="GZN140" s="235"/>
      <c r="GZO140" s="235"/>
      <c r="GZP140" s="235"/>
      <c r="GZQ140" s="235"/>
      <c r="GZR140" s="235"/>
      <c r="GZS140" s="235"/>
      <c r="GZT140" s="235"/>
      <c r="GZU140" s="235"/>
      <c r="GZV140" s="235"/>
      <c r="GZW140" s="235"/>
      <c r="GZX140" s="235"/>
      <c r="GZY140" s="235"/>
      <c r="GZZ140" s="235"/>
      <c r="HAA140" s="235"/>
      <c r="HAB140" s="235"/>
      <c r="HAC140" s="235"/>
      <c r="HAD140" s="235"/>
      <c r="HAE140" s="235"/>
      <c r="HAF140" s="235"/>
      <c r="HAG140" s="235"/>
      <c r="HAH140" s="235"/>
      <c r="HAI140" s="235"/>
      <c r="HAJ140" s="235"/>
      <c r="HAK140" s="235"/>
      <c r="HAL140" s="235"/>
      <c r="HAM140" s="235"/>
      <c r="HAN140" s="235"/>
      <c r="HAO140" s="235"/>
      <c r="HAP140" s="235"/>
      <c r="HAQ140" s="235"/>
      <c r="HAR140" s="235"/>
      <c r="HAS140" s="235"/>
      <c r="HAT140" s="235"/>
      <c r="HAU140" s="235"/>
      <c r="HAV140" s="235"/>
      <c r="HAW140" s="235"/>
      <c r="HAX140" s="235"/>
      <c r="HAY140" s="235"/>
      <c r="HAZ140" s="235"/>
      <c r="HBA140" s="235"/>
      <c r="HBB140" s="235"/>
      <c r="HBC140" s="235"/>
      <c r="HBD140" s="235"/>
      <c r="HBE140" s="235"/>
      <c r="HBF140" s="235"/>
      <c r="HBG140" s="235"/>
      <c r="HBH140" s="235"/>
      <c r="HBI140" s="235"/>
      <c r="HBJ140" s="235"/>
      <c r="HBK140" s="235"/>
      <c r="HBL140" s="235"/>
      <c r="HBM140" s="235"/>
      <c r="HBN140" s="235"/>
      <c r="HBO140" s="235"/>
      <c r="HBP140" s="235"/>
      <c r="HBQ140" s="235"/>
      <c r="HBR140" s="235"/>
      <c r="HBS140" s="235"/>
      <c r="HBT140" s="235"/>
      <c r="HBU140" s="235"/>
      <c r="HBV140" s="235"/>
      <c r="HBW140" s="235"/>
      <c r="HBX140" s="235"/>
      <c r="HBY140" s="235"/>
      <c r="HBZ140" s="235"/>
      <c r="HCA140" s="235"/>
      <c r="HCB140" s="235"/>
      <c r="HCC140" s="235"/>
      <c r="HCD140" s="235"/>
      <c r="HCE140" s="235"/>
      <c r="HCF140" s="235"/>
      <c r="HCG140" s="235"/>
      <c r="HCH140" s="235"/>
      <c r="HCI140" s="235"/>
      <c r="HCJ140" s="235"/>
      <c r="HCK140" s="235"/>
      <c r="HCL140" s="235"/>
      <c r="HCM140" s="235"/>
      <c r="HCN140" s="235"/>
      <c r="HCO140" s="235"/>
      <c r="HCP140" s="235"/>
      <c r="HCQ140" s="235"/>
      <c r="HCR140" s="235"/>
      <c r="HCS140" s="235"/>
      <c r="HCT140" s="235"/>
      <c r="HCU140" s="235"/>
      <c r="HCV140" s="235"/>
      <c r="HCW140" s="235"/>
      <c r="HCX140" s="235"/>
      <c r="HCY140" s="235"/>
      <c r="HCZ140" s="235"/>
      <c r="HDA140" s="235"/>
      <c r="HDB140" s="235"/>
      <c r="HDC140" s="235"/>
      <c r="HDD140" s="235"/>
      <c r="HDE140" s="235"/>
      <c r="HDF140" s="235"/>
      <c r="HDG140" s="235"/>
      <c r="HDH140" s="235"/>
      <c r="HDI140" s="235"/>
      <c r="HDJ140" s="235"/>
      <c r="HDK140" s="235"/>
      <c r="HDL140" s="235"/>
      <c r="HDM140" s="235"/>
      <c r="HDN140" s="235"/>
      <c r="HDO140" s="235"/>
      <c r="HDP140" s="235"/>
      <c r="HDQ140" s="235"/>
      <c r="HDR140" s="235"/>
      <c r="HDS140" s="235"/>
      <c r="HDT140" s="235"/>
      <c r="HDU140" s="235"/>
      <c r="HDV140" s="235"/>
      <c r="HDW140" s="235"/>
      <c r="HDX140" s="235"/>
      <c r="HDY140" s="235"/>
      <c r="HDZ140" s="235"/>
      <c r="HEA140" s="235"/>
      <c r="HEB140" s="235"/>
      <c r="HEC140" s="235"/>
      <c r="HED140" s="235"/>
      <c r="HEE140" s="235"/>
      <c r="HEF140" s="235"/>
      <c r="HEG140" s="235"/>
      <c r="HEH140" s="235"/>
      <c r="HEI140" s="235"/>
      <c r="HEJ140" s="235"/>
      <c r="HEK140" s="235"/>
      <c r="HEL140" s="235"/>
      <c r="HEM140" s="235"/>
      <c r="HEN140" s="235"/>
      <c r="HEO140" s="235"/>
      <c r="HEP140" s="235"/>
      <c r="HEQ140" s="235"/>
      <c r="HER140" s="235"/>
      <c r="HES140" s="235"/>
      <c r="HET140" s="235"/>
      <c r="HEU140" s="235"/>
      <c r="HEV140" s="235"/>
      <c r="HEW140" s="235"/>
      <c r="HEX140" s="235"/>
      <c r="HEY140" s="235"/>
      <c r="HEZ140" s="235"/>
      <c r="HFA140" s="235"/>
      <c r="HFB140" s="235"/>
      <c r="HFC140" s="235"/>
      <c r="HFD140" s="235"/>
      <c r="HFE140" s="235"/>
      <c r="HFF140" s="235"/>
      <c r="HFG140" s="235"/>
      <c r="HFH140" s="235"/>
      <c r="HFI140" s="235"/>
      <c r="HFJ140" s="235"/>
      <c r="HFK140" s="235"/>
      <c r="HFL140" s="235"/>
      <c r="HFM140" s="235"/>
      <c r="HFN140" s="235"/>
      <c r="HFO140" s="235"/>
      <c r="HFP140" s="235"/>
      <c r="HFQ140" s="235"/>
      <c r="HFR140" s="235"/>
      <c r="HFS140" s="235"/>
      <c r="HFT140" s="235"/>
      <c r="HFU140" s="235"/>
      <c r="HFV140" s="235"/>
      <c r="HFW140" s="235"/>
      <c r="HFX140" s="235"/>
      <c r="HFY140" s="235"/>
      <c r="HFZ140" s="235"/>
      <c r="HGA140" s="235"/>
      <c r="HGB140" s="235"/>
      <c r="HGC140" s="235"/>
      <c r="HGD140" s="235"/>
      <c r="HGE140" s="235"/>
      <c r="HGF140" s="235"/>
      <c r="HGG140" s="235"/>
      <c r="HGH140" s="235"/>
      <c r="HGI140" s="235"/>
      <c r="HGJ140" s="235"/>
      <c r="HGK140" s="235"/>
      <c r="HGL140" s="235"/>
      <c r="HGM140" s="235"/>
      <c r="HGN140" s="235"/>
      <c r="HGO140" s="235"/>
      <c r="HGP140" s="235"/>
      <c r="HGQ140" s="235"/>
      <c r="HGR140" s="235"/>
      <c r="HGS140" s="235"/>
      <c r="HGT140" s="235"/>
      <c r="HGU140" s="235"/>
      <c r="HGV140" s="235"/>
      <c r="HGW140" s="235"/>
      <c r="HGX140" s="235"/>
      <c r="HGY140" s="235"/>
      <c r="HGZ140" s="235"/>
      <c r="HHA140" s="235"/>
      <c r="HHB140" s="235"/>
      <c r="HHC140" s="235"/>
      <c r="HHD140" s="235"/>
      <c r="HHE140" s="235"/>
      <c r="HHF140" s="235"/>
      <c r="HHG140" s="235"/>
      <c r="HHH140" s="235"/>
      <c r="HHI140" s="235"/>
      <c r="HHJ140" s="235"/>
      <c r="HHK140" s="235"/>
      <c r="HHL140" s="235"/>
      <c r="HHM140" s="235"/>
      <c r="HHN140" s="235"/>
      <c r="HHO140" s="235"/>
      <c r="HHP140" s="235"/>
      <c r="HHQ140" s="235"/>
      <c r="HHR140" s="235"/>
      <c r="HHS140" s="235"/>
      <c r="HHT140" s="235"/>
      <c r="HHU140" s="235"/>
      <c r="HHV140" s="235"/>
      <c r="HHW140" s="235"/>
      <c r="HHX140" s="235"/>
      <c r="HHY140" s="235"/>
      <c r="HHZ140" s="235"/>
      <c r="HIA140" s="235"/>
      <c r="HIB140" s="235"/>
      <c r="HIC140" s="235"/>
      <c r="HID140" s="235"/>
      <c r="HIE140" s="235"/>
      <c r="HIF140" s="235"/>
      <c r="HIG140" s="235"/>
      <c r="HIH140" s="235"/>
      <c r="HII140" s="235"/>
      <c r="HIJ140" s="235"/>
      <c r="HIK140" s="235"/>
      <c r="HIL140" s="235"/>
      <c r="HIM140" s="235"/>
      <c r="HIN140" s="235"/>
      <c r="HIO140" s="235"/>
      <c r="HIP140" s="235"/>
      <c r="HIQ140" s="235"/>
      <c r="HIR140" s="235"/>
      <c r="HIS140" s="235"/>
      <c r="HIT140" s="235"/>
      <c r="HIU140" s="235"/>
      <c r="HIV140" s="235"/>
      <c r="HIW140" s="235"/>
      <c r="HIX140" s="235"/>
      <c r="HIY140" s="235"/>
      <c r="HIZ140" s="235"/>
      <c r="HJA140" s="235"/>
      <c r="HJB140" s="235"/>
      <c r="HJC140" s="235"/>
      <c r="HJD140" s="235"/>
      <c r="HJE140" s="235"/>
      <c r="HJF140" s="235"/>
      <c r="HJG140" s="235"/>
      <c r="HJH140" s="235"/>
      <c r="HJI140" s="235"/>
      <c r="HJJ140" s="235"/>
      <c r="HJK140" s="235"/>
      <c r="HJL140" s="235"/>
      <c r="HJM140" s="235"/>
      <c r="HJN140" s="235"/>
      <c r="HJO140" s="235"/>
      <c r="HJP140" s="235"/>
      <c r="HJQ140" s="235"/>
      <c r="HJR140" s="235"/>
      <c r="HJS140" s="235"/>
      <c r="HJT140" s="235"/>
      <c r="HJU140" s="235"/>
      <c r="HJV140" s="235"/>
      <c r="HJW140" s="235"/>
      <c r="HJX140" s="235"/>
      <c r="HJY140" s="235"/>
      <c r="HJZ140" s="235"/>
      <c r="HKA140" s="235"/>
      <c r="HKB140" s="235"/>
      <c r="HKC140" s="235"/>
      <c r="HKD140" s="235"/>
      <c r="HKE140" s="235"/>
      <c r="HKF140" s="235"/>
      <c r="HKG140" s="235"/>
      <c r="HKH140" s="235"/>
      <c r="HKI140" s="235"/>
      <c r="HKJ140" s="235"/>
      <c r="HKK140" s="235"/>
      <c r="HKL140" s="235"/>
      <c r="HKM140" s="235"/>
      <c r="HKN140" s="235"/>
      <c r="HKO140" s="235"/>
      <c r="HKP140" s="235"/>
      <c r="HKQ140" s="235"/>
      <c r="HKR140" s="235"/>
      <c r="HKS140" s="235"/>
      <c r="HKT140" s="235"/>
      <c r="HKU140" s="235"/>
      <c r="HKV140" s="235"/>
      <c r="HKW140" s="235"/>
      <c r="HKX140" s="235"/>
      <c r="HKY140" s="235"/>
      <c r="HKZ140" s="235"/>
      <c r="HLA140" s="235"/>
      <c r="HLB140" s="235"/>
      <c r="HLC140" s="235"/>
      <c r="HLD140" s="235"/>
      <c r="HLE140" s="235"/>
      <c r="HLF140" s="235"/>
      <c r="HLG140" s="235"/>
      <c r="HLH140" s="235"/>
      <c r="HLI140" s="235"/>
      <c r="HLJ140" s="235"/>
      <c r="HLK140" s="235"/>
      <c r="HLL140" s="235"/>
      <c r="HLM140" s="235"/>
      <c r="HLN140" s="235"/>
      <c r="HLO140" s="235"/>
      <c r="HLP140" s="235"/>
      <c r="HLQ140" s="235"/>
      <c r="HLR140" s="235"/>
      <c r="HLS140" s="235"/>
      <c r="HLT140" s="235"/>
      <c r="HLU140" s="235"/>
      <c r="HLV140" s="235"/>
      <c r="HLW140" s="235"/>
      <c r="HLX140" s="235"/>
      <c r="HLY140" s="235"/>
      <c r="HLZ140" s="235"/>
      <c r="HMA140" s="235"/>
      <c r="HMB140" s="235"/>
      <c r="HMC140" s="235"/>
      <c r="HMD140" s="235"/>
      <c r="HME140" s="235"/>
      <c r="HMF140" s="235"/>
      <c r="HMG140" s="235"/>
      <c r="HMH140" s="235"/>
      <c r="HMI140" s="235"/>
      <c r="HMJ140" s="235"/>
      <c r="HMK140" s="235"/>
      <c r="HML140" s="235"/>
      <c r="HMM140" s="235"/>
      <c r="HMN140" s="235"/>
      <c r="HMO140" s="235"/>
      <c r="HMP140" s="235"/>
      <c r="HMQ140" s="235"/>
      <c r="HMR140" s="235"/>
      <c r="HMS140" s="235"/>
      <c r="HMT140" s="235"/>
      <c r="HMU140" s="235"/>
      <c r="HMV140" s="235"/>
      <c r="HMW140" s="235"/>
      <c r="HMX140" s="235"/>
      <c r="HMY140" s="235"/>
      <c r="HMZ140" s="235"/>
      <c r="HNA140" s="235"/>
      <c r="HNB140" s="235"/>
      <c r="HNC140" s="235"/>
      <c r="HND140" s="235"/>
      <c r="HNE140" s="235"/>
      <c r="HNF140" s="235"/>
      <c r="HNG140" s="235"/>
      <c r="HNH140" s="235"/>
      <c r="HNI140" s="235"/>
      <c r="HNJ140" s="235"/>
      <c r="HNK140" s="235"/>
      <c r="HNL140" s="235"/>
      <c r="HNM140" s="235"/>
      <c r="HNN140" s="235"/>
      <c r="HNO140" s="235"/>
      <c r="HNP140" s="235"/>
      <c r="HNQ140" s="235"/>
      <c r="HNR140" s="235"/>
      <c r="HNS140" s="235"/>
      <c r="HNT140" s="235"/>
      <c r="HNU140" s="235"/>
      <c r="HNV140" s="235"/>
      <c r="HNW140" s="235"/>
      <c r="HNX140" s="235"/>
      <c r="HNY140" s="235"/>
      <c r="HNZ140" s="235"/>
      <c r="HOA140" s="235"/>
      <c r="HOB140" s="235"/>
      <c r="HOC140" s="235"/>
      <c r="HOD140" s="235"/>
      <c r="HOE140" s="235"/>
      <c r="HOF140" s="235"/>
      <c r="HOG140" s="235"/>
      <c r="HOH140" s="235"/>
      <c r="HOI140" s="235"/>
      <c r="HOJ140" s="235"/>
      <c r="HOK140" s="235"/>
      <c r="HOL140" s="235"/>
      <c r="HOM140" s="235"/>
      <c r="HON140" s="235"/>
      <c r="HOO140" s="235"/>
      <c r="HOP140" s="235"/>
      <c r="HOQ140" s="235"/>
      <c r="HOR140" s="235"/>
      <c r="HOS140" s="235"/>
      <c r="HOT140" s="235"/>
      <c r="HOU140" s="235"/>
      <c r="HOV140" s="235"/>
      <c r="HOW140" s="235"/>
      <c r="HOX140" s="235"/>
      <c r="HOY140" s="235"/>
      <c r="HOZ140" s="235"/>
      <c r="HPA140" s="235"/>
      <c r="HPB140" s="235"/>
      <c r="HPC140" s="235"/>
      <c r="HPD140" s="235"/>
      <c r="HPE140" s="235"/>
      <c r="HPF140" s="235"/>
      <c r="HPG140" s="235"/>
      <c r="HPH140" s="235"/>
      <c r="HPI140" s="235"/>
      <c r="HPJ140" s="235"/>
      <c r="HPK140" s="235"/>
      <c r="HPL140" s="235"/>
      <c r="HPM140" s="235"/>
      <c r="HPN140" s="235"/>
      <c r="HPO140" s="235"/>
      <c r="HPP140" s="235"/>
      <c r="HPQ140" s="235"/>
      <c r="HPR140" s="235"/>
      <c r="HPS140" s="235"/>
      <c r="HPT140" s="235"/>
      <c r="HPU140" s="235"/>
      <c r="HPV140" s="235"/>
      <c r="HPW140" s="235"/>
      <c r="HPX140" s="235"/>
      <c r="HPY140" s="235"/>
      <c r="HPZ140" s="235"/>
      <c r="HQA140" s="235"/>
      <c r="HQB140" s="235"/>
      <c r="HQC140" s="235"/>
      <c r="HQD140" s="235"/>
      <c r="HQE140" s="235"/>
      <c r="HQF140" s="235"/>
      <c r="HQG140" s="235"/>
      <c r="HQH140" s="235"/>
      <c r="HQI140" s="235"/>
      <c r="HQJ140" s="235"/>
      <c r="HQK140" s="235"/>
      <c r="HQL140" s="235"/>
      <c r="HQM140" s="235"/>
      <c r="HQN140" s="235"/>
      <c r="HQO140" s="235"/>
      <c r="HQP140" s="235"/>
      <c r="HQQ140" s="235"/>
      <c r="HQR140" s="235"/>
      <c r="HQS140" s="235"/>
      <c r="HQT140" s="235"/>
      <c r="HQU140" s="235"/>
      <c r="HQV140" s="235"/>
      <c r="HQW140" s="235"/>
      <c r="HQX140" s="235"/>
      <c r="HQY140" s="235"/>
      <c r="HQZ140" s="235"/>
      <c r="HRA140" s="235"/>
      <c r="HRB140" s="235"/>
      <c r="HRC140" s="235"/>
      <c r="HRD140" s="235"/>
      <c r="HRE140" s="235"/>
      <c r="HRF140" s="235"/>
      <c r="HRG140" s="235"/>
      <c r="HRH140" s="235"/>
      <c r="HRI140" s="235"/>
      <c r="HRJ140" s="235"/>
      <c r="HRK140" s="235"/>
      <c r="HRL140" s="235"/>
      <c r="HRM140" s="235"/>
      <c r="HRN140" s="235"/>
      <c r="HRO140" s="235"/>
      <c r="HRP140" s="235"/>
      <c r="HRQ140" s="235"/>
      <c r="HRR140" s="235"/>
      <c r="HRS140" s="235"/>
      <c r="HRT140" s="235"/>
      <c r="HRU140" s="235"/>
      <c r="HRV140" s="235"/>
      <c r="HRW140" s="235"/>
      <c r="HRX140" s="235"/>
      <c r="HRY140" s="235"/>
      <c r="HRZ140" s="235"/>
      <c r="HSA140" s="235"/>
      <c r="HSB140" s="235"/>
      <c r="HSC140" s="235"/>
      <c r="HSD140" s="235"/>
      <c r="HSE140" s="235"/>
      <c r="HSF140" s="235"/>
      <c r="HSG140" s="235"/>
      <c r="HSH140" s="235"/>
      <c r="HSI140" s="235"/>
      <c r="HSJ140" s="235"/>
      <c r="HSK140" s="235"/>
      <c r="HSL140" s="235"/>
      <c r="HSM140" s="235"/>
      <c r="HSN140" s="235"/>
      <c r="HSO140" s="235"/>
      <c r="HSP140" s="235"/>
      <c r="HSQ140" s="235"/>
      <c r="HSR140" s="235"/>
      <c r="HSS140" s="235"/>
      <c r="HST140" s="235"/>
      <c r="HSU140" s="235"/>
      <c r="HSV140" s="235"/>
      <c r="HSW140" s="235"/>
      <c r="HSX140" s="235"/>
      <c r="HSY140" s="235"/>
      <c r="HSZ140" s="235"/>
      <c r="HTA140" s="235"/>
      <c r="HTB140" s="235"/>
      <c r="HTC140" s="235"/>
      <c r="HTD140" s="235"/>
      <c r="HTE140" s="235"/>
      <c r="HTF140" s="235"/>
      <c r="HTG140" s="235"/>
      <c r="HTH140" s="235"/>
      <c r="HTI140" s="235"/>
      <c r="HTJ140" s="235"/>
      <c r="HTK140" s="235"/>
      <c r="HTL140" s="235"/>
      <c r="HTM140" s="235"/>
      <c r="HTN140" s="235"/>
      <c r="HTO140" s="235"/>
      <c r="HTP140" s="235"/>
      <c r="HTQ140" s="235"/>
      <c r="HTR140" s="235"/>
      <c r="HTS140" s="235"/>
      <c r="HTT140" s="235"/>
      <c r="HTU140" s="235"/>
      <c r="HTV140" s="235"/>
      <c r="HTW140" s="235"/>
      <c r="HTX140" s="235"/>
      <c r="HTY140" s="235"/>
      <c r="HTZ140" s="235"/>
      <c r="HUA140" s="235"/>
      <c r="HUB140" s="235"/>
      <c r="HUC140" s="235"/>
      <c r="HUD140" s="235"/>
      <c r="HUE140" s="235"/>
      <c r="HUF140" s="235"/>
      <c r="HUG140" s="235"/>
      <c r="HUH140" s="235"/>
      <c r="HUI140" s="235"/>
      <c r="HUJ140" s="235"/>
      <c r="HUK140" s="235"/>
      <c r="HUL140" s="235"/>
      <c r="HUM140" s="235"/>
      <c r="HUN140" s="235"/>
      <c r="HUO140" s="235"/>
      <c r="HUP140" s="235"/>
      <c r="HUQ140" s="235"/>
      <c r="HUR140" s="235"/>
      <c r="HUS140" s="235"/>
      <c r="HUT140" s="235"/>
      <c r="HUU140" s="235"/>
      <c r="HUV140" s="235"/>
      <c r="HUW140" s="235"/>
      <c r="HUX140" s="235"/>
      <c r="HUY140" s="235"/>
      <c r="HUZ140" s="235"/>
      <c r="HVA140" s="235"/>
      <c r="HVB140" s="235"/>
      <c r="HVC140" s="235"/>
      <c r="HVD140" s="235"/>
      <c r="HVE140" s="235"/>
      <c r="HVF140" s="235"/>
      <c r="HVG140" s="235"/>
      <c r="HVH140" s="235"/>
      <c r="HVI140" s="235"/>
      <c r="HVJ140" s="235"/>
      <c r="HVK140" s="235"/>
      <c r="HVL140" s="235"/>
      <c r="HVM140" s="235"/>
      <c r="HVN140" s="235"/>
      <c r="HVO140" s="235"/>
      <c r="HVP140" s="235"/>
      <c r="HVQ140" s="235"/>
      <c r="HVR140" s="235"/>
      <c r="HVS140" s="235"/>
      <c r="HVT140" s="235"/>
      <c r="HVU140" s="235"/>
      <c r="HVV140" s="235"/>
      <c r="HVW140" s="235"/>
      <c r="HVX140" s="235"/>
      <c r="HVY140" s="235"/>
      <c r="HVZ140" s="235"/>
      <c r="HWA140" s="235"/>
      <c r="HWB140" s="235"/>
      <c r="HWC140" s="235"/>
      <c r="HWD140" s="235"/>
      <c r="HWE140" s="235"/>
      <c r="HWF140" s="235"/>
      <c r="HWG140" s="235"/>
      <c r="HWH140" s="235"/>
      <c r="HWI140" s="235"/>
      <c r="HWJ140" s="235"/>
      <c r="HWK140" s="235"/>
      <c r="HWL140" s="235"/>
      <c r="HWM140" s="235"/>
      <c r="HWN140" s="235"/>
      <c r="HWO140" s="235"/>
      <c r="HWP140" s="235"/>
      <c r="HWQ140" s="235"/>
      <c r="HWR140" s="235"/>
      <c r="HWS140" s="235"/>
      <c r="HWT140" s="235"/>
      <c r="HWU140" s="235"/>
      <c r="HWV140" s="235"/>
      <c r="HWW140" s="235"/>
      <c r="HWX140" s="235"/>
      <c r="HWY140" s="235"/>
      <c r="HWZ140" s="235"/>
      <c r="HXA140" s="235"/>
      <c r="HXB140" s="235"/>
      <c r="HXC140" s="235"/>
      <c r="HXD140" s="235"/>
      <c r="HXE140" s="235"/>
      <c r="HXF140" s="235"/>
      <c r="HXG140" s="235"/>
      <c r="HXH140" s="235"/>
      <c r="HXI140" s="235"/>
      <c r="HXJ140" s="235"/>
      <c r="HXK140" s="235"/>
      <c r="HXL140" s="235"/>
      <c r="HXM140" s="235"/>
      <c r="HXN140" s="235"/>
      <c r="HXO140" s="235"/>
      <c r="HXP140" s="235"/>
      <c r="HXQ140" s="235"/>
      <c r="HXR140" s="235"/>
      <c r="HXS140" s="235"/>
      <c r="HXT140" s="235"/>
      <c r="HXU140" s="235"/>
      <c r="HXV140" s="235"/>
      <c r="HXW140" s="235"/>
      <c r="HXX140" s="235"/>
      <c r="HXY140" s="235"/>
      <c r="HXZ140" s="235"/>
      <c r="HYA140" s="235"/>
      <c r="HYB140" s="235"/>
      <c r="HYC140" s="235"/>
      <c r="HYD140" s="235"/>
      <c r="HYE140" s="235"/>
      <c r="HYF140" s="235"/>
      <c r="HYG140" s="235"/>
      <c r="HYH140" s="235"/>
      <c r="HYI140" s="235"/>
      <c r="HYJ140" s="235"/>
      <c r="HYK140" s="235"/>
      <c r="HYL140" s="235"/>
      <c r="HYM140" s="235"/>
      <c r="HYN140" s="235"/>
      <c r="HYO140" s="235"/>
      <c r="HYP140" s="235"/>
      <c r="HYQ140" s="235"/>
      <c r="HYR140" s="235"/>
      <c r="HYS140" s="235"/>
      <c r="HYT140" s="235"/>
      <c r="HYU140" s="235"/>
      <c r="HYV140" s="235"/>
      <c r="HYW140" s="235"/>
      <c r="HYX140" s="235"/>
      <c r="HYY140" s="235"/>
      <c r="HYZ140" s="235"/>
      <c r="HZA140" s="235"/>
      <c r="HZB140" s="235"/>
      <c r="HZC140" s="235"/>
      <c r="HZD140" s="235"/>
      <c r="HZE140" s="235"/>
      <c r="HZF140" s="235"/>
      <c r="HZG140" s="235"/>
      <c r="HZH140" s="235"/>
      <c r="HZI140" s="235"/>
      <c r="HZJ140" s="235"/>
      <c r="HZK140" s="235"/>
      <c r="HZL140" s="235"/>
      <c r="HZM140" s="235"/>
      <c r="HZN140" s="235"/>
      <c r="HZO140" s="235"/>
      <c r="HZP140" s="235"/>
      <c r="HZQ140" s="235"/>
      <c r="HZR140" s="235"/>
      <c r="HZS140" s="235"/>
      <c r="HZT140" s="235"/>
      <c r="HZU140" s="235"/>
      <c r="HZV140" s="235"/>
      <c r="HZW140" s="235"/>
      <c r="HZX140" s="235"/>
      <c r="HZY140" s="235"/>
      <c r="HZZ140" s="235"/>
      <c r="IAA140" s="235"/>
      <c r="IAB140" s="235"/>
      <c r="IAC140" s="235"/>
      <c r="IAD140" s="235"/>
      <c r="IAE140" s="235"/>
      <c r="IAF140" s="235"/>
      <c r="IAG140" s="235"/>
      <c r="IAH140" s="235"/>
      <c r="IAI140" s="235"/>
      <c r="IAJ140" s="235"/>
      <c r="IAK140" s="235"/>
      <c r="IAL140" s="235"/>
      <c r="IAM140" s="235"/>
      <c r="IAN140" s="235"/>
      <c r="IAO140" s="235"/>
      <c r="IAP140" s="235"/>
      <c r="IAQ140" s="235"/>
      <c r="IAR140" s="235"/>
      <c r="IAS140" s="235"/>
      <c r="IAT140" s="235"/>
      <c r="IAU140" s="235"/>
      <c r="IAV140" s="235"/>
      <c r="IAW140" s="235"/>
      <c r="IAX140" s="235"/>
      <c r="IAY140" s="235"/>
      <c r="IAZ140" s="235"/>
      <c r="IBA140" s="235"/>
      <c r="IBB140" s="235"/>
      <c r="IBC140" s="235"/>
      <c r="IBD140" s="235"/>
      <c r="IBE140" s="235"/>
      <c r="IBF140" s="235"/>
      <c r="IBG140" s="235"/>
      <c r="IBH140" s="235"/>
      <c r="IBI140" s="235"/>
      <c r="IBJ140" s="235"/>
      <c r="IBK140" s="235"/>
      <c r="IBL140" s="235"/>
      <c r="IBM140" s="235"/>
      <c r="IBN140" s="235"/>
      <c r="IBO140" s="235"/>
      <c r="IBP140" s="235"/>
      <c r="IBQ140" s="235"/>
      <c r="IBR140" s="235"/>
      <c r="IBS140" s="235"/>
      <c r="IBT140" s="235"/>
      <c r="IBU140" s="235"/>
      <c r="IBV140" s="235"/>
      <c r="IBW140" s="235"/>
      <c r="IBX140" s="235"/>
      <c r="IBY140" s="235"/>
      <c r="IBZ140" s="235"/>
      <c r="ICA140" s="235"/>
      <c r="ICB140" s="235"/>
      <c r="ICC140" s="235"/>
      <c r="ICD140" s="235"/>
      <c r="ICE140" s="235"/>
      <c r="ICF140" s="235"/>
      <c r="ICG140" s="235"/>
      <c r="ICH140" s="235"/>
      <c r="ICI140" s="235"/>
      <c r="ICJ140" s="235"/>
      <c r="ICK140" s="235"/>
      <c r="ICL140" s="235"/>
      <c r="ICM140" s="235"/>
      <c r="ICN140" s="235"/>
      <c r="ICO140" s="235"/>
      <c r="ICP140" s="235"/>
      <c r="ICQ140" s="235"/>
      <c r="ICR140" s="235"/>
      <c r="ICS140" s="235"/>
      <c r="ICT140" s="235"/>
      <c r="ICU140" s="235"/>
      <c r="ICV140" s="235"/>
      <c r="ICW140" s="235"/>
      <c r="ICX140" s="235"/>
      <c r="ICY140" s="235"/>
      <c r="ICZ140" s="235"/>
      <c r="IDA140" s="235"/>
      <c r="IDB140" s="235"/>
      <c r="IDC140" s="235"/>
      <c r="IDD140" s="235"/>
      <c r="IDE140" s="235"/>
      <c r="IDF140" s="235"/>
      <c r="IDG140" s="235"/>
      <c r="IDH140" s="235"/>
      <c r="IDI140" s="235"/>
      <c r="IDJ140" s="235"/>
      <c r="IDK140" s="235"/>
      <c r="IDL140" s="235"/>
      <c r="IDM140" s="235"/>
      <c r="IDN140" s="235"/>
      <c r="IDO140" s="235"/>
      <c r="IDP140" s="235"/>
      <c r="IDQ140" s="235"/>
      <c r="IDR140" s="235"/>
      <c r="IDS140" s="235"/>
      <c r="IDT140" s="235"/>
      <c r="IDU140" s="235"/>
      <c r="IDV140" s="235"/>
      <c r="IDW140" s="235"/>
      <c r="IDX140" s="235"/>
      <c r="IDY140" s="235"/>
      <c r="IDZ140" s="235"/>
      <c r="IEA140" s="235"/>
      <c r="IEB140" s="235"/>
      <c r="IEC140" s="235"/>
      <c r="IED140" s="235"/>
      <c r="IEE140" s="235"/>
      <c r="IEF140" s="235"/>
      <c r="IEG140" s="235"/>
      <c r="IEH140" s="235"/>
      <c r="IEI140" s="235"/>
      <c r="IEJ140" s="235"/>
      <c r="IEK140" s="235"/>
      <c r="IEL140" s="235"/>
      <c r="IEM140" s="235"/>
      <c r="IEN140" s="235"/>
      <c r="IEO140" s="235"/>
      <c r="IEP140" s="235"/>
      <c r="IEQ140" s="235"/>
      <c r="IER140" s="235"/>
      <c r="IES140" s="235"/>
      <c r="IET140" s="235"/>
      <c r="IEU140" s="235"/>
      <c r="IEV140" s="235"/>
      <c r="IEW140" s="235"/>
      <c r="IEX140" s="235"/>
      <c r="IEY140" s="235"/>
      <c r="IEZ140" s="235"/>
      <c r="IFA140" s="235"/>
      <c r="IFB140" s="235"/>
      <c r="IFC140" s="235"/>
      <c r="IFD140" s="235"/>
      <c r="IFE140" s="235"/>
      <c r="IFF140" s="235"/>
      <c r="IFG140" s="235"/>
      <c r="IFH140" s="235"/>
      <c r="IFI140" s="235"/>
      <c r="IFJ140" s="235"/>
      <c r="IFK140" s="235"/>
      <c r="IFL140" s="235"/>
      <c r="IFM140" s="235"/>
      <c r="IFN140" s="235"/>
      <c r="IFO140" s="235"/>
      <c r="IFP140" s="235"/>
      <c r="IFQ140" s="235"/>
      <c r="IFR140" s="235"/>
      <c r="IFS140" s="235"/>
      <c r="IFT140" s="235"/>
      <c r="IFU140" s="235"/>
      <c r="IFV140" s="235"/>
      <c r="IFW140" s="235"/>
      <c r="IFX140" s="235"/>
      <c r="IFY140" s="235"/>
      <c r="IFZ140" s="235"/>
      <c r="IGA140" s="235"/>
      <c r="IGB140" s="235"/>
      <c r="IGC140" s="235"/>
      <c r="IGD140" s="235"/>
      <c r="IGE140" s="235"/>
      <c r="IGF140" s="235"/>
      <c r="IGG140" s="235"/>
      <c r="IGH140" s="235"/>
      <c r="IGI140" s="235"/>
      <c r="IGJ140" s="235"/>
      <c r="IGK140" s="235"/>
      <c r="IGL140" s="235"/>
      <c r="IGM140" s="235"/>
      <c r="IGN140" s="235"/>
      <c r="IGO140" s="235"/>
      <c r="IGP140" s="235"/>
      <c r="IGQ140" s="235"/>
      <c r="IGR140" s="235"/>
      <c r="IGS140" s="235"/>
      <c r="IGT140" s="235"/>
      <c r="IGU140" s="235"/>
      <c r="IGV140" s="235"/>
      <c r="IGW140" s="235"/>
      <c r="IGX140" s="235"/>
      <c r="IGY140" s="235"/>
      <c r="IGZ140" s="235"/>
      <c r="IHA140" s="235"/>
      <c r="IHB140" s="235"/>
      <c r="IHC140" s="235"/>
      <c r="IHD140" s="235"/>
      <c r="IHE140" s="235"/>
      <c r="IHF140" s="235"/>
      <c r="IHG140" s="235"/>
      <c r="IHH140" s="235"/>
      <c r="IHI140" s="235"/>
      <c r="IHJ140" s="235"/>
      <c r="IHK140" s="235"/>
      <c r="IHL140" s="235"/>
      <c r="IHM140" s="235"/>
      <c r="IHN140" s="235"/>
      <c r="IHO140" s="235"/>
      <c r="IHP140" s="235"/>
      <c r="IHQ140" s="235"/>
      <c r="IHR140" s="235"/>
      <c r="IHS140" s="235"/>
      <c r="IHT140" s="235"/>
      <c r="IHU140" s="235"/>
      <c r="IHV140" s="235"/>
      <c r="IHW140" s="235"/>
      <c r="IHX140" s="235"/>
      <c r="IHY140" s="235"/>
      <c r="IHZ140" s="235"/>
      <c r="IIA140" s="235"/>
      <c r="IIB140" s="235"/>
      <c r="IIC140" s="235"/>
      <c r="IID140" s="235"/>
      <c r="IIE140" s="235"/>
      <c r="IIF140" s="235"/>
      <c r="IIG140" s="235"/>
      <c r="IIH140" s="235"/>
      <c r="III140" s="235"/>
      <c r="IIJ140" s="235"/>
      <c r="IIK140" s="235"/>
      <c r="IIL140" s="235"/>
      <c r="IIM140" s="235"/>
      <c r="IIN140" s="235"/>
      <c r="IIO140" s="235"/>
      <c r="IIP140" s="235"/>
      <c r="IIQ140" s="235"/>
      <c r="IIR140" s="235"/>
      <c r="IIS140" s="235"/>
      <c r="IIT140" s="235"/>
      <c r="IIU140" s="235"/>
      <c r="IIV140" s="235"/>
      <c r="IIW140" s="235"/>
      <c r="IIX140" s="235"/>
      <c r="IIY140" s="235"/>
      <c r="IIZ140" s="235"/>
      <c r="IJA140" s="235"/>
      <c r="IJB140" s="235"/>
      <c r="IJC140" s="235"/>
      <c r="IJD140" s="235"/>
      <c r="IJE140" s="235"/>
      <c r="IJF140" s="235"/>
      <c r="IJG140" s="235"/>
      <c r="IJH140" s="235"/>
      <c r="IJI140" s="235"/>
      <c r="IJJ140" s="235"/>
      <c r="IJK140" s="235"/>
      <c r="IJL140" s="235"/>
      <c r="IJM140" s="235"/>
      <c r="IJN140" s="235"/>
      <c r="IJO140" s="235"/>
      <c r="IJP140" s="235"/>
      <c r="IJQ140" s="235"/>
      <c r="IJR140" s="235"/>
      <c r="IJS140" s="235"/>
      <c r="IJT140" s="235"/>
      <c r="IJU140" s="235"/>
      <c r="IJV140" s="235"/>
      <c r="IJW140" s="235"/>
      <c r="IJX140" s="235"/>
      <c r="IJY140" s="235"/>
      <c r="IJZ140" s="235"/>
      <c r="IKA140" s="235"/>
      <c r="IKB140" s="235"/>
      <c r="IKC140" s="235"/>
      <c r="IKD140" s="235"/>
      <c r="IKE140" s="235"/>
      <c r="IKF140" s="235"/>
      <c r="IKG140" s="235"/>
      <c r="IKH140" s="235"/>
      <c r="IKI140" s="235"/>
      <c r="IKJ140" s="235"/>
      <c r="IKK140" s="235"/>
      <c r="IKL140" s="235"/>
      <c r="IKM140" s="235"/>
      <c r="IKN140" s="235"/>
      <c r="IKO140" s="235"/>
      <c r="IKP140" s="235"/>
      <c r="IKQ140" s="235"/>
      <c r="IKR140" s="235"/>
      <c r="IKS140" s="235"/>
      <c r="IKT140" s="235"/>
      <c r="IKU140" s="235"/>
      <c r="IKV140" s="235"/>
      <c r="IKW140" s="235"/>
      <c r="IKX140" s="235"/>
      <c r="IKY140" s="235"/>
      <c r="IKZ140" s="235"/>
      <c r="ILA140" s="235"/>
      <c r="ILB140" s="235"/>
      <c r="ILC140" s="235"/>
      <c r="ILD140" s="235"/>
      <c r="ILE140" s="235"/>
      <c r="ILF140" s="235"/>
      <c r="ILG140" s="235"/>
      <c r="ILH140" s="235"/>
      <c r="ILI140" s="235"/>
      <c r="ILJ140" s="235"/>
      <c r="ILK140" s="235"/>
      <c r="ILL140" s="235"/>
      <c r="ILM140" s="235"/>
      <c r="ILN140" s="235"/>
      <c r="ILO140" s="235"/>
      <c r="ILP140" s="235"/>
      <c r="ILQ140" s="235"/>
      <c r="ILR140" s="235"/>
      <c r="ILS140" s="235"/>
      <c r="ILT140" s="235"/>
      <c r="ILU140" s="235"/>
      <c r="ILV140" s="235"/>
      <c r="ILW140" s="235"/>
      <c r="ILX140" s="235"/>
      <c r="ILY140" s="235"/>
      <c r="ILZ140" s="235"/>
      <c r="IMA140" s="235"/>
      <c r="IMB140" s="235"/>
      <c r="IMC140" s="235"/>
      <c r="IMD140" s="235"/>
      <c r="IME140" s="235"/>
      <c r="IMF140" s="235"/>
      <c r="IMG140" s="235"/>
      <c r="IMH140" s="235"/>
      <c r="IMI140" s="235"/>
      <c r="IMJ140" s="235"/>
      <c r="IMK140" s="235"/>
      <c r="IML140" s="235"/>
      <c r="IMM140" s="235"/>
      <c r="IMN140" s="235"/>
      <c r="IMO140" s="235"/>
      <c r="IMP140" s="235"/>
      <c r="IMQ140" s="235"/>
      <c r="IMR140" s="235"/>
      <c r="IMS140" s="235"/>
      <c r="IMT140" s="235"/>
      <c r="IMU140" s="235"/>
      <c r="IMV140" s="235"/>
      <c r="IMW140" s="235"/>
      <c r="IMX140" s="235"/>
      <c r="IMY140" s="235"/>
      <c r="IMZ140" s="235"/>
      <c r="INA140" s="235"/>
      <c r="INB140" s="235"/>
      <c r="INC140" s="235"/>
      <c r="IND140" s="235"/>
      <c r="INE140" s="235"/>
      <c r="INF140" s="235"/>
      <c r="ING140" s="235"/>
      <c r="INH140" s="235"/>
      <c r="INI140" s="235"/>
      <c r="INJ140" s="235"/>
      <c r="INK140" s="235"/>
      <c r="INL140" s="235"/>
      <c r="INM140" s="235"/>
      <c r="INN140" s="235"/>
      <c r="INO140" s="235"/>
      <c r="INP140" s="235"/>
      <c r="INQ140" s="235"/>
      <c r="INR140" s="235"/>
      <c r="INS140" s="235"/>
      <c r="INT140" s="235"/>
      <c r="INU140" s="235"/>
      <c r="INV140" s="235"/>
      <c r="INW140" s="235"/>
      <c r="INX140" s="235"/>
      <c r="INY140" s="235"/>
      <c r="INZ140" s="235"/>
      <c r="IOA140" s="235"/>
      <c r="IOB140" s="235"/>
      <c r="IOC140" s="235"/>
      <c r="IOD140" s="235"/>
      <c r="IOE140" s="235"/>
      <c r="IOF140" s="235"/>
      <c r="IOG140" s="235"/>
      <c r="IOH140" s="235"/>
      <c r="IOI140" s="235"/>
      <c r="IOJ140" s="235"/>
      <c r="IOK140" s="235"/>
      <c r="IOL140" s="235"/>
      <c r="IOM140" s="235"/>
      <c r="ION140" s="235"/>
      <c r="IOO140" s="235"/>
      <c r="IOP140" s="235"/>
      <c r="IOQ140" s="235"/>
      <c r="IOR140" s="235"/>
      <c r="IOS140" s="235"/>
      <c r="IOT140" s="235"/>
      <c r="IOU140" s="235"/>
      <c r="IOV140" s="235"/>
      <c r="IOW140" s="235"/>
      <c r="IOX140" s="235"/>
      <c r="IOY140" s="235"/>
      <c r="IOZ140" s="235"/>
      <c r="IPA140" s="235"/>
      <c r="IPB140" s="235"/>
      <c r="IPC140" s="235"/>
      <c r="IPD140" s="235"/>
      <c r="IPE140" s="235"/>
      <c r="IPF140" s="235"/>
      <c r="IPG140" s="235"/>
      <c r="IPH140" s="235"/>
      <c r="IPI140" s="235"/>
      <c r="IPJ140" s="235"/>
      <c r="IPK140" s="235"/>
      <c r="IPL140" s="235"/>
      <c r="IPM140" s="235"/>
      <c r="IPN140" s="235"/>
      <c r="IPO140" s="235"/>
      <c r="IPP140" s="235"/>
      <c r="IPQ140" s="235"/>
      <c r="IPR140" s="235"/>
      <c r="IPS140" s="235"/>
      <c r="IPT140" s="235"/>
      <c r="IPU140" s="235"/>
      <c r="IPV140" s="235"/>
      <c r="IPW140" s="235"/>
      <c r="IPX140" s="235"/>
      <c r="IPY140" s="235"/>
      <c r="IPZ140" s="235"/>
      <c r="IQA140" s="235"/>
      <c r="IQB140" s="235"/>
      <c r="IQC140" s="235"/>
      <c r="IQD140" s="235"/>
      <c r="IQE140" s="235"/>
      <c r="IQF140" s="235"/>
      <c r="IQG140" s="235"/>
      <c r="IQH140" s="235"/>
      <c r="IQI140" s="235"/>
      <c r="IQJ140" s="235"/>
      <c r="IQK140" s="235"/>
      <c r="IQL140" s="235"/>
      <c r="IQM140" s="235"/>
      <c r="IQN140" s="235"/>
      <c r="IQO140" s="235"/>
      <c r="IQP140" s="235"/>
      <c r="IQQ140" s="235"/>
      <c r="IQR140" s="235"/>
      <c r="IQS140" s="235"/>
      <c r="IQT140" s="235"/>
      <c r="IQU140" s="235"/>
      <c r="IQV140" s="235"/>
      <c r="IQW140" s="235"/>
      <c r="IQX140" s="235"/>
      <c r="IQY140" s="235"/>
      <c r="IQZ140" s="235"/>
      <c r="IRA140" s="235"/>
      <c r="IRB140" s="235"/>
      <c r="IRC140" s="235"/>
      <c r="IRD140" s="235"/>
      <c r="IRE140" s="235"/>
      <c r="IRF140" s="235"/>
      <c r="IRG140" s="235"/>
      <c r="IRH140" s="235"/>
      <c r="IRI140" s="235"/>
      <c r="IRJ140" s="235"/>
      <c r="IRK140" s="235"/>
      <c r="IRL140" s="235"/>
      <c r="IRM140" s="235"/>
      <c r="IRN140" s="235"/>
      <c r="IRO140" s="235"/>
      <c r="IRP140" s="235"/>
      <c r="IRQ140" s="235"/>
      <c r="IRR140" s="235"/>
      <c r="IRS140" s="235"/>
      <c r="IRT140" s="235"/>
      <c r="IRU140" s="235"/>
      <c r="IRV140" s="235"/>
      <c r="IRW140" s="235"/>
      <c r="IRX140" s="235"/>
      <c r="IRY140" s="235"/>
      <c r="IRZ140" s="235"/>
      <c r="ISA140" s="235"/>
      <c r="ISB140" s="235"/>
      <c r="ISC140" s="235"/>
      <c r="ISD140" s="235"/>
      <c r="ISE140" s="235"/>
      <c r="ISF140" s="235"/>
      <c r="ISG140" s="235"/>
      <c r="ISH140" s="235"/>
      <c r="ISI140" s="235"/>
      <c r="ISJ140" s="235"/>
      <c r="ISK140" s="235"/>
      <c r="ISL140" s="235"/>
      <c r="ISM140" s="235"/>
      <c r="ISN140" s="235"/>
      <c r="ISO140" s="235"/>
      <c r="ISP140" s="235"/>
      <c r="ISQ140" s="235"/>
      <c r="ISR140" s="235"/>
      <c r="ISS140" s="235"/>
      <c r="IST140" s="235"/>
      <c r="ISU140" s="235"/>
      <c r="ISV140" s="235"/>
      <c r="ISW140" s="235"/>
      <c r="ISX140" s="235"/>
      <c r="ISY140" s="235"/>
      <c r="ISZ140" s="235"/>
      <c r="ITA140" s="235"/>
      <c r="ITB140" s="235"/>
      <c r="ITC140" s="235"/>
      <c r="ITD140" s="235"/>
      <c r="ITE140" s="235"/>
      <c r="ITF140" s="235"/>
      <c r="ITG140" s="235"/>
      <c r="ITH140" s="235"/>
      <c r="ITI140" s="235"/>
      <c r="ITJ140" s="235"/>
      <c r="ITK140" s="235"/>
      <c r="ITL140" s="235"/>
      <c r="ITM140" s="235"/>
      <c r="ITN140" s="235"/>
      <c r="ITO140" s="235"/>
      <c r="ITP140" s="235"/>
      <c r="ITQ140" s="235"/>
      <c r="ITR140" s="235"/>
      <c r="ITS140" s="235"/>
      <c r="ITT140" s="235"/>
      <c r="ITU140" s="235"/>
      <c r="ITV140" s="235"/>
      <c r="ITW140" s="235"/>
      <c r="ITX140" s="235"/>
      <c r="ITY140" s="235"/>
      <c r="ITZ140" s="235"/>
      <c r="IUA140" s="235"/>
      <c r="IUB140" s="235"/>
      <c r="IUC140" s="235"/>
      <c r="IUD140" s="235"/>
      <c r="IUE140" s="235"/>
      <c r="IUF140" s="235"/>
      <c r="IUG140" s="235"/>
      <c r="IUH140" s="235"/>
      <c r="IUI140" s="235"/>
      <c r="IUJ140" s="235"/>
      <c r="IUK140" s="235"/>
      <c r="IUL140" s="235"/>
      <c r="IUM140" s="235"/>
      <c r="IUN140" s="235"/>
      <c r="IUO140" s="235"/>
      <c r="IUP140" s="235"/>
      <c r="IUQ140" s="235"/>
      <c r="IUR140" s="235"/>
      <c r="IUS140" s="235"/>
      <c r="IUT140" s="235"/>
      <c r="IUU140" s="235"/>
      <c r="IUV140" s="235"/>
      <c r="IUW140" s="235"/>
      <c r="IUX140" s="235"/>
      <c r="IUY140" s="235"/>
      <c r="IUZ140" s="235"/>
      <c r="IVA140" s="235"/>
      <c r="IVB140" s="235"/>
      <c r="IVC140" s="235"/>
      <c r="IVD140" s="235"/>
      <c r="IVE140" s="235"/>
      <c r="IVF140" s="235"/>
      <c r="IVG140" s="235"/>
      <c r="IVH140" s="235"/>
      <c r="IVI140" s="235"/>
      <c r="IVJ140" s="235"/>
      <c r="IVK140" s="235"/>
      <c r="IVL140" s="235"/>
      <c r="IVM140" s="235"/>
      <c r="IVN140" s="235"/>
      <c r="IVO140" s="235"/>
      <c r="IVP140" s="235"/>
      <c r="IVQ140" s="235"/>
      <c r="IVR140" s="235"/>
      <c r="IVS140" s="235"/>
      <c r="IVT140" s="235"/>
      <c r="IVU140" s="235"/>
      <c r="IVV140" s="235"/>
      <c r="IVW140" s="235"/>
      <c r="IVX140" s="235"/>
      <c r="IVY140" s="235"/>
      <c r="IVZ140" s="235"/>
      <c r="IWA140" s="235"/>
      <c r="IWB140" s="235"/>
      <c r="IWC140" s="235"/>
      <c r="IWD140" s="235"/>
      <c r="IWE140" s="235"/>
      <c r="IWF140" s="235"/>
      <c r="IWG140" s="235"/>
      <c r="IWH140" s="235"/>
      <c r="IWI140" s="235"/>
      <c r="IWJ140" s="235"/>
      <c r="IWK140" s="235"/>
      <c r="IWL140" s="235"/>
      <c r="IWM140" s="235"/>
      <c r="IWN140" s="235"/>
      <c r="IWO140" s="235"/>
      <c r="IWP140" s="235"/>
      <c r="IWQ140" s="235"/>
      <c r="IWR140" s="235"/>
      <c r="IWS140" s="235"/>
      <c r="IWT140" s="235"/>
      <c r="IWU140" s="235"/>
      <c r="IWV140" s="235"/>
      <c r="IWW140" s="235"/>
      <c r="IWX140" s="235"/>
      <c r="IWY140" s="235"/>
      <c r="IWZ140" s="235"/>
      <c r="IXA140" s="235"/>
      <c r="IXB140" s="235"/>
      <c r="IXC140" s="235"/>
      <c r="IXD140" s="235"/>
      <c r="IXE140" s="235"/>
      <c r="IXF140" s="235"/>
      <c r="IXG140" s="235"/>
      <c r="IXH140" s="235"/>
      <c r="IXI140" s="235"/>
      <c r="IXJ140" s="235"/>
      <c r="IXK140" s="235"/>
      <c r="IXL140" s="235"/>
      <c r="IXM140" s="235"/>
      <c r="IXN140" s="235"/>
      <c r="IXO140" s="235"/>
      <c r="IXP140" s="235"/>
      <c r="IXQ140" s="235"/>
      <c r="IXR140" s="235"/>
      <c r="IXS140" s="235"/>
      <c r="IXT140" s="235"/>
      <c r="IXU140" s="235"/>
      <c r="IXV140" s="235"/>
      <c r="IXW140" s="235"/>
      <c r="IXX140" s="235"/>
      <c r="IXY140" s="235"/>
      <c r="IXZ140" s="235"/>
      <c r="IYA140" s="235"/>
      <c r="IYB140" s="235"/>
      <c r="IYC140" s="235"/>
      <c r="IYD140" s="235"/>
      <c r="IYE140" s="235"/>
      <c r="IYF140" s="235"/>
      <c r="IYG140" s="235"/>
      <c r="IYH140" s="235"/>
      <c r="IYI140" s="235"/>
      <c r="IYJ140" s="235"/>
      <c r="IYK140" s="235"/>
      <c r="IYL140" s="235"/>
      <c r="IYM140" s="235"/>
      <c r="IYN140" s="235"/>
      <c r="IYO140" s="235"/>
      <c r="IYP140" s="235"/>
      <c r="IYQ140" s="235"/>
      <c r="IYR140" s="235"/>
      <c r="IYS140" s="235"/>
      <c r="IYT140" s="235"/>
      <c r="IYU140" s="235"/>
      <c r="IYV140" s="235"/>
      <c r="IYW140" s="235"/>
      <c r="IYX140" s="235"/>
      <c r="IYY140" s="235"/>
      <c r="IYZ140" s="235"/>
      <c r="IZA140" s="235"/>
      <c r="IZB140" s="235"/>
      <c r="IZC140" s="235"/>
      <c r="IZD140" s="235"/>
      <c r="IZE140" s="235"/>
      <c r="IZF140" s="235"/>
      <c r="IZG140" s="235"/>
      <c r="IZH140" s="235"/>
      <c r="IZI140" s="235"/>
      <c r="IZJ140" s="235"/>
      <c r="IZK140" s="235"/>
      <c r="IZL140" s="235"/>
      <c r="IZM140" s="235"/>
      <c r="IZN140" s="235"/>
      <c r="IZO140" s="235"/>
      <c r="IZP140" s="235"/>
      <c r="IZQ140" s="235"/>
      <c r="IZR140" s="235"/>
      <c r="IZS140" s="235"/>
      <c r="IZT140" s="235"/>
      <c r="IZU140" s="235"/>
      <c r="IZV140" s="235"/>
      <c r="IZW140" s="235"/>
      <c r="IZX140" s="235"/>
      <c r="IZY140" s="235"/>
      <c r="IZZ140" s="235"/>
      <c r="JAA140" s="235"/>
      <c r="JAB140" s="235"/>
      <c r="JAC140" s="235"/>
      <c r="JAD140" s="235"/>
      <c r="JAE140" s="235"/>
      <c r="JAF140" s="235"/>
      <c r="JAG140" s="235"/>
      <c r="JAH140" s="235"/>
      <c r="JAI140" s="235"/>
      <c r="JAJ140" s="235"/>
      <c r="JAK140" s="235"/>
      <c r="JAL140" s="235"/>
      <c r="JAM140" s="235"/>
      <c r="JAN140" s="235"/>
      <c r="JAO140" s="235"/>
      <c r="JAP140" s="235"/>
      <c r="JAQ140" s="235"/>
      <c r="JAR140" s="235"/>
      <c r="JAS140" s="235"/>
      <c r="JAT140" s="235"/>
      <c r="JAU140" s="235"/>
      <c r="JAV140" s="235"/>
      <c r="JAW140" s="235"/>
      <c r="JAX140" s="235"/>
      <c r="JAY140" s="235"/>
      <c r="JAZ140" s="235"/>
      <c r="JBA140" s="235"/>
      <c r="JBB140" s="235"/>
      <c r="JBC140" s="235"/>
      <c r="JBD140" s="235"/>
      <c r="JBE140" s="235"/>
      <c r="JBF140" s="235"/>
      <c r="JBG140" s="235"/>
      <c r="JBH140" s="235"/>
      <c r="JBI140" s="235"/>
      <c r="JBJ140" s="235"/>
      <c r="JBK140" s="235"/>
      <c r="JBL140" s="235"/>
      <c r="JBM140" s="235"/>
      <c r="JBN140" s="235"/>
      <c r="JBO140" s="235"/>
      <c r="JBP140" s="235"/>
      <c r="JBQ140" s="235"/>
      <c r="JBR140" s="235"/>
      <c r="JBS140" s="235"/>
      <c r="JBT140" s="235"/>
      <c r="JBU140" s="235"/>
      <c r="JBV140" s="235"/>
      <c r="JBW140" s="235"/>
      <c r="JBX140" s="235"/>
      <c r="JBY140" s="235"/>
      <c r="JBZ140" s="235"/>
      <c r="JCA140" s="235"/>
      <c r="JCB140" s="235"/>
      <c r="JCC140" s="235"/>
      <c r="JCD140" s="235"/>
      <c r="JCE140" s="235"/>
      <c r="JCF140" s="235"/>
      <c r="JCG140" s="235"/>
      <c r="JCH140" s="235"/>
      <c r="JCI140" s="235"/>
      <c r="JCJ140" s="235"/>
      <c r="JCK140" s="235"/>
      <c r="JCL140" s="235"/>
      <c r="JCM140" s="235"/>
      <c r="JCN140" s="235"/>
      <c r="JCO140" s="235"/>
      <c r="JCP140" s="235"/>
      <c r="JCQ140" s="235"/>
      <c r="JCR140" s="235"/>
      <c r="JCS140" s="235"/>
      <c r="JCT140" s="235"/>
      <c r="JCU140" s="235"/>
      <c r="JCV140" s="235"/>
      <c r="JCW140" s="235"/>
      <c r="JCX140" s="235"/>
      <c r="JCY140" s="235"/>
      <c r="JCZ140" s="235"/>
      <c r="JDA140" s="235"/>
      <c r="JDB140" s="235"/>
      <c r="JDC140" s="235"/>
      <c r="JDD140" s="235"/>
      <c r="JDE140" s="235"/>
      <c r="JDF140" s="235"/>
      <c r="JDG140" s="235"/>
      <c r="JDH140" s="235"/>
      <c r="JDI140" s="235"/>
      <c r="JDJ140" s="235"/>
      <c r="JDK140" s="235"/>
      <c r="JDL140" s="235"/>
      <c r="JDM140" s="235"/>
      <c r="JDN140" s="235"/>
      <c r="JDO140" s="235"/>
      <c r="JDP140" s="235"/>
      <c r="JDQ140" s="235"/>
      <c r="JDR140" s="235"/>
      <c r="JDS140" s="235"/>
      <c r="JDT140" s="235"/>
      <c r="JDU140" s="235"/>
      <c r="JDV140" s="235"/>
      <c r="JDW140" s="235"/>
      <c r="JDX140" s="235"/>
      <c r="JDY140" s="235"/>
      <c r="JDZ140" s="235"/>
      <c r="JEA140" s="235"/>
      <c r="JEB140" s="235"/>
      <c r="JEC140" s="235"/>
      <c r="JED140" s="235"/>
      <c r="JEE140" s="235"/>
      <c r="JEF140" s="235"/>
      <c r="JEG140" s="235"/>
      <c r="JEH140" s="235"/>
      <c r="JEI140" s="235"/>
      <c r="JEJ140" s="235"/>
      <c r="JEK140" s="235"/>
      <c r="JEL140" s="235"/>
      <c r="JEM140" s="235"/>
      <c r="JEN140" s="235"/>
      <c r="JEO140" s="235"/>
      <c r="JEP140" s="235"/>
      <c r="JEQ140" s="235"/>
      <c r="JER140" s="235"/>
      <c r="JES140" s="235"/>
      <c r="JET140" s="235"/>
      <c r="JEU140" s="235"/>
      <c r="JEV140" s="235"/>
      <c r="JEW140" s="235"/>
      <c r="JEX140" s="235"/>
      <c r="JEY140" s="235"/>
      <c r="JEZ140" s="235"/>
      <c r="JFA140" s="235"/>
      <c r="JFB140" s="235"/>
      <c r="JFC140" s="235"/>
      <c r="JFD140" s="235"/>
      <c r="JFE140" s="235"/>
      <c r="JFF140" s="235"/>
      <c r="JFG140" s="235"/>
      <c r="JFH140" s="235"/>
      <c r="JFI140" s="235"/>
      <c r="JFJ140" s="235"/>
      <c r="JFK140" s="235"/>
      <c r="JFL140" s="235"/>
      <c r="JFM140" s="235"/>
      <c r="JFN140" s="235"/>
      <c r="JFO140" s="235"/>
      <c r="JFP140" s="235"/>
      <c r="JFQ140" s="235"/>
      <c r="JFR140" s="235"/>
      <c r="JFS140" s="235"/>
      <c r="JFT140" s="235"/>
      <c r="JFU140" s="235"/>
      <c r="JFV140" s="235"/>
      <c r="JFW140" s="235"/>
      <c r="JFX140" s="235"/>
      <c r="JFY140" s="235"/>
      <c r="JFZ140" s="235"/>
      <c r="JGA140" s="235"/>
      <c r="JGB140" s="235"/>
      <c r="JGC140" s="235"/>
      <c r="JGD140" s="235"/>
      <c r="JGE140" s="235"/>
      <c r="JGF140" s="235"/>
      <c r="JGG140" s="235"/>
      <c r="JGH140" s="235"/>
      <c r="JGI140" s="235"/>
      <c r="JGJ140" s="235"/>
      <c r="JGK140" s="235"/>
      <c r="JGL140" s="235"/>
      <c r="JGM140" s="235"/>
      <c r="JGN140" s="235"/>
      <c r="JGO140" s="235"/>
      <c r="JGP140" s="235"/>
      <c r="JGQ140" s="235"/>
      <c r="JGR140" s="235"/>
      <c r="JGS140" s="235"/>
      <c r="JGT140" s="235"/>
      <c r="JGU140" s="235"/>
      <c r="JGV140" s="235"/>
      <c r="JGW140" s="235"/>
      <c r="JGX140" s="235"/>
      <c r="JGY140" s="235"/>
      <c r="JGZ140" s="235"/>
      <c r="JHA140" s="235"/>
      <c r="JHB140" s="235"/>
      <c r="JHC140" s="235"/>
      <c r="JHD140" s="235"/>
      <c r="JHE140" s="235"/>
      <c r="JHF140" s="235"/>
      <c r="JHG140" s="235"/>
      <c r="JHH140" s="235"/>
      <c r="JHI140" s="235"/>
      <c r="JHJ140" s="235"/>
      <c r="JHK140" s="235"/>
      <c r="JHL140" s="235"/>
      <c r="JHM140" s="235"/>
      <c r="JHN140" s="235"/>
      <c r="JHO140" s="235"/>
      <c r="JHP140" s="235"/>
      <c r="JHQ140" s="235"/>
      <c r="JHR140" s="235"/>
      <c r="JHS140" s="235"/>
      <c r="JHT140" s="235"/>
      <c r="JHU140" s="235"/>
      <c r="JHV140" s="235"/>
      <c r="JHW140" s="235"/>
      <c r="JHX140" s="235"/>
      <c r="JHY140" s="235"/>
      <c r="JHZ140" s="235"/>
      <c r="JIA140" s="235"/>
      <c r="JIB140" s="235"/>
      <c r="JIC140" s="235"/>
      <c r="JID140" s="235"/>
      <c r="JIE140" s="235"/>
      <c r="JIF140" s="235"/>
      <c r="JIG140" s="235"/>
      <c r="JIH140" s="235"/>
      <c r="JII140" s="235"/>
      <c r="JIJ140" s="235"/>
      <c r="JIK140" s="235"/>
      <c r="JIL140" s="235"/>
      <c r="JIM140" s="235"/>
      <c r="JIN140" s="235"/>
      <c r="JIO140" s="235"/>
      <c r="JIP140" s="235"/>
      <c r="JIQ140" s="235"/>
      <c r="JIR140" s="235"/>
      <c r="JIS140" s="235"/>
      <c r="JIT140" s="235"/>
      <c r="JIU140" s="235"/>
      <c r="JIV140" s="235"/>
      <c r="JIW140" s="235"/>
      <c r="JIX140" s="235"/>
      <c r="JIY140" s="235"/>
      <c r="JIZ140" s="235"/>
      <c r="JJA140" s="235"/>
      <c r="JJB140" s="235"/>
      <c r="JJC140" s="235"/>
      <c r="JJD140" s="235"/>
      <c r="JJE140" s="235"/>
      <c r="JJF140" s="235"/>
      <c r="JJG140" s="235"/>
      <c r="JJH140" s="235"/>
      <c r="JJI140" s="235"/>
      <c r="JJJ140" s="235"/>
      <c r="JJK140" s="235"/>
      <c r="JJL140" s="235"/>
      <c r="JJM140" s="235"/>
      <c r="JJN140" s="235"/>
      <c r="JJO140" s="235"/>
      <c r="JJP140" s="235"/>
      <c r="JJQ140" s="235"/>
      <c r="JJR140" s="235"/>
      <c r="JJS140" s="235"/>
      <c r="JJT140" s="235"/>
      <c r="JJU140" s="235"/>
      <c r="JJV140" s="235"/>
      <c r="JJW140" s="235"/>
      <c r="JJX140" s="235"/>
      <c r="JJY140" s="235"/>
      <c r="JJZ140" s="235"/>
      <c r="JKA140" s="235"/>
      <c r="JKB140" s="235"/>
      <c r="JKC140" s="235"/>
      <c r="JKD140" s="235"/>
      <c r="JKE140" s="235"/>
      <c r="JKF140" s="235"/>
      <c r="JKG140" s="235"/>
      <c r="JKH140" s="235"/>
      <c r="JKI140" s="235"/>
      <c r="JKJ140" s="235"/>
      <c r="JKK140" s="235"/>
      <c r="JKL140" s="235"/>
      <c r="JKM140" s="235"/>
      <c r="JKN140" s="235"/>
      <c r="JKO140" s="235"/>
      <c r="JKP140" s="235"/>
      <c r="JKQ140" s="235"/>
      <c r="JKR140" s="235"/>
      <c r="JKS140" s="235"/>
      <c r="JKT140" s="235"/>
      <c r="JKU140" s="235"/>
      <c r="JKV140" s="235"/>
      <c r="JKW140" s="235"/>
      <c r="JKX140" s="235"/>
      <c r="JKY140" s="235"/>
      <c r="JKZ140" s="235"/>
      <c r="JLA140" s="235"/>
      <c r="JLB140" s="235"/>
      <c r="JLC140" s="235"/>
      <c r="JLD140" s="235"/>
      <c r="JLE140" s="235"/>
      <c r="JLF140" s="235"/>
      <c r="JLG140" s="235"/>
      <c r="JLH140" s="235"/>
      <c r="JLI140" s="235"/>
      <c r="JLJ140" s="235"/>
      <c r="JLK140" s="235"/>
      <c r="JLL140" s="235"/>
      <c r="JLM140" s="235"/>
      <c r="JLN140" s="235"/>
      <c r="JLO140" s="235"/>
      <c r="JLP140" s="235"/>
      <c r="JLQ140" s="235"/>
      <c r="JLR140" s="235"/>
      <c r="JLS140" s="235"/>
      <c r="JLT140" s="235"/>
      <c r="JLU140" s="235"/>
      <c r="JLV140" s="235"/>
      <c r="JLW140" s="235"/>
      <c r="JLX140" s="235"/>
      <c r="JLY140" s="235"/>
      <c r="JLZ140" s="235"/>
      <c r="JMA140" s="235"/>
      <c r="JMB140" s="235"/>
      <c r="JMC140" s="235"/>
      <c r="JMD140" s="235"/>
      <c r="JME140" s="235"/>
      <c r="JMF140" s="235"/>
      <c r="JMG140" s="235"/>
      <c r="JMH140" s="235"/>
      <c r="JMI140" s="235"/>
      <c r="JMJ140" s="235"/>
      <c r="JMK140" s="235"/>
      <c r="JML140" s="235"/>
      <c r="JMM140" s="235"/>
      <c r="JMN140" s="235"/>
      <c r="JMO140" s="235"/>
      <c r="JMP140" s="235"/>
      <c r="JMQ140" s="235"/>
      <c r="JMR140" s="235"/>
      <c r="JMS140" s="235"/>
      <c r="JMT140" s="235"/>
      <c r="JMU140" s="235"/>
      <c r="JMV140" s="235"/>
      <c r="JMW140" s="235"/>
      <c r="JMX140" s="235"/>
      <c r="JMY140" s="235"/>
      <c r="JMZ140" s="235"/>
      <c r="JNA140" s="235"/>
      <c r="JNB140" s="235"/>
      <c r="JNC140" s="235"/>
      <c r="JND140" s="235"/>
      <c r="JNE140" s="235"/>
      <c r="JNF140" s="235"/>
      <c r="JNG140" s="235"/>
      <c r="JNH140" s="235"/>
      <c r="JNI140" s="235"/>
      <c r="JNJ140" s="235"/>
      <c r="JNK140" s="235"/>
      <c r="JNL140" s="235"/>
      <c r="JNM140" s="235"/>
      <c r="JNN140" s="235"/>
      <c r="JNO140" s="235"/>
      <c r="JNP140" s="235"/>
      <c r="JNQ140" s="235"/>
      <c r="JNR140" s="235"/>
      <c r="JNS140" s="235"/>
      <c r="JNT140" s="235"/>
      <c r="JNU140" s="235"/>
      <c r="JNV140" s="235"/>
      <c r="JNW140" s="235"/>
      <c r="JNX140" s="235"/>
      <c r="JNY140" s="235"/>
      <c r="JNZ140" s="235"/>
      <c r="JOA140" s="235"/>
      <c r="JOB140" s="235"/>
      <c r="JOC140" s="235"/>
      <c r="JOD140" s="235"/>
      <c r="JOE140" s="235"/>
      <c r="JOF140" s="235"/>
      <c r="JOG140" s="235"/>
      <c r="JOH140" s="235"/>
      <c r="JOI140" s="235"/>
      <c r="JOJ140" s="235"/>
      <c r="JOK140" s="235"/>
      <c r="JOL140" s="235"/>
      <c r="JOM140" s="235"/>
      <c r="JON140" s="235"/>
      <c r="JOO140" s="235"/>
      <c r="JOP140" s="235"/>
      <c r="JOQ140" s="235"/>
      <c r="JOR140" s="235"/>
      <c r="JOS140" s="235"/>
      <c r="JOT140" s="235"/>
      <c r="JOU140" s="235"/>
      <c r="JOV140" s="235"/>
      <c r="JOW140" s="235"/>
      <c r="JOX140" s="235"/>
      <c r="JOY140" s="235"/>
      <c r="JOZ140" s="235"/>
      <c r="JPA140" s="235"/>
      <c r="JPB140" s="235"/>
      <c r="JPC140" s="235"/>
      <c r="JPD140" s="235"/>
      <c r="JPE140" s="235"/>
      <c r="JPF140" s="235"/>
      <c r="JPG140" s="235"/>
      <c r="JPH140" s="235"/>
      <c r="JPI140" s="235"/>
      <c r="JPJ140" s="235"/>
      <c r="JPK140" s="235"/>
      <c r="JPL140" s="235"/>
      <c r="JPM140" s="235"/>
      <c r="JPN140" s="235"/>
      <c r="JPO140" s="235"/>
      <c r="JPP140" s="235"/>
      <c r="JPQ140" s="235"/>
      <c r="JPR140" s="235"/>
      <c r="JPS140" s="235"/>
      <c r="JPT140" s="235"/>
      <c r="JPU140" s="235"/>
      <c r="JPV140" s="235"/>
      <c r="JPW140" s="235"/>
      <c r="JPX140" s="235"/>
      <c r="JPY140" s="235"/>
      <c r="JPZ140" s="235"/>
      <c r="JQA140" s="235"/>
      <c r="JQB140" s="235"/>
      <c r="JQC140" s="235"/>
      <c r="JQD140" s="235"/>
      <c r="JQE140" s="235"/>
      <c r="JQF140" s="235"/>
      <c r="JQG140" s="235"/>
      <c r="JQH140" s="235"/>
      <c r="JQI140" s="235"/>
      <c r="JQJ140" s="235"/>
      <c r="JQK140" s="235"/>
      <c r="JQL140" s="235"/>
      <c r="JQM140" s="235"/>
      <c r="JQN140" s="235"/>
      <c r="JQO140" s="235"/>
      <c r="JQP140" s="235"/>
      <c r="JQQ140" s="235"/>
      <c r="JQR140" s="235"/>
      <c r="JQS140" s="235"/>
      <c r="JQT140" s="235"/>
      <c r="JQU140" s="235"/>
      <c r="JQV140" s="235"/>
      <c r="JQW140" s="235"/>
      <c r="JQX140" s="235"/>
      <c r="JQY140" s="235"/>
      <c r="JQZ140" s="235"/>
      <c r="JRA140" s="235"/>
      <c r="JRB140" s="235"/>
      <c r="JRC140" s="235"/>
      <c r="JRD140" s="235"/>
      <c r="JRE140" s="235"/>
      <c r="JRF140" s="235"/>
      <c r="JRG140" s="235"/>
      <c r="JRH140" s="235"/>
      <c r="JRI140" s="235"/>
      <c r="JRJ140" s="235"/>
      <c r="JRK140" s="235"/>
      <c r="JRL140" s="235"/>
      <c r="JRM140" s="235"/>
      <c r="JRN140" s="235"/>
      <c r="JRO140" s="235"/>
      <c r="JRP140" s="235"/>
      <c r="JRQ140" s="235"/>
      <c r="JRR140" s="235"/>
      <c r="JRS140" s="235"/>
      <c r="JRT140" s="235"/>
      <c r="JRU140" s="235"/>
      <c r="JRV140" s="235"/>
      <c r="JRW140" s="235"/>
      <c r="JRX140" s="235"/>
      <c r="JRY140" s="235"/>
      <c r="JRZ140" s="235"/>
      <c r="JSA140" s="235"/>
      <c r="JSB140" s="235"/>
      <c r="JSC140" s="235"/>
      <c r="JSD140" s="235"/>
      <c r="JSE140" s="235"/>
      <c r="JSF140" s="235"/>
      <c r="JSG140" s="235"/>
      <c r="JSH140" s="235"/>
      <c r="JSI140" s="235"/>
      <c r="JSJ140" s="235"/>
      <c r="JSK140" s="235"/>
      <c r="JSL140" s="235"/>
      <c r="JSM140" s="235"/>
      <c r="JSN140" s="235"/>
      <c r="JSO140" s="235"/>
      <c r="JSP140" s="235"/>
      <c r="JSQ140" s="235"/>
      <c r="JSR140" s="235"/>
      <c r="JSS140" s="235"/>
      <c r="JST140" s="235"/>
      <c r="JSU140" s="235"/>
      <c r="JSV140" s="235"/>
      <c r="JSW140" s="235"/>
      <c r="JSX140" s="235"/>
      <c r="JSY140" s="235"/>
      <c r="JSZ140" s="235"/>
      <c r="JTA140" s="235"/>
      <c r="JTB140" s="235"/>
      <c r="JTC140" s="235"/>
      <c r="JTD140" s="235"/>
      <c r="JTE140" s="235"/>
      <c r="JTF140" s="235"/>
      <c r="JTG140" s="235"/>
      <c r="JTH140" s="235"/>
      <c r="JTI140" s="235"/>
      <c r="JTJ140" s="235"/>
      <c r="JTK140" s="235"/>
      <c r="JTL140" s="235"/>
      <c r="JTM140" s="235"/>
      <c r="JTN140" s="235"/>
      <c r="JTO140" s="235"/>
      <c r="JTP140" s="235"/>
      <c r="JTQ140" s="235"/>
      <c r="JTR140" s="235"/>
      <c r="JTS140" s="235"/>
      <c r="JTT140" s="235"/>
      <c r="JTU140" s="235"/>
      <c r="JTV140" s="235"/>
      <c r="JTW140" s="235"/>
      <c r="JTX140" s="235"/>
      <c r="JTY140" s="235"/>
      <c r="JTZ140" s="235"/>
      <c r="JUA140" s="235"/>
      <c r="JUB140" s="235"/>
      <c r="JUC140" s="235"/>
      <c r="JUD140" s="235"/>
      <c r="JUE140" s="235"/>
      <c r="JUF140" s="235"/>
      <c r="JUG140" s="235"/>
      <c r="JUH140" s="235"/>
      <c r="JUI140" s="235"/>
      <c r="JUJ140" s="235"/>
      <c r="JUK140" s="235"/>
      <c r="JUL140" s="235"/>
      <c r="JUM140" s="235"/>
      <c r="JUN140" s="235"/>
      <c r="JUO140" s="235"/>
      <c r="JUP140" s="235"/>
      <c r="JUQ140" s="235"/>
      <c r="JUR140" s="235"/>
      <c r="JUS140" s="235"/>
      <c r="JUT140" s="235"/>
      <c r="JUU140" s="235"/>
      <c r="JUV140" s="235"/>
      <c r="JUW140" s="235"/>
      <c r="JUX140" s="235"/>
      <c r="JUY140" s="235"/>
      <c r="JUZ140" s="235"/>
      <c r="JVA140" s="235"/>
      <c r="JVB140" s="235"/>
      <c r="JVC140" s="235"/>
      <c r="JVD140" s="235"/>
      <c r="JVE140" s="235"/>
      <c r="JVF140" s="235"/>
      <c r="JVG140" s="235"/>
      <c r="JVH140" s="235"/>
      <c r="JVI140" s="235"/>
      <c r="JVJ140" s="235"/>
      <c r="JVK140" s="235"/>
      <c r="JVL140" s="235"/>
      <c r="JVM140" s="235"/>
      <c r="JVN140" s="235"/>
      <c r="JVO140" s="235"/>
      <c r="JVP140" s="235"/>
      <c r="JVQ140" s="235"/>
      <c r="JVR140" s="235"/>
      <c r="JVS140" s="235"/>
      <c r="JVT140" s="235"/>
      <c r="JVU140" s="235"/>
      <c r="JVV140" s="235"/>
      <c r="JVW140" s="235"/>
      <c r="JVX140" s="235"/>
      <c r="JVY140" s="235"/>
      <c r="JVZ140" s="235"/>
      <c r="JWA140" s="235"/>
      <c r="JWB140" s="235"/>
      <c r="JWC140" s="235"/>
      <c r="JWD140" s="235"/>
      <c r="JWE140" s="235"/>
      <c r="JWF140" s="235"/>
      <c r="JWG140" s="235"/>
      <c r="JWH140" s="235"/>
      <c r="JWI140" s="235"/>
      <c r="JWJ140" s="235"/>
      <c r="JWK140" s="235"/>
      <c r="JWL140" s="235"/>
      <c r="JWM140" s="235"/>
      <c r="JWN140" s="235"/>
      <c r="JWO140" s="235"/>
      <c r="JWP140" s="235"/>
      <c r="JWQ140" s="235"/>
      <c r="JWR140" s="235"/>
      <c r="JWS140" s="235"/>
      <c r="JWT140" s="235"/>
      <c r="JWU140" s="235"/>
      <c r="JWV140" s="235"/>
      <c r="JWW140" s="235"/>
      <c r="JWX140" s="235"/>
      <c r="JWY140" s="235"/>
      <c r="JWZ140" s="235"/>
      <c r="JXA140" s="235"/>
      <c r="JXB140" s="235"/>
      <c r="JXC140" s="235"/>
      <c r="JXD140" s="235"/>
      <c r="JXE140" s="235"/>
      <c r="JXF140" s="235"/>
      <c r="JXG140" s="235"/>
      <c r="JXH140" s="235"/>
      <c r="JXI140" s="235"/>
      <c r="JXJ140" s="235"/>
      <c r="JXK140" s="235"/>
      <c r="JXL140" s="235"/>
      <c r="JXM140" s="235"/>
      <c r="JXN140" s="235"/>
      <c r="JXO140" s="235"/>
      <c r="JXP140" s="235"/>
      <c r="JXQ140" s="235"/>
      <c r="JXR140" s="235"/>
      <c r="JXS140" s="235"/>
      <c r="JXT140" s="235"/>
      <c r="JXU140" s="235"/>
      <c r="JXV140" s="235"/>
      <c r="JXW140" s="235"/>
      <c r="JXX140" s="235"/>
      <c r="JXY140" s="235"/>
      <c r="JXZ140" s="235"/>
      <c r="JYA140" s="235"/>
      <c r="JYB140" s="235"/>
      <c r="JYC140" s="235"/>
      <c r="JYD140" s="235"/>
      <c r="JYE140" s="235"/>
      <c r="JYF140" s="235"/>
      <c r="JYG140" s="235"/>
      <c r="JYH140" s="235"/>
      <c r="JYI140" s="235"/>
      <c r="JYJ140" s="235"/>
      <c r="JYK140" s="235"/>
      <c r="JYL140" s="235"/>
      <c r="JYM140" s="235"/>
      <c r="JYN140" s="235"/>
      <c r="JYO140" s="235"/>
      <c r="JYP140" s="235"/>
      <c r="JYQ140" s="235"/>
      <c r="JYR140" s="235"/>
      <c r="JYS140" s="235"/>
      <c r="JYT140" s="235"/>
      <c r="JYU140" s="235"/>
      <c r="JYV140" s="235"/>
      <c r="JYW140" s="235"/>
      <c r="JYX140" s="235"/>
      <c r="JYY140" s="235"/>
      <c r="JYZ140" s="235"/>
      <c r="JZA140" s="235"/>
      <c r="JZB140" s="235"/>
      <c r="JZC140" s="235"/>
      <c r="JZD140" s="235"/>
      <c r="JZE140" s="235"/>
      <c r="JZF140" s="235"/>
      <c r="JZG140" s="235"/>
      <c r="JZH140" s="235"/>
      <c r="JZI140" s="235"/>
      <c r="JZJ140" s="235"/>
      <c r="JZK140" s="235"/>
      <c r="JZL140" s="235"/>
      <c r="JZM140" s="235"/>
      <c r="JZN140" s="235"/>
      <c r="JZO140" s="235"/>
      <c r="JZP140" s="235"/>
      <c r="JZQ140" s="235"/>
      <c r="JZR140" s="235"/>
      <c r="JZS140" s="235"/>
      <c r="JZT140" s="235"/>
      <c r="JZU140" s="235"/>
      <c r="JZV140" s="235"/>
      <c r="JZW140" s="235"/>
      <c r="JZX140" s="235"/>
      <c r="JZY140" s="235"/>
      <c r="JZZ140" s="235"/>
      <c r="KAA140" s="235"/>
      <c r="KAB140" s="235"/>
      <c r="KAC140" s="235"/>
      <c r="KAD140" s="235"/>
      <c r="KAE140" s="235"/>
      <c r="KAF140" s="235"/>
      <c r="KAG140" s="235"/>
      <c r="KAH140" s="235"/>
      <c r="KAI140" s="235"/>
      <c r="KAJ140" s="235"/>
      <c r="KAK140" s="235"/>
      <c r="KAL140" s="235"/>
      <c r="KAM140" s="235"/>
      <c r="KAN140" s="235"/>
      <c r="KAO140" s="235"/>
      <c r="KAP140" s="235"/>
      <c r="KAQ140" s="235"/>
      <c r="KAR140" s="235"/>
      <c r="KAS140" s="235"/>
      <c r="KAT140" s="235"/>
      <c r="KAU140" s="235"/>
      <c r="KAV140" s="235"/>
      <c r="KAW140" s="235"/>
      <c r="KAX140" s="235"/>
      <c r="KAY140" s="235"/>
      <c r="KAZ140" s="235"/>
      <c r="KBA140" s="235"/>
      <c r="KBB140" s="235"/>
      <c r="KBC140" s="235"/>
      <c r="KBD140" s="235"/>
      <c r="KBE140" s="235"/>
      <c r="KBF140" s="235"/>
      <c r="KBG140" s="235"/>
      <c r="KBH140" s="235"/>
      <c r="KBI140" s="235"/>
      <c r="KBJ140" s="235"/>
      <c r="KBK140" s="235"/>
      <c r="KBL140" s="235"/>
      <c r="KBM140" s="235"/>
      <c r="KBN140" s="235"/>
      <c r="KBO140" s="235"/>
      <c r="KBP140" s="235"/>
      <c r="KBQ140" s="235"/>
      <c r="KBR140" s="235"/>
      <c r="KBS140" s="235"/>
      <c r="KBT140" s="235"/>
      <c r="KBU140" s="235"/>
      <c r="KBV140" s="235"/>
      <c r="KBW140" s="235"/>
      <c r="KBX140" s="235"/>
      <c r="KBY140" s="235"/>
      <c r="KBZ140" s="235"/>
      <c r="KCA140" s="235"/>
      <c r="KCB140" s="235"/>
      <c r="KCC140" s="235"/>
      <c r="KCD140" s="235"/>
      <c r="KCE140" s="235"/>
      <c r="KCF140" s="235"/>
      <c r="KCG140" s="235"/>
      <c r="KCH140" s="235"/>
      <c r="KCI140" s="235"/>
      <c r="KCJ140" s="235"/>
      <c r="KCK140" s="235"/>
      <c r="KCL140" s="235"/>
      <c r="KCM140" s="235"/>
      <c r="KCN140" s="235"/>
      <c r="KCO140" s="235"/>
      <c r="KCP140" s="235"/>
      <c r="KCQ140" s="235"/>
      <c r="KCR140" s="235"/>
      <c r="KCS140" s="235"/>
      <c r="KCT140" s="235"/>
      <c r="KCU140" s="235"/>
      <c r="KCV140" s="235"/>
      <c r="KCW140" s="235"/>
      <c r="KCX140" s="235"/>
      <c r="KCY140" s="235"/>
      <c r="KCZ140" s="235"/>
      <c r="KDA140" s="235"/>
      <c r="KDB140" s="235"/>
      <c r="KDC140" s="235"/>
      <c r="KDD140" s="235"/>
      <c r="KDE140" s="235"/>
      <c r="KDF140" s="235"/>
      <c r="KDG140" s="235"/>
      <c r="KDH140" s="235"/>
      <c r="KDI140" s="235"/>
      <c r="KDJ140" s="235"/>
      <c r="KDK140" s="235"/>
      <c r="KDL140" s="235"/>
      <c r="KDM140" s="235"/>
      <c r="KDN140" s="235"/>
      <c r="KDO140" s="235"/>
      <c r="KDP140" s="235"/>
      <c r="KDQ140" s="235"/>
      <c r="KDR140" s="235"/>
      <c r="KDS140" s="235"/>
      <c r="KDT140" s="235"/>
      <c r="KDU140" s="235"/>
      <c r="KDV140" s="235"/>
      <c r="KDW140" s="235"/>
      <c r="KDX140" s="235"/>
      <c r="KDY140" s="235"/>
      <c r="KDZ140" s="235"/>
      <c r="KEA140" s="235"/>
      <c r="KEB140" s="235"/>
      <c r="KEC140" s="235"/>
      <c r="KED140" s="235"/>
      <c r="KEE140" s="235"/>
      <c r="KEF140" s="235"/>
      <c r="KEG140" s="235"/>
      <c r="KEH140" s="235"/>
      <c r="KEI140" s="235"/>
      <c r="KEJ140" s="235"/>
      <c r="KEK140" s="235"/>
      <c r="KEL140" s="235"/>
      <c r="KEM140" s="235"/>
      <c r="KEN140" s="235"/>
      <c r="KEO140" s="235"/>
      <c r="KEP140" s="235"/>
      <c r="KEQ140" s="235"/>
      <c r="KER140" s="235"/>
      <c r="KES140" s="235"/>
      <c r="KET140" s="235"/>
      <c r="KEU140" s="235"/>
      <c r="KEV140" s="235"/>
      <c r="KEW140" s="235"/>
      <c r="KEX140" s="235"/>
      <c r="KEY140" s="235"/>
      <c r="KEZ140" s="235"/>
      <c r="KFA140" s="235"/>
      <c r="KFB140" s="235"/>
      <c r="KFC140" s="235"/>
      <c r="KFD140" s="235"/>
      <c r="KFE140" s="235"/>
      <c r="KFF140" s="235"/>
      <c r="KFG140" s="235"/>
      <c r="KFH140" s="235"/>
      <c r="KFI140" s="235"/>
      <c r="KFJ140" s="235"/>
      <c r="KFK140" s="235"/>
      <c r="KFL140" s="235"/>
      <c r="KFM140" s="235"/>
      <c r="KFN140" s="235"/>
      <c r="KFO140" s="235"/>
      <c r="KFP140" s="235"/>
      <c r="KFQ140" s="235"/>
      <c r="KFR140" s="235"/>
      <c r="KFS140" s="235"/>
      <c r="KFT140" s="235"/>
      <c r="KFU140" s="235"/>
      <c r="KFV140" s="235"/>
      <c r="KFW140" s="235"/>
      <c r="KFX140" s="235"/>
      <c r="KFY140" s="235"/>
      <c r="KFZ140" s="235"/>
      <c r="KGA140" s="235"/>
      <c r="KGB140" s="235"/>
      <c r="KGC140" s="235"/>
      <c r="KGD140" s="235"/>
      <c r="KGE140" s="235"/>
      <c r="KGF140" s="235"/>
      <c r="KGG140" s="235"/>
      <c r="KGH140" s="235"/>
      <c r="KGI140" s="235"/>
      <c r="KGJ140" s="235"/>
      <c r="KGK140" s="235"/>
      <c r="KGL140" s="235"/>
      <c r="KGM140" s="235"/>
      <c r="KGN140" s="235"/>
      <c r="KGO140" s="235"/>
      <c r="KGP140" s="235"/>
      <c r="KGQ140" s="235"/>
      <c r="KGR140" s="235"/>
      <c r="KGS140" s="235"/>
      <c r="KGT140" s="235"/>
      <c r="KGU140" s="235"/>
      <c r="KGV140" s="235"/>
      <c r="KGW140" s="235"/>
      <c r="KGX140" s="235"/>
      <c r="KGY140" s="235"/>
      <c r="KGZ140" s="235"/>
      <c r="KHA140" s="235"/>
      <c r="KHB140" s="235"/>
      <c r="KHC140" s="235"/>
      <c r="KHD140" s="235"/>
      <c r="KHE140" s="235"/>
      <c r="KHF140" s="235"/>
      <c r="KHG140" s="235"/>
      <c r="KHH140" s="235"/>
      <c r="KHI140" s="235"/>
      <c r="KHJ140" s="235"/>
      <c r="KHK140" s="235"/>
      <c r="KHL140" s="235"/>
      <c r="KHM140" s="235"/>
      <c r="KHN140" s="235"/>
      <c r="KHO140" s="235"/>
      <c r="KHP140" s="235"/>
      <c r="KHQ140" s="235"/>
      <c r="KHR140" s="235"/>
      <c r="KHS140" s="235"/>
      <c r="KHT140" s="235"/>
      <c r="KHU140" s="235"/>
      <c r="KHV140" s="235"/>
      <c r="KHW140" s="235"/>
      <c r="KHX140" s="235"/>
      <c r="KHY140" s="235"/>
      <c r="KHZ140" s="235"/>
      <c r="KIA140" s="235"/>
      <c r="KIB140" s="235"/>
      <c r="KIC140" s="235"/>
      <c r="KID140" s="235"/>
      <c r="KIE140" s="235"/>
      <c r="KIF140" s="235"/>
      <c r="KIG140" s="235"/>
      <c r="KIH140" s="235"/>
      <c r="KII140" s="235"/>
      <c r="KIJ140" s="235"/>
      <c r="KIK140" s="235"/>
      <c r="KIL140" s="235"/>
      <c r="KIM140" s="235"/>
      <c r="KIN140" s="235"/>
      <c r="KIO140" s="235"/>
      <c r="KIP140" s="235"/>
      <c r="KIQ140" s="235"/>
      <c r="KIR140" s="235"/>
      <c r="KIS140" s="235"/>
      <c r="KIT140" s="235"/>
      <c r="KIU140" s="235"/>
      <c r="KIV140" s="235"/>
      <c r="KIW140" s="235"/>
      <c r="KIX140" s="235"/>
      <c r="KIY140" s="235"/>
      <c r="KIZ140" s="235"/>
      <c r="KJA140" s="235"/>
      <c r="KJB140" s="235"/>
      <c r="KJC140" s="235"/>
      <c r="KJD140" s="235"/>
      <c r="KJE140" s="235"/>
      <c r="KJF140" s="235"/>
      <c r="KJG140" s="235"/>
      <c r="KJH140" s="235"/>
      <c r="KJI140" s="235"/>
      <c r="KJJ140" s="235"/>
      <c r="KJK140" s="235"/>
      <c r="KJL140" s="235"/>
      <c r="KJM140" s="235"/>
      <c r="KJN140" s="235"/>
      <c r="KJO140" s="235"/>
      <c r="KJP140" s="235"/>
      <c r="KJQ140" s="235"/>
      <c r="KJR140" s="235"/>
      <c r="KJS140" s="235"/>
      <c r="KJT140" s="235"/>
      <c r="KJU140" s="235"/>
      <c r="KJV140" s="235"/>
      <c r="KJW140" s="235"/>
      <c r="KJX140" s="235"/>
      <c r="KJY140" s="235"/>
      <c r="KJZ140" s="235"/>
      <c r="KKA140" s="235"/>
      <c r="KKB140" s="235"/>
      <c r="KKC140" s="235"/>
      <c r="KKD140" s="235"/>
      <c r="KKE140" s="235"/>
      <c r="KKF140" s="235"/>
      <c r="KKG140" s="235"/>
      <c r="KKH140" s="235"/>
      <c r="KKI140" s="235"/>
      <c r="KKJ140" s="235"/>
      <c r="KKK140" s="235"/>
      <c r="KKL140" s="235"/>
      <c r="KKM140" s="235"/>
      <c r="KKN140" s="235"/>
      <c r="KKO140" s="235"/>
      <c r="KKP140" s="235"/>
      <c r="KKQ140" s="235"/>
      <c r="KKR140" s="235"/>
      <c r="KKS140" s="235"/>
      <c r="KKT140" s="235"/>
      <c r="KKU140" s="235"/>
      <c r="KKV140" s="235"/>
      <c r="KKW140" s="235"/>
      <c r="KKX140" s="235"/>
      <c r="KKY140" s="235"/>
      <c r="KKZ140" s="235"/>
      <c r="KLA140" s="235"/>
      <c r="KLB140" s="235"/>
      <c r="KLC140" s="235"/>
      <c r="KLD140" s="235"/>
      <c r="KLE140" s="235"/>
      <c r="KLF140" s="235"/>
      <c r="KLG140" s="235"/>
      <c r="KLH140" s="235"/>
      <c r="KLI140" s="235"/>
      <c r="KLJ140" s="235"/>
      <c r="KLK140" s="235"/>
      <c r="KLL140" s="235"/>
      <c r="KLM140" s="235"/>
      <c r="KLN140" s="235"/>
      <c r="KLO140" s="235"/>
      <c r="KLP140" s="235"/>
      <c r="KLQ140" s="235"/>
      <c r="KLR140" s="235"/>
      <c r="KLS140" s="235"/>
      <c r="KLT140" s="235"/>
      <c r="KLU140" s="235"/>
      <c r="KLV140" s="235"/>
      <c r="KLW140" s="235"/>
      <c r="KLX140" s="235"/>
      <c r="KLY140" s="235"/>
      <c r="KLZ140" s="235"/>
      <c r="KMA140" s="235"/>
      <c r="KMB140" s="235"/>
      <c r="KMC140" s="235"/>
      <c r="KMD140" s="235"/>
      <c r="KME140" s="235"/>
      <c r="KMF140" s="235"/>
      <c r="KMG140" s="235"/>
      <c r="KMH140" s="235"/>
      <c r="KMI140" s="235"/>
      <c r="KMJ140" s="235"/>
      <c r="KMK140" s="235"/>
      <c r="KML140" s="235"/>
      <c r="KMM140" s="235"/>
      <c r="KMN140" s="235"/>
      <c r="KMO140" s="235"/>
      <c r="KMP140" s="235"/>
      <c r="KMQ140" s="235"/>
      <c r="KMR140" s="235"/>
      <c r="KMS140" s="235"/>
      <c r="KMT140" s="235"/>
      <c r="KMU140" s="235"/>
      <c r="KMV140" s="235"/>
      <c r="KMW140" s="235"/>
      <c r="KMX140" s="235"/>
      <c r="KMY140" s="235"/>
      <c r="KMZ140" s="235"/>
      <c r="KNA140" s="235"/>
      <c r="KNB140" s="235"/>
      <c r="KNC140" s="235"/>
      <c r="KND140" s="235"/>
      <c r="KNE140" s="235"/>
      <c r="KNF140" s="235"/>
      <c r="KNG140" s="235"/>
      <c r="KNH140" s="235"/>
      <c r="KNI140" s="235"/>
      <c r="KNJ140" s="235"/>
      <c r="KNK140" s="235"/>
      <c r="KNL140" s="235"/>
      <c r="KNM140" s="235"/>
      <c r="KNN140" s="235"/>
      <c r="KNO140" s="235"/>
      <c r="KNP140" s="235"/>
      <c r="KNQ140" s="235"/>
      <c r="KNR140" s="235"/>
      <c r="KNS140" s="235"/>
      <c r="KNT140" s="235"/>
      <c r="KNU140" s="235"/>
      <c r="KNV140" s="235"/>
      <c r="KNW140" s="235"/>
      <c r="KNX140" s="235"/>
      <c r="KNY140" s="235"/>
      <c r="KNZ140" s="235"/>
      <c r="KOA140" s="235"/>
      <c r="KOB140" s="235"/>
      <c r="KOC140" s="235"/>
      <c r="KOD140" s="235"/>
      <c r="KOE140" s="235"/>
      <c r="KOF140" s="235"/>
      <c r="KOG140" s="235"/>
      <c r="KOH140" s="235"/>
      <c r="KOI140" s="235"/>
      <c r="KOJ140" s="235"/>
      <c r="KOK140" s="235"/>
      <c r="KOL140" s="235"/>
      <c r="KOM140" s="235"/>
      <c r="KON140" s="235"/>
      <c r="KOO140" s="235"/>
      <c r="KOP140" s="235"/>
      <c r="KOQ140" s="235"/>
      <c r="KOR140" s="235"/>
      <c r="KOS140" s="235"/>
      <c r="KOT140" s="235"/>
      <c r="KOU140" s="235"/>
      <c r="KOV140" s="235"/>
      <c r="KOW140" s="235"/>
      <c r="KOX140" s="235"/>
      <c r="KOY140" s="235"/>
      <c r="KOZ140" s="235"/>
      <c r="KPA140" s="235"/>
      <c r="KPB140" s="235"/>
      <c r="KPC140" s="235"/>
      <c r="KPD140" s="235"/>
      <c r="KPE140" s="235"/>
      <c r="KPF140" s="235"/>
      <c r="KPG140" s="235"/>
      <c r="KPH140" s="235"/>
      <c r="KPI140" s="235"/>
      <c r="KPJ140" s="235"/>
      <c r="KPK140" s="235"/>
      <c r="KPL140" s="235"/>
      <c r="KPM140" s="235"/>
      <c r="KPN140" s="235"/>
      <c r="KPO140" s="235"/>
      <c r="KPP140" s="235"/>
      <c r="KPQ140" s="235"/>
      <c r="KPR140" s="235"/>
      <c r="KPS140" s="235"/>
      <c r="KPT140" s="235"/>
      <c r="KPU140" s="235"/>
      <c r="KPV140" s="235"/>
      <c r="KPW140" s="235"/>
      <c r="KPX140" s="235"/>
      <c r="KPY140" s="235"/>
      <c r="KPZ140" s="235"/>
      <c r="KQA140" s="235"/>
      <c r="KQB140" s="235"/>
      <c r="KQC140" s="235"/>
      <c r="KQD140" s="235"/>
      <c r="KQE140" s="235"/>
      <c r="KQF140" s="235"/>
      <c r="KQG140" s="235"/>
      <c r="KQH140" s="235"/>
      <c r="KQI140" s="235"/>
      <c r="KQJ140" s="235"/>
      <c r="KQK140" s="235"/>
      <c r="KQL140" s="235"/>
      <c r="KQM140" s="235"/>
      <c r="KQN140" s="235"/>
      <c r="KQO140" s="235"/>
      <c r="KQP140" s="235"/>
      <c r="KQQ140" s="235"/>
      <c r="KQR140" s="235"/>
      <c r="KQS140" s="235"/>
      <c r="KQT140" s="235"/>
      <c r="KQU140" s="235"/>
      <c r="KQV140" s="235"/>
      <c r="KQW140" s="235"/>
      <c r="KQX140" s="235"/>
      <c r="KQY140" s="235"/>
      <c r="KQZ140" s="235"/>
      <c r="KRA140" s="235"/>
      <c r="KRB140" s="235"/>
      <c r="KRC140" s="235"/>
      <c r="KRD140" s="235"/>
      <c r="KRE140" s="235"/>
      <c r="KRF140" s="235"/>
      <c r="KRG140" s="235"/>
      <c r="KRH140" s="235"/>
      <c r="KRI140" s="235"/>
      <c r="KRJ140" s="235"/>
      <c r="KRK140" s="235"/>
      <c r="KRL140" s="235"/>
      <c r="KRM140" s="235"/>
      <c r="KRN140" s="235"/>
      <c r="KRO140" s="235"/>
      <c r="KRP140" s="235"/>
      <c r="KRQ140" s="235"/>
      <c r="KRR140" s="235"/>
      <c r="KRS140" s="235"/>
      <c r="KRT140" s="235"/>
      <c r="KRU140" s="235"/>
      <c r="KRV140" s="235"/>
      <c r="KRW140" s="235"/>
      <c r="KRX140" s="235"/>
      <c r="KRY140" s="235"/>
      <c r="KRZ140" s="235"/>
      <c r="KSA140" s="235"/>
      <c r="KSB140" s="235"/>
      <c r="KSC140" s="235"/>
      <c r="KSD140" s="235"/>
      <c r="KSE140" s="235"/>
      <c r="KSF140" s="235"/>
      <c r="KSG140" s="235"/>
      <c r="KSH140" s="235"/>
      <c r="KSI140" s="235"/>
      <c r="KSJ140" s="235"/>
      <c r="KSK140" s="235"/>
      <c r="KSL140" s="235"/>
      <c r="KSM140" s="235"/>
      <c r="KSN140" s="235"/>
      <c r="KSO140" s="235"/>
      <c r="KSP140" s="235"/>
      <c r="KSQ140" s="235"/>
      <c r="KSR140" s="235"/>
      <c r="KSS140" s="235"/>
      <c r="KST140" s="235"/>
      <c r="KSU140" s="235"/>
      <c r="KSV140" s="235"/>
      <c r="KSW140" s="235"/>
      <c r="KSX140" s="235"/>
      <c r="KSY140" s="235"/>
      <c r="KSZ140" s="235"/>
      <c r="KTA140" s="235"/>
      <c r="KTB140" s="235"/>
      <c r="KTC140" s="235"/>
      <c r="KTD140" s="235"/>
      <c r="KTE140" s="235"/>
      <c r="KTF140" s="235"/>
      <c r="KTG140" s="235"/>
      <c r="KTH140" s="235"/>
      <c r="KTI140" s="235"/>
      <c r="KTJ140" s="235"/>
      <c r="KTK140" s="235"/>
      <c r="KTL140" s="235"/>
      <c r="KTM140" s="235"/>
      <c r="KTN140" s="235"/>
      <c r="KTO140" s="235"/>
      <c r="KTP140" s="235"/>
      <c r="KTQ140" s="235"/>
      <c r="KTR140" s="235"/>
      <c r="KTS140" s="235"/>
      <c r="KTT140" s="235"/>
      <c r="KTU140" s="235"/>
      <c r="KTV140" s="235"/>
      <c r="KTW140" s="235"/>
      <c r="KTX140" s="235"/>
      <c r="KTY140" s="235"/>
      <c r="KTZ140" s="235"/>
      <c r="KUA140" s="235"/>
      <c r="KUB140" s="235"/>
      <c r="KUC140" s="235"/>
      <c r="KUD140" s="235"/>
      <c r="KUE140" s="235"/>
      <c r="KUF140" s="235"/>
      <c r="KUG140" s="235"/>
      <c r="KUH140" s="235"/>
      <c r="KUI140" s="235"/>
      <c r="KUJ140" s="235"/>
      <c r="KUK140" s="235"/>
      <c r="KUL140" s="235"/>
      <c r="KUM140" s="235"/>
      <c r="KUN140" s="235"/>
      <c r="KUO140" s="235"/>
      <c r="KUP140" s="235"/>
      <c r="KUQ140" s="235"/>
      <c r="KUR140" s="235"/>
      <c r="KUS140" s="235"/>
      <c r="KUT140" s="235"/>
      <c r="KUU140" s="235"/>
      <c r="KUV140" s="235"/>
      <c r="KUW140" s="235"/>
      <c r="KUX140" s="235"/>
      <c r="KUY140" s="235"/>
      <c r="KUZ140" s="235"/>
      <c r="KVA140" s="235"/>
      <c r="KVB140" s="235"/>
      <c r="KVC140" s="235"/>
      <c r="KVD140" s="235"/>
      <c r="KVE140" s="235"/>
      <c r="KVF140" s="235"/>
      <c r="KVG140" s="235"/>
      <c r="KVH140" s="235"/>
      <c r="KVI140" s="235"/>
      <c r="KVJ140" s="235"/>
      <c r="KVK140" s="235"/>
      <c r="KVL140" s="235"/>
      <c r="KVM140" s="235"/>
      <c r="KVN140" s="235"/>
      <c r="KVO140" s="235"/>
      <c r="KVP140" s="235"/>
      <c r="KVQ140" s="235"/>
      <c r="KVR140" s="235"/>
      <c r="KVS140" s="235"/>
      <c r="KVT140" s="235"/>
      <c r="KVU140" s="235"/>
      <c r="KVV140" s="235"/>
      <c r="KVW140" s="235"/>
      <c r="KVX140" s="235"/>
      <c r="KVY140" s="235"/>
      <c r="KVZ140" s="235"/>
      <c r="KWA140" s="235"/>
      <c r="KWB140" s="235"/>
      <c r="KWC140" s="235"/>
      <c r="KWD140" s="235"/>
      <c r="KWE140" s="235"/>
      <c r="KWF140" s="235"/>
      <c r="KWG140" s="235"/>
      <c r="KWH140" s="235"/>
      <c r="KWI140" s="235"/>
      <c r="KWJ140" s="235"/>
      <c r="KWK140" s="235"/>
      <c r="KWL140" s="235"/>
      <c r="KWM140" s="235"/>
      <c r="KWN140" s="235"/>
      <c r="KWO140" s="235"/>
      <c r="KWP140" s="235"/>
      <c r="KWQ140" s="235"/>
      <c r="KWR140" s="235"/>
      <c r="KWS140" s="235"/>
      <c r="KWT140" s="235"/>
      <c r="KWU140" s="235"/>
      <c r="KWV140" s="235"/>
      <c r="KWW140" s="235"/>
      <c r="KWX140" s="235"/>
      <c r="KWY140" s="235"/>
      <c r="KWZ140" s="235"/>
      <c r="KXA140" s="235"/>
      <c r="KXB140" s="235"/>
      <c r="KXC140" s="235"/>
      <c r="KXD140" s="235"/>
      <c r="KXE140" s="235"/>
      <c r="KXF140" s="235"/>
      <c r="KXG140" s="235"/>
      <c r="KXH140" s="235"/>
      <c r="KXI140" s="235"/>
      <c r="KXJ140" s="235"/>
      <c r="KXK140" s="235"/>
      <c r="KXL140" s="235"/>
      <c r="KXM140" s="235"/>
      <c r="KXN140" s="235"/>
      <c r="KXO140" s="235"/>
      <c r="KXP140" s="235"/>
      <c r="KXQ140" s="235"/>
      <c r="KXR140" s="235"/>
      <c r="KXS140" s="235"/>
      <c r="KXT140" s="235"/>
      <c r="KXU140" s="235"/>
      <c r="KXV140" s="235"/>
      <c r="KXW140" s="235"/>
      <c r="KXX140" s="235"/>
      <c r="KXY140" s="235"/>
      <c r="KXZ140" s="235"/>
      <c r="KYA140" s="235"/>
      <c r="KYB140" s="235"/>
      <c r="KYC140" s="235"/>
      <c r="KYD140" s="235"/>
      <c r="KYE140" s="235"/>
      <c r="KYF140" s="235"/>
      <c r="KYG140" s="235"/>
      <c r="KYH140" s="235"/>
      <c r="KYI140" s="235"/>
      <c r="KYJ140" s="235"/>
      <c r="KYK140" s="235"/>
      <c r="KYL140" s="235"/>
      <c r="KYM140" s="235"/>
      <c r="KYN140" s="235"/>
      <c r="KYO140" s="235"/>
      <c r="KYP140" s="235"/>
      <c r="KYQ140" s="235"/>
      <c r="KYR140" s="235"/>
      <c r="KYS140" s="235"/>
      <c r="KYT140" s="235"/>
      <c r="KYU140" s="235"/>
      <c r="KYV140" s="235"/>
      <c r="KYW140" s="235"/>
      <c r="KYX140" s="235"/>
      <c r="KYY140" s="235"/>
      <c r="KYZ140" s="235"/>
      <c r="KZA140" s="235"/>
      <c r="KZB140" s="235"/>
      <c r="KZC140" s="235"/>
      <c r="KZD140" s="235"/>
      <c r="KZE140" s="235"/>
      <c r="KZF140" s="235"/>
      <c r="KZG140" s="235"/>
      <c r="KZH140" s="235"/>
      <c r="KZI140" s="235"/>
      <c r="KZJ140" s="235"/>
      <c r="KZK140" s="235"/>
      <c r="KZL140" s="235"/>
      <c r="KZM140" s="235"/>
      <c r="KZN140" s="235"/>
      <c r="KZO140" s="235"/>
      <c r="KZP140" s="235"/>
      <c r="KZQ140" s="235"/>
      <c r="KZR140" s="235"/>
      <c r="KZS140" s="235"/>
      <c r="KZT140" s="235"/>
      <c r="KZU140" s="235"/>
      <c r="KZV140" s="235"/>
      <c r="KZW140" s="235"/>
      <c r="KZX140" s="235"/>
      <c r="KZY140" s="235"/>
      <c r="KZZ140" s="235"/>
      <c r="LAA140" s="235"/>
      <c r="LAB140" s="235"/>
      <c r="LAC140" s="235"/>
      <c r="LAD140" s="235"/>
      <c r="LAE140" s="235"/>
      <c r="LAF140" s="235"/>
      <c r="LAG140" s="235"/>
      <c r="LAH140" s="235"/>
      <c r="LAI140" s="235"/>
      <c r="LAJ140" s="235"/>
      <c r="LAK140" s="235"/>
      <c r="LAL140" s="235"/>
      <c r="LAM140" s="235"/>
      <c r="LAN140" s="235"/>
      <c r="LAO140" s="235"/>
      <c r="LAP140" s="235"/>
      <c r="LAQ140" s="235"/>
      <c r="LAR140" s="235"/>
      <c r="LAS140" s="235"/>
      <c r="LAT140" s="235"/>
      <c r="LAU140" s="235"/>
      <c r="LAV140" s="235"/>
      <c r="LAW140" s="235"/>
      <c r="LAX140" s="235"/>
      <c r="LAY140" s="235"/>
      <c r="LAZ140" s="235"/>
      <c r="LBA140" s="235"/>
      <c r="LBB140" s="235"/>
      <c r="LBC140" s="235"/>
      <c r="LBD140" s="235"/>
      <c r="LBE140" s="235"/>
      <c r="LBF140" s="235"/>
      <c r="LBG140" s="235"/>
      <c r="LBH140" s="235"/>
      <c r="LBI140" s="235"/>
      <c r="LBJ140" s="235"/>
      <c r="LBK140" s="235"/>
      <c r="LBL140" s="235"/>
      <c r="LBM140" s="235"/>
      <c r="LBN140" s="235"/>
      <c r="LBO140" s="235"/>
      <c r="LBP140" s="235"/>
      <c r="LBQ140" s="235"/>
      <c r="LBR140" s="235"/>
      <c r="LBS140" s="235"/>
      <c r="LBT140" s="235"/>
      <c r="LBU140" s="235"/>
      <c r="LBV140" s="235"/>
      <c r="LBW140" s="235"/>
      <c r="LBX140" s="235"/>
      <c r="LBY140" s="235"/>
      <c r="LBZ140" s="235"/>
      <c r="LCA140" s="235"/>
      <c r="LCB140" s="235"/>
      <c r="LCC140" s="235"/>
      <c r="LCD140" s="235"/>
      <c r="LCE140" s="235"/>
      <c r="LCF140" s="235"/>
      <c r="LCG140" s="235"/>
      <c r="LCH140" s="235"/>
      <c r="LCI140" s="235"/>
      <c r="LCJ140" s="235"/>
      <c r="LCK140" s="235"/>
      <c r="LCL140" s="235"/>
      <c r="LCM140" s="235"/>
      <c r="LCN140" s="235"/>
      <c r="LCO140" s="235"/>
      <c r="LCP140" s="235"/>
      <c r="LCQ140" s="235"/>
      <c r="LCR140" s="235"/>
      <c r="LCS140" s="235"/>
      <c r="LCT140" s="235"/>
      <c r="LCU140" s="235"/>
      <c r="LCV140" s="235"/>
      <c r="LCW140" s="235"/>
      <c r="LCX140" s="235"/>
      <c r="LCY140" s="235"/>
      <c r="LCZ140" s="235"/>
      <c r="LDA140" s="235"/>
      <c r="LDB140" s="235"/>
      <c r="LDC140" s="235"/>
      <c r="LDD140" s="235"/>
      <c r="LDE140" s="235"/>
      <c r="LDF140" s="235"/>
      <c r="LDG140" s="235"/>
      <c r="LDH140" s="235"/>
      <c r="LDI140" s="235"/>
      <c r="LDJ140" s="235"/>
      <c r="LDK140" s="235"/>
      <c r="LDL140" s="235"/>
      <c r="LDM140" s="235"/>
      <c r="LDN140" s="235"/>
      <c r="LDO140" s="235"/>
      <c r="LDP140" s="235"/>
      <c r="LDQ140" s="235"/>
      <c r="LDR140" s="235"/>
      <c r="LDS140" s="235"/>
      <c r="LDT140" s="235"/>
      <c r="LDU140" s="235"/>
      <c r="LDV140" s="235"/>
      <c r="LDW140" s="235"/>
      <c r="LDX140" s="235"/>
      <c r="LDY140" s="235"/>
      <c r="LDZ140" s="235"/>
      <c r="LEA140" s="235"/>
      <c r="LEB140" s="235"/>
      <c r="LEC140" s="235"/>
      <c r="LED140" s="235"/>
      <c r="LEE140" s="235"/>
      <c r="LEF140" s="235"/>
      <c r="LEG140" s="235"/>
      <c r="LEH140" s="235"/>
      <c r="LEI140" s="235"/>
      <c r="LEJ140" s="235"/>
      <c r="LEK140" s="235"/>
      <c r="LEL140" s="235"/>
      <c r="LEM140" s="235"/>
      <c r="LEN140" s="235"/>
      <c r="LEO140" s="235"/>
      <c r="LEP140" s="235"/>
      <c r="LEQ140" s="235"/>
      <c r="LER140" s="235"/>
      <c r="LES140" s="235"/>
      <c r="LET140" s="235"/>
      <c r="LEU140" s="235"/>
      <c r="LEV140" s="235"/>
      <c r="LEW140" s="235"/>
      <c r="LEX140" s="235"/>
      <c r="LEY140" s="235"/>
      <c r="LEZ140" s="235"/>
      <c r="LFA140" s="235"/>
      <c r="LFB140" s="235"/>
      <c r="LFC140" s="235"/>
      <c r="LFD140" s="235"/>
      <c r="LFE140" s="235"/>
      <c r="LFF140" s="235"/>
      <c r="LFG140" s="235"/>
      <c r="LFH140" s="235"/>
      <c r="LFI140" s="235"/>
      <c r="LFJ140" s="235"/>
      <c r="LFK140" s="235"/>
      <c r="LFL140" s="235"/>
      <c r="LFM140" s="235"/>
      <c r="LFN140" s="235"/>
      <c r="LFO140" s="235"/>
      <c r="LFP140" s="235"/>
      <c r="LFQ140" s="235"/>
      <c r="LFR140" s="235"/>
      <c r="LFS140" s="235"/>
      <c r="LFT140" s="235"/>
      <c r="LFU140" s="235"/>
      <c r="LFV140" s="235"/>
      <c r="LFW140" s="235"/>
      <c r="LFX140" s="235"/>
      <c r="LFY140" s="235"/>
      <c r="LFZ140" s="235"/>
      <c r="LGA140" s="235"/>
      <c r="LGB140" s="235"/>
      <c r="LGC140" s="235"/>
      <c r="LGD140" s="235"/>
      <c r="LGE140" s="235"/>
      <c r="LGF140" s="235"/>
      <c r="LGG140" s="235"/>
      <c r="LGH140" s="235"/>
      <c r="LGI140" s="235"/>
      <c r="LGJ140" s="235"/>
      <c r="LGK140" s="235"/>
      <c r="LGL140" s="235"/>
      <c r="LGM140" s="235"/>
      <c r="LGN140" s="235"/>
      <c r="LGO140" s="235"/>
      <c r="LGP140" s="235"/>
      <c r="LGQ140" s="235"/>
      <c r="LGR140" s="235"/>
      <c r="LGS140" s="235"/>
      <c r="LGT140" s="235"/>
      <c r="LGU140" s="235"/>
      <c r="LGV140" s="235"/>
      <c r="LGW140" s="235"/>
      <c r="LGX140" s="235"/>
      <c r="LGY140" s="235"/>
      <c r="LGZ140" s="235"/>
      <c r="LHA140" s="235"/>
      <c r="LHB140" s="235"/>
      <c r="LHC140" s="235"/>
      <c r="LHD140" s="235"/>
      <c r="LHE140" s="235"/>
      <c r="LHF140" s="235"/>
      <c r="LHG140" s="235"/>
      <c r="LHH140" s="235"/>
      <c r="LHI140" s="235"/>
      <c r="LHJ140" s="235"/>
      <c r="LHK140" s="235"/>
      <c r="LHL140" s="235"/>
      <c r="LHM140" s="235"/>
      <c r="LHN140" s="235"/>
      <c r="LHO140" s="235"/>
      <c r="LHP140" s="235"/>
      <c r="LHQ140" s="235"/>
      <c r="LHR140" s="235"/>
      <c r="LHS140" s="235"/>
      <c r="LHT140" s="235"/>
      <c r="LHU140" s="235"/>
      <c r="LHV140" s="235"/>
      <c r="LHW140" s="235"/>
      <c r="LHX140" s="235"/>
      <c r="LHY140" s="235"/>
      <c r="LHZ140" s="235"/>
      <c r="LIA140" s="235"/>
      <c r="LIB140" s="235"/>
      <c r="LIC140" s="235"/>
      <c r="LID140" s="235"/>
      <c r="LIE140" s="235"/>
      <c r="LIF140" s="235"/>
      <c r="LIG140" s="235"/>
      <c r="LIH140" s="235"/>
      <c r="LII140" s="235"/>
      <c r="LIJ140" s="235"/>
      <c r="LIK140" s="235"/>
      <c r="LIL140" s="235"/>
      <c r="LIM140" s="235"/>
      <c r="LIN140" s="235"/>
      <c r="LIO140" s="235"/>
      <c r="LIP140" s="235"/>
      <c r="LIQ140" s="235"/>
      <c r="LIR140" s="235"/>
      <c r="LIS140" s="235"/>
      <c r="LIT140" s="235"/>
      <c r="LIU140" s="235"/>
      <c r="LIV140" s="235"/>
      <c r="LIW140" s="235"/>
      <c r="LIX140" s="235"/>
      <c r="LIY140" s="235"/>
      <c r="LIZ140" s="235"/>
      <c r="LJA140" s="235"/>
      <c r="LJB140" s="235"/>
      <c r="LJC140" s="235"/>
      <c r="LJD140" s="235"/>
      <c r="LJE140" s="235"/>
      <c r="LJF140" s="235"/>
      <c r="LJG140" s="235"/>
      <c r="LJH140" s="235"/>
      <c r="LJI140" s="235"/>
      <c r="LJJ140" s="235"/>
      <c r="LJK140" s="235"/>
      <c r="LJL140" s="235"/>
      <c r="LJM140" s="235"/>
      <c r="LJN140" s="235"/>
      <c r="LJO140" s="235"/>
      <c r="LJP140" s="235"/>
      <c r="LJQ140" s="235"/>
      <c r="LJR140" s="235"/>
      <c r="LJS140" s="235"/>
      <c r="LJT140" s="235"/>
      <c r="LJU140" s="235"/>
      <c r="LJV140" s="235"/>
      <c r="LJW140" s="235"/>
      <c r="LJX140" s="235"/>
      <c r="LJY140" s="235"/>
      <c r="LJZ140" s="235"/>
      <c r="LKA140" s="235"/>
      <c r="LKB140" s="235"/>
      <c r="LKC140" s="235"/>
      <c r="LKD140" s="235"/>
      <c r="LKE140" s="235"/>
      <c r="LKF140" s="235"/>
      <c r="LKG140" s="235"/>
      <c r="LKH140" s="235"/>
      <c r="LKI140" s="235"/>
      <c r="LKJ140" s="235"/>
      <c r="LKK140" s="235"/>
      <c r="LKL140" s="235"/>
      <c r="LKM140" s="235"/>
      <c r="LKN140" s="235"/>
      <c r="LKO140" s="235"/>
      <c r="LKP140" s="235"/>
      <c r="LKQ140" s="235"/>
      <c r="LKR140" s="235"/>
      <c r="LKS140" s="235"/>
      <c r="LKT140" s="235"/>
      <c r="LKU140" s="235"/>
      <c r="LKV140" s="235"/>
      <c r="LKW140" s="235"/>
      <c r="LKX140" s="235"/>
      <c r="LKY140" s="235"/>
      <c r="LKZ140" s="235"/>
      <c r="LLA140" s="235"/>
      <c r="LLB140" s="235"/>
      <c r="LLC140" s="235"/>
      <c r="LLD140" s="235"/>
      <c r="LLE140" s="235"/>
      <c r="LLF140" s="235"/>
      <c r="LLG140" s="235"/>
      <c r="LLH140" s="235"/>
      <c r="LLI140" s="235"/>
      <c r="LLJ140" s="235"/>
      <c r="LLK140" s="235"/>
      <c r="LLL140" s="235"/>
      <c r="LLM140" s="235"/>
      <c r="LLN140" s="235"/>
      <c r="LLO140" s="235"/>
      <c r="LLP140" s="235"/>
      <c r="LLQ140" s="235"/>
      <c r="LLR140" s="235"/>
      <c r="LLS140" s="235"/>
      <c r="LLT140" s="235"/>
      <c r="LLU140" s="235"/>
      <c r="LLV140" s="235"/>
      <c r="LLW140" s="235"/>
      <c r="LLX140" s="235"/>
      <c r="LLY140" s="235"/>
      <c r="LLZ140" s="235"/>
      <c r="LMA140" s="235"/>
      <c r="LMB140" s="235"/>
      <c r="LMC140" s="235"/>
      <c r="LMD140" s="235"/>
      <c r="LME140" s="235"/>
      <c r="LMF140" s="235"/>
      <c r="LMG140" s="235"/>
      <c r="LMH140" s="235"/>
      <c r="LMI140" s="235"/>
      <c r="LMJ140" s="235"/>
      <c r="LMK140" s="235"/>
      <c r="LML140" s="235"/>
      <c r="LMM140" s="235"/>
      <c r="LMN140" s="235"/>
      <c r="LMO140" s="235"/>
      <c r="LMP140" s="235"/>
      <c r="LMQ140" s="235"/>
      <c r="LMR140" s="235"/>
      <c r="LMS140" s="235"/>
      <c r="LMT140" s="235"/>
      <c r="LMU140" s="235"/>
      <c r="LMV140" s="235"/>
      <c r="LMW140" s="235"/>
      <c r="LMX140" s="235"/>
      <c r="LMY140" s="235"/>
      <c r="LMZ140" s="235"/>
      <c r="LNA140" s="235"/>
      <c r="LNB140" s="235"/>
      <c r="LNC140" s="235"/>
      <c r="LND140" s="235"/>
      <c r="LNE140" s="235"/>
      <c r="LNF140" s="235"/>
      <c r="LNG140" s="235"/>
      <c r="LNH140" s="235"/>
      <c r="LNI140" s="235"/>
      <c r="LNJ140" s="235"/>
      <c r="LNK140" s="235"/>
      <c r="LNL140" s="235"/>
      <c r="LNM140" s="235"/>
      <c r="LNN140" s="235"/>
      <c r="LNO140" s="235"/>
      <c r="LNP140" s="235"/>
      <c r="LNQ140" s="235"/>
      <c r="LNR140" s="235"/>
      <c r="LNS140" s="235"/>
      <c r="LNT140" s="235"/>
      <c r="LNU140" s="235"/>
      <c r="LNV140" s="235"/>
      <c r="LNW140" s="235"/>
      <c r="LNX140" s="235"/>
      <c r="LNY140" s="235"/>
      <c r="LNZ140" s="235"/>
      <c r="LOA140" s="235"/>
      <c r="LOB140" s="235"/>
      <c r="LOC140" s="235"/>
      <c r="LOD140" s="235"/>
      <c r="LOE140" s="235"/>
      <c r="LOF140" s="235"/>
      <c r="LOG140" s="235"/>
      <c r="LOH140" s="235"/>
      <c r="LOI140" s="235"/>
      <c r="LOJ140" s="235"/>
      <c r="LOK140" s="235"/>
      <c r="LOL140" s="235"/>
      <c r="LOM140" s="235"/>
      <c r="LON140" s="235"/>
      <c r="LOO140" s="235"/>
      <c r="LOP140" s="235"/>
      <c r="LOQ140" s="235"/>
      <c r="LOR140" s="235"/>
      <c r="LOS140" s="235"/>
      <c r="LOT140" s="235"/>
      <c r="LOU140" s="235"/>
      <c r="LOV140" s="235"/>
      <c r="LOW140" s="235"/>
      <c r="LOX140" s="235"/>
      <c r="LOY140" s="235"/>
      <c r="LOZ140" s="235"/>
      <c r="LPA140" s="235"/>
      <c r="LPB140" s="235"/>
      <c r="LPC140" s="235"/>
      <c r="LPD140" s="235"/>
      <c r="LPE140" s="235"/>
      <c r="LPF140" s="235"/>
      <c r="LPG140" s="235"/>
      <c r="LPH140" s="235"/>
      <c r="LPI140" s="235"/>
      <c r="LPJ140" s="235"/>
      <c r="LPK140" s="235"/>
      <c r="LPL140" s="235"/>
      <c r="LPM140" s="235"/>
      <c r="LPN140" s="235"/>
      <c r="LPO140" s="235"/>
      <c r="LPP140" s="235"/>
      <c r="LPQ140" s="235"/>
      <c r="LPR140" s="235"/>
      <c r="LPS140" s="235"/>
      <c r="LPT140" s="235"/>
      <c r="LPU140" s="235"/>
      <c r="LPV140" s="235"/>
      <c r="LPW140" s="235"/>
      <c r="LPX140" s="235"/>
      <c r="LPY140" s="235"/>
      <c r="LPZ140" s="235"/>
      <c r="LQA140" s="235"/>
      <c r="LQB140" s="235"/>
      <c r="LQC140" s="235"/>
      <c r="LQD140" s="235"/>
      <c r="LQE140" s="235"/>
      <c r="LQF140" s="235"/>
      <c r="LQG140" s="235"/>
      <c r="LQH140" s="235"/>
      <c r="LQI140" s="235"/>
      <c r="LQJ140" s="235"/>
      <c r="LQK140" s="235"/>
      <c r="LQL140" s="235"/>
      <c r="LQM140" s="235"/>
      <c r="LQN140" s="235"/>
      <c r="LQO140" s="235"/>
      <c r="LQP140" s="235"/>
      <c r="LQQ140" s="235"/>
      <c r="LQR140" s="235"/>
      <c r="LQS140" s="235"/>
      <c r="LQT140" s="235"/>
      <c r="LQU140" s="235"/>
      <c r="LQV140" s="235"/>
      <c r="LQW140" s="235"/>
      <c r="LQX140" s="235"/>
      <c r="LQY140" s="235"/>
      <c r="LQZ140" s="235"/>
      <c r="LRA140" s="235"/>
      <c r="LRB140" s="235"/>
      <c r="LRC140" s="235"/>
      <c r="LRD140" s="235"/>
      <c r="LRE140" s="235"/>
      <c r="LRF140" s="235"/>
      <c r="LRG140" s="235"/>
      <c r="LRH140" s="235"/>
      <c r="LRI140" s="235"/>
      <c r="LRJ140" s="235"/>
      <c r="LRK140" s="235"/>
      <c r="LRL140" s="235"/>
      <c r="LRM140" s="235"/>
      <c r="LRN140" s="235"/>
      <c r="LRO140" s="235"/>
      <c r="LRP140" s="235"/>
      <c r="LRQ140" s="235"/>
      <c r="LRR140" s="235"/>
      <c r="LRS140" s="235"/>
      <c r="LRT140" s="235"/>
      <c r="LRU140" s="235"/>
      <c r="LRV140" s="235"/>
      <c r="LRW140" s="235"/>
      <c r="LRX140" s="235"/>
      <c r="LRY140" s="235"/>
      <c r="LRZ140" s="235"/>
      <c r="LSA140" s="235"/>
      <c r="LSB140" s="235"/>
      <c r="LSC140" s="235"/>
      <c r="LSD140" s="235"/>
      <c r="LSE140" s="235"/>
      <c r="LSF140" s="235"/>
      <c r="LSG140" s="235"/>
      <c r="LSH140" s="235"/>
      <c r="LSI140" s="235"/>
      <c r="LSJ140" s="235"/>
      <c r="LSK140" s="235"/>
      <c r="LSL140" s="235"/>
      <c r="LSM140" s="235"/>
      <c r="LSN140" s="235"/>
      <c r="LSO140" s="235"/>
      <c r="LSP140" s="235"/>
      <c r="LSQ140" s="235"/>
      <c r="LSR140" s="235"/>
      <c r="LSS140" s="235"/>
      <c r="LST140" s="235"/>
      <c r="LSU140" s="235"/>
      <c r="LSV140" s="235"/>
      <c r="LSW140" s="235"/>
      <c r="LSX140" s="235"/>
      <c r="LSY140" s="235"/>
      <c r="LSZ140" s="235"/>
      <c r="LTA140" s="235"/>
      <c r="LTB140" s="235"/>
      <c r="LTC140" s="235"/>
      <c r="LTD140" s="235"/>
      <c r="LTE140" s="235"/>
      <c r="LTF140" s="235"/>
      <c r="LTG140" s="235"/>
      <c r="LTH140" s="235"/>
      <c r="LTI140" s="235"/>
      <c r="LTJ140" s="235"/>
      <c r="LTK140" s="235"/>
      <c r="LTL140" s="235"/>
      <c r="LTM140" s="235"/>
      <c r="LTN140" s="235"/>
      <c r="LTO140" s="235"/>
      <c r="LTP140" s="235"/>
      <c r="LTQ140" s="235"/>
      <c r="LTR140" s="235"/>
      <c r="LTS140" s="235"/>
      <c r="LTT140" s="235"/>
      <c r="LTU140" s="235"/>
      <c r="LTV140" s="235"/>
      <c r="LTW140" s="235"/>
      <c r="LTX140" s="235"/>
      <c r="LTY140" s="235"/>
      <c r="LTZ140" s="235"/>
      <c r="LUA140" s="235"/>
      <c r="LUB140" s="235"/>
      <c r="LUC140" s="235"/>
      <c r="LUD140" s="235"/>
      <c r="LUE140" s="235"/>
      <c r="LUF140" s="235"/>
      <c r="LUG140" s="235"/>
      <c r="LUH140" s="235"/>
      <c r="LUI140" s="235"/>
      <c r="LUJ140" s="235"/>
      <c r="LUK140" s="235"/>
      <c r="LUL140" s="235"/>
      <c r="LUM140" s="235"/>
      <c r="LUN140" s="235"/>
      <c r="LUO140" s="235"/>
      <c r="LUP140" s="235"/>
      <c r="LUQ140" s="235"/>
      <c r="LUR140" s="235"/>
      <c r="LUS140" s="235"/>
      <c r="LUT140" s="235"/>
      <c r="LUU140" s="235"/>
      <c r="LUV140" s="235"/>
      <c r="LUW140" s="235"/>
      <c r="LUX140" s="235"/>
      <c r="LUY140" s="235"/>
      <c r="LUZ140" s="235"/>
      <c r="LVA140" s="235"/>
      <c r="LVB140" s="235"/>
      <c r="LVC140" s="235"/>
      <c r="LVD140" s="235"/>
      <c r="LVE140" s="235"/>
      <c r="LVF140" s="235"/>
      <c r="LVG140" s="235"/>
      <c r="LVH140" s="235"/>
      <c r="LVI140" s="235"/>
      <c r="LVJ140" s="235"/>
      <c r="LVK140" s="235"/>
      <c r="LVL140" s="235"/>
      <c r="LVM140" s="235"/>
      <c r="LVN140" s="235"/>
      <c r="LVO140" s="235"/>
      <c r="LVP140" s="235"/>
      <c r="LVQ140" s="235"/>
      <c r="LVR140" s="235"/>
      <c r="LVS140" s="235"/>
      <c r="LVT140" s="235"/>
      <c r="LVU140" s="235"/>
      <c r="LVV140" s="235"/>
      <c r="LVW140" s="235"/>
      <c r="LVX140" s="235"/>
      <c r="LVY140" s="235"/>
      <c r="LVZ140" s="235"/>
      <c r="LWA140" s="235"/>
      <c r="LWB140" s="235"/>
      <c r="LWC140" s="235"/>
      <c r="LWD140" s="235"/>
      <c r="LWE140" s="235"/>
      <c r="LWF140" s="235"/>
      <c r="LWG140" s="235"/>
      <c r="LWH140" s="235"/>
      <c r="LWI140" s="235"/>
      <c r="LWJ140" s="235"/>
      <c r="LWK140" s="235"/>
      <c r="LWL140" s="235"/>
      <c r="LWM140" s="235"/>
      <c r="LWN140" s="235"/>
      <c r="LWO140" s="235"/>
      <c r="LWP140" s="235"/>
      <c r="LWQ140" s="235"/>
      <c r="LWR140" s="235"/>
      <c r="LWS140" s="235"/>
      <c r="LWT140" s="235"/>
      <c r="LWU140" s="235"/>
      <c r="LWV140" s="235"/>
      <c r="LWW140" s="235"/>
      <c r="LWX140" s="235"/>
      <c r="LWY140" s="235"/>
      <c r="LWZ140" s="235"/>
      <c r="LXA140" s="235"/>
      <c r="LXB140" s="235"/>
      <c r="LXC140" s="235"/>
      <c r="LXD140" s="235"/>
      <c r="LXE140" s="235"/>
      <c r="LXF140" s="235"/>
      <c r="LXG140" s="235"/>
      <c r="LXH140" s="235"/>
      <c r="LXI140" s="235"/>
      <c r="LXJ140" s="235"/>
      <c r="LXK140" s="235"/>
      <c r="LXL140" s="235"/>
      <c r="LXM140" s="235"/>
      <c r="LXN140" s="235"/>
      <c r="LXO140" s="235"/>
      <c r="LXP140" s="235"/>
      <c r="LXQ140" s="235"/>
      <c r="LXR140" s="235"/>
      <c r="LXS140" s="235"/>
      <c r="LXT140" s="235"/>
      <c r="LXU140" s="235"/>
      <c r="LXV140" s="235"/>
      <c r="LXW140" s="235"/>
      <c r="LXX140" s="235"/>
      <c r="LXY140" s="235"/>
      <c r="LXZ140" s="235"/>
      <c r="LYA140" s="235"/>
      <c r="LYB140" s="235"/>
      <c r="LYC140" s="235"/>
      <c r="LYD140" s="235"/>
      <c r="LYE140" s="235"/>
      <c r="LYF140" s="235"/>
      <c r="LYG140" s="235"/>
      <c r="LYH140" s="235"/>
      <c r="LYI140" s="235"/>
      <c r="LYJ140" s="235"/>
      <c r="LYK140" s="235"/>
      <c r="LYL140" s="235"/>
      <c r="LYM140" s="235"/>
      <c r="LYN140" s="235"/>
      <c r="LYO140" s="235"/>
      <c r="LYP140" s="235"/>
      <c r="LYQ140" s="235"/>
      <c r="LYR140" s="235"/>
      <c r="LYS140" s="235"/>
      <c r="LYT140" s="235"/>
      <c r="LYU140" s="235"/>
      <c r="LYV140" s="235"/>
      <c r="LYW140" s="235"/>
      <c r="LYX140" s="235"/>
      <c r="LYY140" s="235"/>
      <c r="LYZ140" s="235"/>
      <c r="LZA140" s="235"/>
      <c r="LZB140" s="235"/>
      <c r="LZC140" s="235"/>
      <c r="LZD140" s="235"/>
      <c r="LZE140" s="235"/>
      <c r="LZF140" s="235"/>
      <c r="LZG140" s="235"/>
      <c r="LZH140" s="235"/>
      <c r="LZI140" s="235"/>
      <c r="LZJ140" s="235"/>
      <c r="LZK140" s="235"/>
      <c r="LZL140" s="235"/>
      <c r="LZM140" s="235"/>
      <c r="LZN140" s="235"/>
      <c r="LZO140" s="235"/>
      <c r="LZP140" s="235"/>
      <c r="LZQ140" s="235"/>
      <c r="LZR140" s="235"/>
      <c r="LZS140" s="235"/>
      <c r="LZT140" s="235"/>
      <c r="LZU140" s="235"/>
      <c r="LZV140" s="235"/>
      <c r="LZW140" s="235"/>
      <c r="LZX140" s="235"/>
      <c r="LZY140" s="235"/>
      <c r="LZZ140" s="235"/>
      <c r="MAA140" s="235"/>
      <c r="MAB140" s="235"/>
      <c r="MAC140" s="235"/>
      <c r="MAD140" s="235"/>
      <c r="MAE140" s="235"/>
      <c r="MAF140" s="235"/>
      <c r="MAG140" s="235"/>
      <c r="MAH140" s="235"/>
      <c r="MAI140" s="235"/>
      <c r="MAJ140" s="235"/>
      <c r="MAK140" s="235"/>
      <c r="MAL140" s="235"/>
      <c r="MAM140" s="235"/>
      <c r="MAN140" s="235"/>
      <c r="MAO140" s="235"/>
      <c r="MAP140" s="235"/>
      <c r="MAQ140" s="235"/>
      <c r="MAR140" s="235"/>
      <c r="MAS140" s="235"/>
      <c r="MAT140" s="235"/>
      <c r="MAU140" s="235"/>
      <c r="MAV140" s="235"/>
      <c r="MAW140" s="235"/>
      <c r="MAX140" s="235"/>
      <c r="MAY140" s="235"/>
      <c r="MAZ140" s="235"/>
      <c r="MBA140" s="235"/>
      <c r="MBB140" s="235"/>
      <c r="MBC140" s="235"/>
      <c r="MBD140" s="235"/>
      <c r="MBE140" s="235"/>
      <c r="MBF140" s="235"/>
      <c r="MBG140" s="235"/>
      <c r="MBH140" s="235"/>
      <c r="MBI140" s="235"/>
      <c r="MBJ140" s="235"/>
      <c r="MBK140" s="235"/>
      <c r="MBL140" s="235"/>
      <c r="MBM140" s="235"/>
      <c r="MBN140" s="235"/>
      <c r="MBO140" s="235"/>
      <c r="MBP140" s="235"/>
      <c r="MBQ140" s="235"/>
      <c r="MBR140" s="235"/>
      <c r="MBS140" s="235"/>
      <c r="MBT140" s="235"/>
      <c r="MBU140" s="235"/>
      <c r="MBV140" s="235"/>
      <c r="MBW140" s="235"/>
      <c r="MBX140" s="235"/>
      <c r="MBY140" s="235"/>
      <c r="MBZ140" s="235"/>
      <c r="MCA140" s="235"/>
      <c r="MCB140" s="235"/>
      <c r="MCC140" s="235"/>
      <c r="MCD140" s="235"/>
      <c r="MCE140" s="235"/>
      <c r="MCF140" s="235"/>
      <c r="MCG140" s="235"/>
      <c r="MCH140" s="235"/>
      <c r="MCI140" s="235"/>
      <c r="MCJ140" s="235"/>
      <c r="MCK140" s="235"/>
      <c r="MCL140" s="235"/>
      <c r="MCM140" s="235"/>
      <c r="MCN140" s="235"/>
      <c r="MCO140" s="235"/>
      <c r="MCP140" s="235"/>
      <c r="MCQ140" s="235"/>
      <c r="MCR140" s="235"/>
      <c r="MCS140" s="235"/>
      <c r="MCT140" s="235"/>
      <c r="MCU140" s="235"/>
      <c r="MCV140" s="235"/>
      <c r="MCW140" s="235"/>
      <c r="MCX140" s="235"/>
      <c r="MCY140" s="235"/>
      <c r="MCZ140" s="235"/>
      <c r="MDA140" s="235"/>
      <c r="MDB140" s="235"/>
      <c r="MDC140" s="235"/>
      <c r="MDD140" s="235"/>
      <c r="MDE140" s="235"/>
      <c r="MDF140" s="235"/>
      <c r="MDG140" s="235"/>
      <c r="MDH140" s="235"/>
      <c r="MDI140" s="235"/>
      <c r="MDJ140" s="235"/>
      <c r="MDK140" s="235"/>
      <c r="MDL140" s="235"/>
      <c r="MDM140" s="235"/>
      <c r="MDN140" s="235"/>
      <c r="MDO140" s="235"/>
      <c r="MDP140" s="235"/>
      <c r="MDQ140" s="235"/>
      <c r="MDR140" s="235"/>
      <c r="MDS140" s="235"/>
      <c r="MDT140" s="235"/>
      <c r="MDU140" s="235"/>
      <c r="MDV140" s="235"/>
      <c r="MDW140" s="235"/>
      <c r="MDX140" s="235"/>
      <c r="MDY140" s="235"/>
      <c r="MDZ140" s="235"/>
      <c r="MEA140" s="235"/>
      <c r="MEB140" s="235"/>
      <c r="MEC140" s="235"/>
      <c r="MED140" s="235"/>
      <c r="MEE140" s="235"/>
      <c r="MEF140" s="235"/>
      <c r="MEG140" s="235"/>
      <c r="MEH140" s="235"/>
      <c r="MEI140" s="235"/>
      <c r="MEJ140" s="235"/>
      <c r="MEK140" s="235"/>
      <c r="MEL140" s="235"/>
      <c r="MEM140" s="235"/>
      <c r="MEN140" s="235"/>
      <c r="MEO140" s="235"/>
      <c r="MEP140" s="235"/>
      <c r="MEQ140" s="235"/>
      <c r="MER140" s="235"/>
      <c r="MES140" s="235"/>
      <c r="MET140" s="235"/>
      <c r="MEU140" s="235"/>
      <c r="MEV140" s="235"/>
      <c r="MEW140" s="235"/>
      <c r="MEX140" s="235"/>
      <c r="MEY140" s="235"/>
      <c r="MEZ140" s="235"/>
      <c r="MFA140" s="235"/>
      <c r="MFB140" s="235"/>
      <c r="MFC140" s="235"/>
      <c r="MFD140" s="235"/>
      <c r="MFE140" s="235"/>
      <c r="MFF140" s="235"/>
      <c r="MFG140" s="235"/>
      <c r="MFH140" s="235"/>
      <c r="MFI140" s="235"/>
      <c r="MFJ140" s="235"/>
      <c r="MFK140" s="235"/>
      <c r="MFL140" s="235"/>
      <c r="MFM140" s="235"/>
      <c r="MFN140" s="235"/>
      <c r="MFO140" s="235"/>
      <c r="MFP140" s="235"/>
      <c r="MFQ140" s="235"/>
      <c r="MFR140" s="235"/>
      <c r="MFS140" s="235"/>
      <c r="MFT140" s="235"/>
      <c r="MFU140" s="235"/>
      <c r="MFV140" s="235"/>
      <c r="MFW140" s="235"/>
      <c r="MFX140" s="235"/>
      <c r="MFY140" s="235"/>
      <c r="MFZ140" s="235"/>
      <c r="MGA140" s="235"/>
      <c r="MGB140" s="235"/>
      <c r="MGC140" s="235"/>
      <c r="MGD140" s="235"/>
      <c r="MGE140" s="235"/>
      <c r="MGF140" s="235"/>
      <c r="MGG140" s="235"/>
      <c r="MGH140" s="235"/>
      <c r="MGI140" s="235"/>
      <c r="MGJ140" s="235"/>
      <c r="MGK140" s="235"/>
      <c r="MGL140" s="235"/>
      <c r="MGM140" s="235"/>
      <c r="MGN140" s="235"/>
      <c r="MGO140" s="235"/>
      <c r="MGP140" s="235"/>
      <c r="MGQ140" s="235"/>
      <c r="MGR140" s="235"/>
      <c r="MGS140" s="235"/>
      <c r="MGT140" s="235"/>
      <c r="MGU140" s="235"/>
      <c r="MGV140" s="235"/>
      <c r="MGW140" s="235"/>
      <c r="MGX140" s="235"/>
      <c r="MGY140" s="235"/>
      <c r="MGZ140" s="235"/>
      <c r="MHA140" s="235"/>
      <c r="MHB140" s="235"/>
      <c r="MHC140" s="235"/>
      <c r="MHD140" s="235"/>
      <c r="MHE140" s="235"/>
      <c r="MHF140" s="235"/>
      <c r="MHG140" s="235"/>
      <c r="MHH140" s="235"/>
      <c r="MHI140" s="235"/>
      <c r="MHJ140" s="235"/>
      <c r="MHK140" s="235"/>
      <c r="MHL140" s="235"/>
      <c r="MHM140" s="235"/>
      <c r="MHN140" s="235"/>
      <c r="MHO140" s="235"/>
      <c r="MHP140" s="235"/>
      <c r="MHQ140" s="235"/>
      <c r="MHR140" s="235"/>
      <c r="MHS140" s="235"/>
      <c r="MHT140" s="235"/>
      <c r="MHU140" s="235"/>
      <c r="MHV140" s="235"/>
      <c r="MHW140" s="235"/>
      <c r="MHX140" s="235"/>
      <c r="MHY140" s="235"/>
      <c r="MHZ140" s="235"/>
      <c r="MIA140" s="235"/>
      <c r="MIB140" s="235"/>
      <c r="MIC140" s="235"/>
      <c r="MID140" s="235"/>
      <c r="MIE140" s="235"/>
      <c r="MIF140" s="235"/>
      <c r="MIG140" s="235"/>
      <c r="MIH140" s="235"/>
      <c r="MII140" s="235"/>
      <c r="MIJ140" s="235"/>
      <c r="MIK140" s="235"/>
      <c r="MIL140" s="235"/>
      <c r="MIM140" s="235"/>
      <c r="MIN140" s="235"/>
      <c r="MIO140" s="235"/>
      <c r="MIP140" s="235"/>
      <c r="MIQ140" s="235"/>
      <c r="MIR140" s="235"/>
      <c r="MIS140" s="235"/>
      <c r="MIT140" s="235"/>
      <c r="MIU140" s="235"/>
      <c r="MIV140" s="235"/>
      <c r="MIW140" s="235"/>
      <c r="MIX140" s="235"/>
      <c r="MIY140" s="235"/>
      <c r="MIZ140" s="235"/>
      <c r="MJA140" s="235"/>
      <c r="MJB140" s="235"/>
      <c r="MJC140" s="235"/>
      <c r="MJD140" s="235"/>
      <c r="MJE140" s="235"/>
      <c r="MJF140" s="235"/>
      <c r="MJG140" s="235"/>
      <c r="MJH140" s="235"/>
      <c r="MJI140" s="235"/>
      <c r="MJJ140" s="235"/>
      <c r="MJK140" s="235"/>
      <c r="MJL140" s="235"/>
      <c r="MJM140" s="235"/>
      <c r="MJN140" s="235"/>
      <c r="MJO140" s="235"/>
      <c r="MJP140" s="235"/>
      <c r="MJQ140" s="235"/>
      <c r="MJR140" s="235"/>
      <c r="MJS140" s="235"/>
      <c r="MJT140" s="235"/>
      <c r="MJU140" s="235"/>
      <c r="MJV140" s="235"/>
      <c r="MJW140" s="235"/>
      <c r="MJX140" s="235"/>
      <c r="MJY140" s="235"/>
      <c r="MJZ140" s="235"/>
      <c r="MKA140" s="235"/>
      <c r="MKB140" s="235"/>
      <c r="MKC140" s="235"/>
      <c r="MKD140" s="235"/>
      <c r="MKE140" s="235"/>
      <c r="MKF140" s="235"/>
      <c r="MKG140" s="235"/>
      <c r="MKH140" s="235"/>
      <c r="MKI140" s="235"/>
      <c r="MKJ140" s="235"/>
      <c r="MKK140" s="235"/>
      <c r="MKL140" s="235"/>
      <c r="MKM140" s="235"/>
      <c r="MKN140" s="235"/>
      <c r="MKO140" s="235"/>
      <c r="MKP140" s="235"/>
      <c r="MKQ140" s="235"/>
      <c r="MKR140" s="235"/>
      <c r="MKS140" s="235"/>
      <c r="MKT140" s="235"/>
      <c r="MKU140" s="235"/>
      <c r="MKV140" s="235"/>
      <c r="MKW140" s="235"/>
      <c r="MKX140" s="235"/>
      <c r="MKY140" s="235"/>
      <c r="MKZ140" s="235"/>
      <c r="MLA140" s="235"/>
      <c r="MLB140" s="235"/>
      <c r="MLC140" s="235"/>
      <c r="MLD140" s="235"/>
      <c r="MLE140" s="235"/>
      <c r="MLF140" s="235"/>
      <c r="MLG140" s="235"/>
      <c r="MLH140" s="235"/>
      <c r="MLI140" s="235"/>
      <c r="MLJ140" s="235"/>
      <c r="MLK140" s="235"/>
      <c r="MLL140" s="235"/>
      <c r="MLM140" s="235"/>
      <c r="MLN140" s="235"/>
      <c r="MLO140" s="235"/>
      <c r="MLP140" s="235"/>
      <c r="MLQ140" s="235"/>
      <c r="MLR140" s="235"/>
      <c r="MLS140" s="235"/>
      <c r="MLT140" s="235"/>
      <c r="MLU140" s="235"/>
      <c r="MLV140" s="235"/>
      <c r="MLW140" s="235"/>
      <c r="MLX140" s="235"/>
      <c r="MLY140" s="235"/>
      <c r="MLZ140" s="235"/>
      <c r="MMA140" s="235"/>
      <c r="MMB140" s="235"/>
      <c r="MMC140" s="235"/>
      <c r="MMD140" s="235"/>
      <c r="MME140" s="235"/>
      <c r="MMF140" s="235"/>
      <c r="MMG140" s="235"/>
      <c r="MMH140" s="235"/>
      <c r="MMI140" s="235"/>
      <c r="MMJ140" s="235"/>
      <c r="MMK140" s="235"/>
      <c r="MML140" s="235"/>
      <c r="MMM140" s="235"/>
      <c r="MMN140" s="235"/>
      <c r="MMO140" s="235"/>
      <c r="MMP140" s="235"/>
      <c r="MMQ140" s="235"/>
      <c r="MMR140" s="235"/>
      <c r="MMS140" s="235"/>
      <c r="MMT140" s="235"/>
      <c r="MMU140" s="235"/>
      <c r="MMV140" s="235"/>
      <c r="MMW140" s="235"/>
      <c r="MMX140" s="235"/>
      <c r="MMY140" s="235"/>
      <c r="MMZ140" s="235"/>
      <c r="MNA140" s="235"/>
      <c r="MNB140" s="235"/>
      <c r="MNC140" s="235"/>
      <c r="MND140" s="235"/>
      <c r="MNE140" s="235"/>
      <c r="MNF140" s="235"/>
      <c r="MNG140" s="235"/>
      <c r="MNH140" s="235"/>
      <c r="MNI140" s="235"/>
      <c r="MNJ140" s="235"/>
      <c r="MNK140" s="235"/>
      <c r="MNL140" s="235"/>
      <c r="MNM140" s="235"/>
      <c r="MNN140" s="235"/>
      <c r="MNO140" s="235"/>
      <c r="MNP140" s="235"/>
      <c r="MNQ140" s="235"/>
      <c r="MNR140" s="235"/>
      <c r="MNS140" s="235"/>
      <c r="MNT140" s="235"/>
      <c r="MNU140" s="235"/>
      <c r="MNV140" s="235"/>
      <c r="MNW140" s="235"/>
      <c r="MNX140" s="235"/>
      <c r="MNY140" s="235"/>
      <c r="MNZ140" s="235"/>
      <c r="MOA140" s="235"/>
      <c r="MOB140" s="235"/>
      <c r="MOC140" s="235"/>
      <c r="MOD140" s="235"/>
      <c r="MOE140" s="235"/>
      <c r="MOF140" s="235"/>
      <c r="MOG140" s="235"/>
      <c r="MOH140" s="235"/>
      <c r="MOI140" s="235"/>
      <c r="MOJ140" s="235"/>
      <c r="MOK140" s="235"/>
      <c r="MOL140" s="235"/>
      <c r="MOM140" s="235"/>
      <c r="MON140" s="235"/>
      <c r="MOO140" s="235"/>
      <c r="MOP140" s="235"/>
      <c r="MOQ140" s="235"/>
      <c r="MOR140" s="235"/>
      <c r="MOS140" s="235"/>
      <c r="MOT140" s="235"/>
      <c r="MOU140" s="235"/>
      <c r="MOV140" s="235"/>
      <c r="MOW140" s="235"/>
      <c r="MOX140" s="235"/>
      <c r="MOY140" s="235"/>
      <c r="MOZ140" s="235"/>
      <c r="MPA140" s="235"/>
      <c r="MPB140" s="235"/>
      <c r="MPC140" s="235"/>
      <c r="MPD140" s="235"/>
      <c r="MPE140" s="235"/>
      <c r="MPF140" s="235"/>
      <c r="MPG140" s="235"/>
      <c r="MPH140" s="235"/>
      <c r="MPI140" s="235"/>
      <c r="MPJ140" s="235"/>
      <c r="MPK140" s="235"/>
      <c r="MPL140" s="235"/>
      <c r="MPM140" s="235"/>
      <c r="MPN140" s="235"/>
      <c r="MPO140" s="235"/>
      <c r="MPP140" s="235"/>
      <c r="MPQ140" s="235"/>
      <c r="MPR140" s="235"/>
      <c r="MPS140" s="235"/>
      <c r="MPT140" s="235"/>
      <c r="MPU140" s="235"/>
      <c r="MPV140" s="235"/>
      <c r="MPW140" s="235"/>
      <c r="MPX140" s="235"/>
      <c r="MPY140" s="235"/>
      <c r="MPZ140" s="235"/>
      <c r="MQA140" s="235"/>
      <c r="MQB140" s="235"/>
      <c r="MQC140" s="235"/>
      <c r="MQD140" s="235"/>
      <c r="MQE140" s="235"/>
      <c r="MQF140" s="235"/>
      <c r="MQG140" s="235"/>
      <c r="MQH140" s="235"/>
      <c r="MQI140" s="235"/>
      <c r="MQJ140" s="235"/>
      <c r="MQK140" s="235"/>
      <c r="MQL140" s="235"/>
      <c r="MQM140" s="235"/>
      <c r="MQN140" s="235"/>
      <c r="MQO140" s="235"/>
      <c r="MQP140" s="235"/>
      <c r="MQQ140" s="235"/>
      <c r="MQR140" s="235"/>
      <c r="MQS140" s="235"/>
      <c r="MQT140" s="235"/>
      <c r="MQU140" s="235"/>
      <c r="MQV140" s="235"/>
      <c r="MQW140" s="235"/>
      <c r="MQX140" s="235"/>
      <c r="MQY140" s="235"/>
      <c r="MQZ140" s="235"/>
      <c r="MRA140" s="235"/>
      <c r="MRB140" s="235"/>
      <c r="MRC140" s="235"/>
      <c r="MRD140" s="235"/>
      <c r="MRE140" s="235"/>
      <c r="MRF140" s="235"/>
      <c r="MRG140" s="235"/>
      <c r="MRH140" s="235"/>
      <c r="MRI140" s="235"/>
      <c r="MRJ140" s="235"/>
      <c r="MRK140" s="235"/>
      <c r="MRL140" s="235"/>
      <c r="MRM140" s="235"/>
      <c r="MRN140" s="235"/>
      <c r="MRO140" s="235"/>
      <c r="MRP140" s="235"/>
      <c r="MRQ140" s="235"/>
      <c r="MRR140" s="235"/>
      <c r="MRS140" s="235"/>
      <c r="MRT140" s="235"/>
      <c r="MRU140" s="235"/>
      <c r="MRV140" s="235"/>
      <c r="MRW140" s="235"/>
      <c r="MRX140" s="235"/>
      <c r="MRY140" s="235"/>
      <c r="MRZ140" s="235"/>
      <c r="MSA140" s="235"/>
      <c r="MSB140" s="235"/>
      <c r="MSC140" s="235"/>
      <c r="MSD140" s="235"/>
      <c r="MSE140" s="235"/>
      <c r="MSF140" s="235"/>
      <c r="MSG140" s="235"/>
      <c r="MSH140" s="235"/>
      <c r="MSI140" s="235"/>
      <c r="MSJ140" s="235"/>
      <c r="MSK140" s="235"/>
      <c r="MSL140" s="235"/>
      <c r="MSM140" s="235"/>
      <c r="MSN140" s="235"/>
      <c r="MSO140" s="235"/>
      <c r="MSP140" s="235"/>
      <c r="MSQ140" s="235"/>
      <c r="MSR140" s="235"/>
      <c r="MSS140" s="235"/>
      <c r="MST140" s="235"/>
      <c r="MSU140" s="235"/>
      <c r="MSV140" s="235"/>
      <c r="MSW140" s="235"/>
      <c r="MSX140" s="235"/>
      <c r="MSY140" s="235"/>
      <c r="MSZ140" s="235"/>
      <c r="MTA140" s="235"/>
      <c r="MTB140" s="235"/>
      <c r="MTC140" s="235"/>
      <c r="MTD140" s="235"/>
      <c r="MTE140" s="235"/>
      <c r="MTF140" s="235"/>
      <c r="MTG140" s="235"/>
      <c r="MTH140" s="235"/>
      <c r="MTI140" s="235"/>
      <c r="MTJ140" s="235"/>
      <c r="MTK140" s="235"/>
      <c r="MTL140" s="235"/>
      <c r="MTM140" s="235"/>
      <c r="MTN140" s="235"/>
      <c r="MTO140" s="235"/>
      <c r="MTP140" s="235"/>
      <c r="MTQ140" s="235"/>
      <c r="MTR140" s="235"/>
      <c r="MTS140" s="235"/>
      <c r="MTT140" s="235"/>
      <c r="MTU140" s="235"/>
      <c r="MTV140" s="235"/>
      <c r="MTW140" s="235"/>
      <c r="MTX140" s="235"/>
      <c r="MTY140" s="235"/>
      <c r="MTZ140" s="235"/>
      <c r="MUA140" s="235"/>
      <c r="MUB140" s="235"/>
      <c r="MUC140" s="235"/>
      <c r="MUD140" s="235"/>
      <c r="MUE140" s="235"/>
      <c r="MUF140" s="235"/>
      <c r="MUG140" s="235"/>
      <c r="MUH140" s="235"/>
      <c r="MUI140" s="235"/>
      <c r="MUJ140" s="235"/>
      <c r="MUK140" s="235"/>
      <c r="MUL140" s="235"/>
      <c r="MUM140" s="235"/>
      <c r="MUN140" s="235"/>
      <c r="MUO140" s="235"/>
      <c r="MUP140" s="235"/>
      <c r="MUQ140" s="235"/>
      <c r="MUR140" s="235"/>
      <c r="MUS140" s="235"/>
      <c r="MUT140" s="235"/>
      <c r="MUU140" s="235"/>
      <c r="MUV140" s="235"/>
      <c r="MUW140" s="235"/>
      <c r="MUX140" s="235"/>
      <c r="MUY140" s="235"/>
      <c r="MUZ140" s="235"/>
      <c r="MVA140" s="235"/>
      <c r="MVB140" s="235"/>
      <c r="MVC140" s="235"/>
      <c r="MVD140" s="235"/>
      <c r="MVE140" s="235"/>
      <c r="MVF140" s="235"/>
      <c r="MVG140" s="235"/>
      <c r="MVH140" s="235"/>
      <c r="MVI140" s="235"/>
      <c r="MVJ140" s="235"/>
      <c r="MVK140" s="235"/>
      <c r="MVL140" s="235"/>
      <c r="MVM140" s="235"/>
      <c r="MVN140" s="235"/>
      <c r="MVO140" s="235"/>
      <c r="MVP140" s="235"/>
      <c r="MVQ140" s="235"/>
      <c r="MVR140" s="235"/>
      <c r="MVS140" s="235"/>
      <c r="MVT140" s="235"/>
      <c r="MVU140" s="235"/>
      <c r="MVV140" s="235"/>
      <c r="MVW140" s="235"/>
      <c r="MVX140" s="235"/>
      <c r="MVY140" s="235"/>
      <c r="MVZ140" s="235"/>
      <c r="MWA140" s="235"/>
      <c r="MWB140" s="235"/>
      <c r="MWC140" s="235"/>
      <c r="MWD140" s="235"/>
      <c r="MWE140" s="235"/>
      <c r="MWF140" s="235"/>
      <c r="MWG140" s="235"/>
      <c r="MWH140" s="235"/>
      <c r="MWI140" s="235"/>
      <c r="MWJ140" s="235"/>
      <c r="MWK140" s="235"/>
      <c r="MWL140" s="235"/>
      <c r="MWM140" s="235"/>
      <c r="MWN140" s="235"/>
      <c r="MWO140" s="235"/>
      <c r="MWP140" s="235"/>
      <c r="MWQ140" s="235"/>
      <c r="MWR140" s="235"/>
      <c r="MWS140" s="235"/>
      <c r="MWT140" s="235"/>
      <c r="MWU140" s="235"/>
      <c r="MWV140" s="235"/>
      <c r="MWW140" s="235"/>
      <c r="MWX140" s="235"/>
      <c r="MWY140" s="235"/>
      <c r="MWZ140" s="235"/>
      <c r="MXA140" s="235"/>
      <c r="MXB140" s="235"/>
      <c r="MXC140" s="235"/>
      <c r="MXD140" s="235"/>
      <c r="MXE140" s="235"/>
      <c r="MXF140" s="235"/>
      <c r="MXG140" s="235"/>
      <c r="MXH140" s="235"/>
      <c r="MXI140" s="235"/>
      <c r="MXJ140" s="235"/>
      <c r="MXK140" s="235"/>
      <c r="MXL140" s="235"/>
      <c r="MXM140" s="235"/>
      <c r="MXN140" s="235"/>
      <c r="MXO140" s="235"/>
      <c r="MXP140" s="235"/>
      <c r="MXQ140" s="235"/>
      <c r="MXR140" s="235"/>
      <c r="MXS140" s="235"/>
      <c r="MXT140" s="235"/>
      <c r="MXU140" s="235"/>
      <c r="MXV140" s="235"/>
      <c r="MXW140" s="235"/>
      <c r="MXX140" s="235"/>
      <c r="MXY140" s="235"/>
      <c r="MXZ140" s="235"/>
      <c r="MYA140" s="235"/>
      <c r="MYB140" s="235"/>
      <c r="MYC140" s="235"/>
      <c r="MYD140" s="235"/>
      <c r="MYE140" s="235"/>
      <c r="MYF140" s="235"/>
      <c r="MYG140" s="235"/>
      <c r="MYH140" s="235"/>
      <c r="MYI140" s="235"/>
      <c r="MYJ140" s="235"/>
      <c r="MYK140" s="235"/>
      <c r="MYL140" s="235"/>
      <c r="MYM140" s="235"/>
      <c r="MYN140" s="235"/>
      <c r="MYO140" s="235"/>
      <c r="MYP140" s="235"/>
      <c r="MYQ140" s="235"/>
      <c r="MYR140" s="235"/>
      <c r="MYS140" s="235"/>
      <c r="MYT140" s="235"/>
      <c r="MYU140" s="235"/>
      <c r="MYV140" s="235"/>
      <c r="MYW140" s="235"/>
      <c r="MYX140" s="235"/>
      <c r="MYY140" s="235"/>
      <c r="MYZ140" s="235"/>
      <c r="MZA140" s="235"/>
      <c r="MZB140" s="235"/>
      <c r="MZC140" s="235"/>
      <c r="MZD140" s="235"/>
      <c r="MZE140" s="235"/>
      <c r="MZF140" s="235"/>
      <c r="MZG140" s="235"/>
      <c r="MZH140" s="235"/>
      <c r="MZI140" s="235"/>
      <c r="MZJ140" s="235"/>
      <c r="MZK140" s="235"/>
      <c r="MZL140" s="235"/>
      <c r="MZM140" s="235"/>
      <c r="MZN140" s="235"/>
      <c r="MZO140" s="235"/>
      <c r="MZP140" s="235"/>
      <c r="MZQ140" s="235"/>
      <c r="MZR140" s="235"/>
      <c r="MZS140" s="235"/>
      <c r="MZT140" s="235"/>
      <c r="MZU140" s="235"/>
      <c r="MZV140" s="235"/>
      <c r="MZW140" s="235"/>
      <c r="MZX140" s="235"/>
      <c r="MZY140" s="235"/>
      <c r="MZZ140" s="235"/>
      <c r="NAA140" s="235"/>
      <c r="NAB140" s="235"/>
      <c r="NAC140" s="235"/>
      <c r="NAD140" s="235"/>
      <c r="NAE140" s="235"/>
      <c r="NAF140" s="235"/>
      <c r="NAG140" s="235"/>
      <c r="NAH140" s="235"/>
      <c r="NAI140" s="235"/>
      <c r="NAJ140" s="235"/>
      <c r="NAK140" s="235"/>
      <c r="NAL140" s="235"/>
      <c r="NAM140" s="235"/>
      <c r="NAN140" s="235"/>
      <c r="NAO140" s="235"/>
      <c r="NAP140" s="235"/>
      <c r="NAQ140" s="235"/>
      <c r="NAR140" s="235"/>
      <c r="NAS140" s="235"/>
      <c r="NAT140" s="235"/>
      <c r="NAU140" s="235"/>
      <c r="NAV140" s="235"/>
      <c r="NAW140" s="235"/>
      <c r="NAX140" s="235"/>
      <c r="NAY140" s="235"/>
      <c r="NAZ140" s="235"/>
      <c r="NBA140" s="235"/>
      <c r="NBB140" s="235"/>
      <c r="NBC140" s="235"/>
      <c r="NBD140" s="235"/>
      <c r="NBE140" s="235"/>
      <c r="NBF140" s="235"/>
      <c r="NBG140" s="235"/>
      <c r="NBH140" s="235"/>
      <c r="NBI140" s="235"/>
      <c r="NBJ140" s="235"/>
      <c r="NBK140" s="235"/>
      <c r="NBL140" s="235"/>
      <c r="NBM140" s="235"/>
      <c r="NBN140" s="235"/>
      <c r="NBO140" s="235"/>
      <c r="NBP140" s="235"/>
      <c r="NBQ140" s="235"/>
      <c r="NBR140" s="235"/>
      <c r="NBS140" s="235"/>
      <c r="NBT140" s="235"/>
      <c r="NBU140" s="235"/>
      <c r="NBV140" s="235"/>
      <c r="NBW140" s="235"/>
      <c r="NBX140" s="235"/>
      <c r="NBY140" s="235"/>
      <c r="NBZ140" s="235"/>
      <c r="NCA140" s="235"/>
      <c r="NCB140" s="235"/>
      <c r="NCC140" s="235"/>
      <c r="NCD140" s="235"/>
      <c r="NCE140" s="235"/>
      <c r="NCF140" s="235"/>
      <c r="NCG140" s="235"/>
      <c r="NCH140" s="235"/>
      <c r="NCI140" s="235"/>
      <c r="NCJ140" s="235"/>
      <c r="NCK140" s="235"/>
      <c r="NCL140" s="235"/>
      <c r="NCM140" s="235"/>
      <c r="NCN140" s="235"/>
      <c r="NCO140" s="235"/>
      <c r="NCP140" s="235"/>
      <c r="NCQ140" s="235"/>
      <c r="NCR140" s="235"/>
      <c r="NCS140" s="235"/>
      <c r="NCT140" s="235"/>
      <c r="NCU140" s="235"/>
      <c r="NCV140" s="235"/>
      <c r="NCW140" s="235"/>
      <c r="NCX140" s="235"/>
      <c r="NCY140" s="235"/>
      <c r="NCZ140" s="235"/>
      <c r="NDA140" s="235"/>
      <c r="NDB140" s="235"/>
      <c r="NDC140" s="235"/>
      <c r="NDD140" s="235"/>
      <c r="NDE140" s="235"/>
      <c r="NDF140" s="235"/>
      <c r="NDG140" s="235"/>
      <c r="NDH140" s="235"/>
      <c r="NDI140" s="235"/>
      <c r="NDJ140" s="235"/>
      <c r="NDK140" s="235"/>
      <c r="NDL140" s="235"/>
      <c r="NDM140" s="235"/>
      <c r="NDN140" s="235"/>
      <c r="NDO140" s="235"/>
      <c r="NDP140" s="235"/>
      <c r="NDQ140" s="235"/>
      <c r="NDR140" s="235"/>
      <c r="NDS140" s="235"/>
      <c r="NDT140" s="235"/>
      <c r="NDU140" s="235"/>
      <c r="NDV140" s="235"/>
      <c r="NDW140" s="235"/>
      <c r="NDX140" s="235"/>
      <c r="NDY140" s="235"/>
      <c r="NDZ140" s="235"/>
      <c r="NEA140" s="235"/>
      <c r="NEB140" s="235"/>
      <c r="NEC140" s="235"/>
      <c r="NED140" s="235"/>
      <c r="NEE140" s="235"/>
      <c r="NEF140" s="235"/>
      <c r="NEG140" s="235"/>
      <c r="NEH140" s="235"/>
      <c r="NEI140" s="235"/>
      <c r="NEJ140" s="235"/>
      <c r="NEK140" s="235"/>
      <c r="NEL140" s="235"/>
      <c r="NEM140" s="235"/>
      <c r="NEN140" s="235"/>
      <c r="NEO140" s="235"/>
      <c r="NEP140" s="235"/>
      <c r="NEQ140" s="235"/>
      <c r="NER140" s="235"/>
      <c r="NES140" s="235"/>
      <c r="NET140" s="235"/>
      <c r="NEU140" s="235"/>
      <c r="NEV140" s="235"/>
      <c r="NEW140" s="235"/>
      <c r="NEX140" s="235"/>
      <c r="NEY140" s="235"/>
      <c r="NEZ140" s="235"/>
      <c r="NFA140" s="235"/>
      <c r="NFB140" s="235"/>
      <c r="NFC140" s="235"/>
      <c r="NFD140" s="235"/>
      <c r="NFE140" s="235"/>
      <c r="NFF140" s="235"/>
      <c r="NFG140" s="235"/>
      <c r="NFH140" s="235"/>
      <c r="NFI140" s="235"/>
      <c r="NFJ140" s="235"/>
      <c r="NFK140" s="235"/>
      <c r="NFL140" s="235"/>
      <c r="NFM140" s="235"/>
      <c r="NFN140" s="235"/>
      <c r="NFO140" s="235"/>
      <c r="NFP140" s="235"/>
      <c r="NFQ140" s="235"/>
      <c r="NFR140" s="235"/>
      <c r="NFS140" s="235"/>
      <c r="NFT140" s="235"/>
      <c r="NFU140" s="235"/>
      <c r="NFV140" s="235"/>
      <c r="NFW140" s="235"/>
      <c r="NFX140" s="235"/>
      <c r="NFY140" s="235"/>
      <c r="NFZ140" s="235"/>
      <c r="NGA140" s="235"/>
      <c r="NGB140" s="235"/>
      <c r="NGC140" s="235"/>
      <c r="NGD140" s="235"/>
      <c r="NGE140" s="235"/>
      <c r="NGF140" s="235"/>
      <c r="NGG140" s="235"/>
      <c r="NGH140" s="235"/>
      <c r="NGI140" s="235"/>
      <c r="NGJ140" s="235"/>
      <c r="NGK140" s="235"/>
      <c r="NGL140" s="235"/>
      <c r="NGM140" s="235"/>
      <c r="NGN140" s="235"/>
      <c r="NGO140" s="235"/>
      <c r="NGP140" s="235"/>
      <c r="NGQ140" s="235"/>
      <c r="NGR140" s="235"/>
      <c r="NGS140" s="235"/>
      <c r="NGT140" s="235"/>
      <c r="NGU140" s="235"/>
      <c r="NGV140" s="235"/>
      <c r="NGW140" s="235"/>
      <c r="NGX140" s="235"/>
      <c r="NGY140" s="235"/>
      <c r="NGZ140" s="235"/>
      <c r="NHA140" s="235"/>
      <c r="NHB140" s="235"/>
      <c r="NHC140" s="235"/>
      <c r="NHD140" s="235"/>
      <c r="NHE140" s="235"/>
      <c r="NHF140" s="235"/>
      <c r="NHG140" s="235"/>
      <c r="NHH140" s="235"/>
      <c r="NHI140" s="235"/>
      <c r="NHJ140" s="235"/>
      <c r="NHK140" s="235"/>
      <c r="NHL140" s="235"/>
      <c r="NHM140" s="235"/>
      <c r="NHN140" s="235"/>
      <c r="NHO140" s="235"/>
      <c r="NHP140" s="235"/>
      <c r="NHQ140" s="235"/>
      <c r="NHR140" s="235"/>
      <c r="NHS140" s="235"/>
      <c r="NHT140" s="235"/>
      <c r="NHU140" s="235"/>
      <c r="NHV140" s="235"/>
      <c r="NHW140" s="235"/>
      <c r="NHX140" s="235"/>
      <c r="NHY140" s="235"/>
      <c r="NHZ140" s="235"/>
      <c r="NIA140" s="235"/>
      <c r="NIB140" s="235"/>
      <c r="NIC140" s="235"/>
      <c r="NID140" s="235"/>
      <c r="NIE140" s="235"/>
      <c r="NIF140" s="235"/>
      <c r="NIG140" s="235"/>
      <c r="NIH140" s="235"/>
      <c r="NII140" s="235"/>
      <c r="NIJ140" s="235"/>
      <c r="NIK140" s="235"/>
      <c r="NIL140" s="235"/>
      <c r="NIM140" s="235"/>
      <c r="NIN140" s="235"/>
      <c r="NIO140" s="235"/>
      <c r="NIP140" s="235"/>
      <c r="NIQ140" s="235"/>
      <c r="NIR140" s="235"/>
      <c r="NIS140" s="235"/>
      <c r="NIT140" s="235"/>
      <c r="NIU140" s="235"/>
      <c r="NIV140" s="235"/>
      <c r="NIW140" s="235"/>
      <c r="NIX140" s="235"/>
      <c r="NIY140" s="235"/>
      <c r="NIZ140" s="235"/>
      <c r="NJA140" s="235"/>
      <c r="NJB140" s="235"/>
      <c r="NJC140" s="235"/>
      <c r="NJD140" s="235"/>
      <c r="NJE140" s="235"/>
      <c r="NJF140" s="235"/>
      <c r="NJG140" s="235"/>
      <c r="NJH140" s="235"/>
      <c r="NJI140" s="235"/>
      <c r="NJJ140" s="235"/>
      <c r="NJK140" s="235"/>
      <c r="NJL140" s="235"/>
      <c r="NJM140" s="235"/>
      <c r="NJN140" s="235"/>
      <c r="NJO140" s="235"/>
      <c r="NJP140" s="235"/>
      <c r="NJQ140" s="235"/>
      <c r="NJR140" s="235"/>
      <c r="NJS140" s="235"/>
      <c r="NJT140" s="235"/>
      <c r="NJU140" s="235"/>
      <c r="NJV140" s="235"/>
      <c r="NJW140" s="235"/>
      <c r="NJX140" s="235"/>
      <c r="NJY140" s="235"/>
      <c r="NJZ140" s="235"/>
      <c r="NKA140" s="235"/>
      <c r="NKB140" s="235"/>
      <c r="NKC140" s="235"/>
      <c r="NKD140" s="235"/>
      <c r="NKE140" s="235"/>
      <c r="NKF140" s="235"/>
      <c r="NKG140" s="235"/>
      <c r="NKH140" s="235"/>
      <c r="NKI140" s="235"/>
      <c r="NKJ140" s="235"/>
      <c r="NKK140" s="235"/>
      <c r="NKL140" s="235"/>
      <c r="NKM140" s="235"/>
      <c r="NKN140" s="235"/>
      <c r="NKO140" s="235"/>
      <c r="NKP140" s="235"/>
      <c r="NKQ140" s="235"/>
      <c r="NKR140" s="235"/>
      <c r="NKS140" s="235"/>
      <c r="NKT140" s="235"/>
      <c r="NKU140" s="235"/>
      <c r="NKV140" s="235"/>
      <c r="NKW140" s="235"/>
      <c r="NKX140" s="235"/>
      <c r="NKY140" s="235"/>
      <c r="NKZ140" s="235"/>
      <c r="NLA140" s="235"/>
      <c r="NLB140" s="235"/>
      <c r="NLC140" s="235"/>
      <c r="NLD140" s="235"/>
      <c r="NLE140" s="235"/>
      <c r="NLF140" s="235"/>
      <c r="NLG140" s="235"/>
      <c r="NLH140" s="235"/>
      <c r="NLI140" s="235"/>
      <c r="NLJ140" s="235"/>
      <c r="NLK140" s="235"/>
      <c r="NLL140" s="235"/>
      <c r="NLM140" s="235"/>
      <c r="NLN140" s="235"/>
      <c r="NLO140" s="235"/>
      <c r="NLP140" s="235"/>
      <c r="NLQ140" s="235"/>
      <c r="NLR140" s="235"/>
      <c r="NLS140" s="235"/>
      <c r="NLT140" s="235"/>
      <c r="NLU140" s="235"/>
      <c r="NLV140" s="235"/>
      <c r="NLW140" s="235"/>
      <c r="NLX140" s="235"/>
      <c r="NLY140" s="235"/>
      <c r="NLZ140" s="235"/>
      <c r="NMA140" s="235"/>
      <c r="NMB140" s="235"/>
      <c r="NMC140" s="235"/>
      <c r="NMD140" s="235"/>
      <c r="NME140" s="235"/>
      <c r="NMF140" s="235"/>
      <c r="NMG140" s="235"/>
      <c r="NMH140" s="235"/>
      <c r="NMI140" s="235"/>
      <c r="NMJ140" s="235"/>
      <c r="NMK140" s="235"/>
      <c r="NML140" s="235"/>
      <c r="NMM140" s="235"/>
      <c r="NMN140" s="235"/>
      <c r="NMO140" s="235"/>
      <c r="NMP140" s="235"/>
      <c r="NMQ140" s="235"/>
      <c r="NMR140" s="235"/>
      <c r="NMS140" s="235"/>
      <c r="NMT140" s="235"/>
      <c r="NMU140" s="235"/>
      <c r="NMV140" s="235"/>
      <c r="NMW140" s="235"/>
      <c r="NMX140" s="235"/>
      <c r="NMY140" s="235"/>
      <c r="NMZ140" s="235"/>
      <c r="NNA140" s="235"/>
      <c r="NNB140" s="235"/>
      <c r="NNC140" s="235"/>
      <c r="NND140" s="235"/>
      <c r="NNE140" s="235"/>
      <c r="NNF140" s="235"/>
      <c r="NNG140" s="235"/>
      <c r="NNH140" s="235"/>
      <c r="NNI140" s="235"/>
      <c r="NNJ140" s="235"/>
      <c r="NNK140" s="235"/>
      <c r="NNL140" s="235"/>
      <c r="NNM140" s="235"/>
      <c r="NNN140" s="235"/>
      <c r="NNO140" s="235"/>
      <c r="NNP140" s="235"/>
      <c r="NNQ140" s="235"/>
      <c r="NNR140" s="235"/>
      <c r="NNS140" s="235"/>
      <c r="NNT140" s="235"/>
      <c r="NNU140" s="235"/>
      <c r="NNV140" s="235"/>
      <c r="NNW140" s="235"/>
      <c r="NNX140" s="235"/>
      <c r="NNY140" s="235"/>
      <c r="NNZ140" s="235"/>
      <c r="NOA140" s="235"/>
      <c r="NOB140" s="235"/>
      <c r="NOC140" s="235"/>
      <c r="NOD140" s="235"/>
      <c r="NOE140" s="235"/>
      <c r="NOF140" s="235"/>
      <c r="NOG140" s="235"/>
      <c r="NOH140" s="235"/>
      <c r="NOI140" s="235"/>
      <c r="NOJ140" s="235"/>
      <c r="NOK140" s="235"/>
      <c r="NOL140" s="235"/>
      <c r="NOM140" s="235"/>
      <c r="NON140" s="235"/>
      <c r="NOO140" s="235"/>
      <c r="NOP140" s="235"/>
      <c r="NOQ140" s="235"/>
      <c r="NOR140" s="235"/>
      <c r="NOS140" s="235"/>
      <c r="NOT140" s="235"/>
      <c r="NOU140" s="235"/>
      <c r="NOV140" s="235"/>
      <c r="NOW140" s="235"/>
      <c r="NOX140" s="235"/>
      <c r="NOY140" s="235"/>
      <c r="NOZ140" s="235"/>
      <c r="NPA140" s="235"/>
      <c r="NPB140" s="235"/>
      <c r="NPC140" s="235"/>
      <c r="NPD140" s="235"/>
      <c r="NPE140" s="235"/>
      <c r="NPF140" s="235"/>
      <c r="NPG140" s="235"/>
      <c r="NPH140" s="235"/>
      <c r="NPI140" s="235"/>
      <c r="NPJ140" s="235"/>
      <c r="NPK140" s="235"/>
      <c r="NPL140" s="235"/>
      <c r="NPM140" s="235"/>
      <c r="NPN140" s="235"/>
      <c r="NPO140" s="235"/>
      <c r="NPP140" s="235"/>
      <c r="NPQ140" s="235"/>
      <c r="NPR140" s="235"/>
      <c r="NPS140" s="235"/>
      <c r="NPT140" s="235"/>
      <c r="NPU140" s="235"/>
      <c r="NPV140" s="235"/>
      <c r="NPW140" s="235"/>
      <c r="NPX140" s="235"/>
      <c r="NPY140" s="235"/>
      <c r="NPZ140" s="235"/>
      <c r="NQA140" s="235"/>
      <c r="NQB140" s="235"/>
      <c r="NQC140" s="235"/>
      <c r="NQD140" s="235"/>
      <c r="NQE140" s="235"/>
      <c r="NQF140" s="235"/>
      <c r="NQG140" s="235"/>
      <c r="NQH140" s="235"/>
      <c r="NQI140" s="235"/>
      <c r="NQJ140" s="235"/>
      <c r="NQK140" s="235"/>
      <c r="NQL140" s="235"/>
      <c r="NQM140" s="235"/>
      <c r="NQN140" s="235"/>
      <c r="NQO140" s="235"/>
      <c r="NQP140" s="235"/>
      <c r="NQQ140" s="235"/>
      <c r="NQR140" s="235"/>
      <c r="NQS140" s="235"/>
      <c r="NQT140" s="235"/>
      <c r="NQU140" s="235"/>
      <c r="NQV140" s="235"/>
      <c r="NQW140" s="235"/>
      <c r="NQX140" s="235"/>
      <c r="NQY140" s="235"/>
      <c r="NQZ140" s="235"/>
      <c r="NRA140" s="235"/>
      <c r="NRB140" s="235"/>
      <c r="NRC140" s="235"/>
      <c r="NRD140" s="235"/>
      <c r="NRE140" s="235"/>
      <c r="NRF140" s="235"/>
      <c r="NRG140" s="235"/>
      <c r="NRH140" s="235"/>
      <c r="NRI140" s="235"/>
      <c r="NRJ140" s="235"/>
      <c r="NRK140" s="235"/>
      <c r="NRL140" s="235"/>
      <c r="NRM140" s="235"/>
      <c r="NRN140" s="235"/>
      <c r="NRO140" s="235"/>
      <c r="NRP140" s="235"/>
      <c r="NRQ140" s="235"/>
      <c r="NRR140" s="235"/>
      <c r="NRS140" s="235"/>
      <c r="NRT140" s="235"/>
      <c r="NRU140" s="235"/>
      <c r="NRV140" s="235"/>
      <c r="NRW140" s="235"/>
      <c r="NRX140" s="235"/>
      <c r="NRY140" s="235"/>
      <c r="NRZ140" s="235"/>
      <c r="NSA140" s="235"/>
      <c r="NSB140" s="235"/>
      <c r="NSC140" s="235"/>
      <c r="NSD140" s="235"/>
      <c r="NSE140" s="235"/>
      <c r="NSF140" s="235"/>
      <c r="NSG140" s="235"/>
      <c r="NSH140" s="235"/>
      <c r="NSI140" s="235"/>
      <c r="NSJ140" s="235"/>
      <c r="NSK140" s="235"/>
      <c r="NSL140" s="235"/>
      <c r="NSM140" s="235"/>
      <c r="NSN140" s="235"/>
      <c r="NSO140" s="235"/>
      <c r="NSP140" s="235"/>
      <c r="NSQ140" s="235"/>
      <c r="NSR140" s="235"/>
      <c r="NSS140" s="235"/>
      <c r="NST140" s="235"/>
      <c r="NSU140" s="235"/>
      <c r="NSV140" s="235"/>
      <c r="NSW140" s="235"/>
      <c r="NSX140" s="235"/>
      <c r="NSY140" s="235"/>
      <c r="NSZ140" s="235"/>
      <c r="NTA140" s="235"/>
      <c r="NTB140" s="235"/>
      <c r="NTC140" s="235"/>
      <c r="NTD140" s="235"/>
      <c r="NTE140" s="235"/>
      <c r="NTF140" s="235"/>
      <c r="NTG140" s="235"/>
      <c r="NTH140" s="235"/>
      <c r="NTI140" s="235"/>
      <c r="NTJ140" s="235"/>
      <c r="NTK140" s="235"/>
      <c r="NTL140" s="235"/>
      <c r="NTM140" s="235"/>
      <c r="NTN140" s="235"/>
      <c r="NTO140" s="235"/>
      <c r="NTP140" s="235"/>
      <c r="NTQ140" s="235"/>
      <c r="NTR140" s="235"/>
      <c r="NTS140" s="235"/>
      <c r="NTT140" s="235"/>
      <c r="NTU140" s="235"/>
      <c r="NTV140" s="235"/>
      <c r="NTW140" s="235"/>
      <c r="NTX140" s="235"/>
      <c r="NTY140" s="235"/>
      <c r="NTZ140" s="235"/>
      <c r="NUA140" s="235"/>
      <c r="NUB140" s="235"/>
      <c r="NUC140" s="235"/>
      <c r="NUD140" s="235"/>
      <c r="NUE140" s="235"/>
      <c r="NUF140" s="235"/>
      <c r="NUG140" s="235"/>
      <c r="NUH140" s="235"/>
      <c r="NUI140" s="235"/>
      <c r="NUJ140" s="235"/>
      <c r="NUK140" s="235"/>
      <c r="NUL140" s="235"/>
      <c r="NUM140" s="235"/>
      <c r="NUN140" s="235"/>
      <c r="NUO140" s="235"/>
      <c r="NUP140" s="235"/>
      <c r="NUQ140" s="235"/>
      <c r="NUR140" s="235"/>
      <c r="NUS140" s="235"/>
      <c r="NUT140" s="235"/>
      <c r="NUU140" s="235"/>
      <c r="NUV140" s="235"/>
      <c r="NUW140" s="235"/>
      <c r="NUX140" s="235"/>
      <c r="NUY140" s="235"/>
      <c r="NUZ140" s="235"/>
      <c r="NVA140" s="235"/>
      <c r="NVB140" s="235"/>
      <c r="NVC140" s="235"/>
      <c r="NVD140" s="235"/>
      <c r="NVE140" s="235"/>
      <c r="NVF140" s="235"/>
      <c r="NVG140" s="235"/>
      <c r="NVH140" s="235"/>
      <c r="NVI140" s="235"/>
      <c r="NVJ140" s="235"/>
      <c r="NVK140" s="235"/>
      <c r="NVL140" s="235"/>
      <c r="NVM140" s="235"/>
      <c r="NVN140" s="235"/>
      <c r="NVO140" s="235"/>
      <c r="NVP140" s="235"/>
      <c r="NVQ140" s="235"/>
      <c r="NVR140" s="235"/>
      <c r="NVS140" s="235"/>
      <c r="NVT140" s="235"/>
      <c r="NVU140" s="235"/>
      <c r="NVV140" s="235"/>
      <c r="NVW140" s="235"/>
      <c r="NVX140" s="235"/>
      <c r="NVY140" s="235"/>
      <c r="NVZ140" s="235"/>
      <c r="NWA140" s="235"/>
      <c r="NWB140" s="235"/>
      <c r="NWC140" s="235"/>
      <c r="NWD140" s="235"/>
      <c r="NWE140" s="235"/>
      <c r="NWF140" s="235"/>
      <c r="NWG140" s="235"/>
      <c r="NWH140" s="235"/>
      <c r="NWI140" s="235"/>
      <c r="NWJ140" s="235"/>
      <c r="NWK140" s="235"/>
      <c r="NWL140" s="235"/>
      <c r="NWM140" s="235"/>
      <c r="NWN140" s="235"/>
      <c r="NWO140" s="235"/>
      <c r="NWP140" s="235"/>
      <c r="NWQ140" s="235"/>
      <c r="NWR140" s="235"/>
      <c r="NWS140" s="235"/>
      <c r="NWT140" s="235"/>
      <c r="NWU140" s="235"/>
      <c r="NWV140" s="235"/>
      <c r="NWW140" s="235"/>
      <c r="NWX140" s="235"/>
      <c r="NWY140" s="235"/>
      <c r="NWZ140" s="235"/>
      <c r="NXA140" s="235"/>
      <c r="NXB140" s="235"/>
      <c r="NXC140" s="235"/>
      <c r="NXD140" s="235"/>
      <c r="NXE140" s="235"/>
      <c r="NXF140" s="235"/>
      <c r="NXG140" s="235"/>
      <c r="NXH140" s="235"/>
      <c r="NXI140" s="235"/>
      <c r="NXJ140" s="235"/>
      <c r="NXK140" s="235"/>
      <c r="NXL140" s="235"/>
      <c r="NXM140" s="235"/>
      <c r="NXN140" s="235"/>
      <c r="NXO140" s="235"/>
      <c r="NXP140" s="235"/>
      <c r="NXQ140" s="235"/>
      <c r="NXR140" s="235"/>
      <c r="NXS140" s="235"/>
      <c r="NXT140" s="235"/>
      <c r="NXU140" s="235"/>
      <c r="NXV140" s="235"/>
      <c r="NXW140" s="235"/>
      <c r="NXX140" s="235"/>
      <c r="NXY140" s="235"/>
      <c r="NXZ140" s="235"/>
      <c r="NYA140" s="235"/>
      <c r="NYB140" s="235"/>
      <c r="NYC140" s="235"/>
      <c r="NYD140" s="235"/>
      <c r="NYE140" s="235"/>
      <c r="NYF140" s="235"/>
      <c r="NYG140" s="235"/>
      <c r="NYH140" s="235"/>
      <c r="NYI140" s="235"/>
      <c r="NYJ140" s="235"/>
      <c r="NYK140" s="235"/>
      <c r="NYL140" s="235"/>
      <c r="NYM140" s="235"/>
      <c r="NYN140" s="235"/>
      <c r="NYO140" s="235"/>
      <c r="NYP140" s="235"/>
      <c r="NYQ140" s="235"/>
      <c r="NYR140" s="235"/>
      <c r="NYS140" s="235"/>
      <c r="NYT140" s="235"/>
      <c r="NYU140" s="235"/>
      <c r="NYV140" s="235"/>
      <c r="NYW140" s="235"/>
      <c r="NYX140" s="235"/>
      <c r="NYY140" s="235"/>
      <c r="NYZ140" s="235"/>
      <c r="NZA140" s="235"/>
      <c r="NZB140" s="235"/>
      <c r="NZC140" s="235"/>
      <c r="NZD140" s="235"/>
      <c r="NZE140" s="235"/>
      <c r="NZF140" s="235"/>
      <c r="NZG140" s="235"/>
      <c r="NZH140" s="235"/>
      <c r="NZI140" s="235"/>
      <c r="NZJ140" s="235"/>
      <c r="NZK140" s="235"/>
      <c r="NZL140" s="235"/>
      <c r="NZM140" s="235"/>
      <c r="NZN140" s="235"/>
      <c r="NZO140" s="235"/>
      <c r="NZP140" s="235"/>
      <c r="NZQ140" s="235"/>
      <c r="NZR140" s="235"/>
      <c r="NZS140" s="235"/>
      <c r="NZT140" s="235"/>
      <c r="NZU140" s="235"/>
      <c r="NZV140" s="235"/>
      <c r="NZW140" s="235"/>
      <c r="NZX140" s="235"/>
      <c r="NZY140" s="235"/>
      <c r="NZZ140" s="235"/>
      <c r="OAA140" s="235"/>
      <c r="OAB140" s="235"/>
      <c r="OAC140" s="235"/>
      <c r="OAD140" s="235"/>
      <c r="OAE140" s="235"/>
      <c r="OAF140" s="235"/>
      <c r="OAG140" s="235"/>
      <c r="OAH140" s="235"/>
      <c r="OAI140" s="235"/>
      <c r="OAJ140" s="235"/>
      <c r="OAK140" s="235"/>
      <c r="OAL140" s="235"/>
      <c r="OAM140" s="235"/>
      <c r="OAN140" s="235"/>
      <c r="OAO140" s="235"/>
      <c r="OAP140" s="235"/>
      <c r="OAQ140" s="235"/>
      <c r="OAR140" s="235"/>
      <c r="OAS140" s="235"/>
      <c r="OAT140" s="235"/>
      <c r="OAU140" s="235"/>
      <c r="OAV140" s="235"/>
      <c r="OAW140" s="235"/>
      <c r="OAX140" s="235"/>
      <c r="OAY140" s="235"/>
      <c r="OAZ140" s="235"/>
      <c r="OBA140" s="235"/>
      <c r="OBB140" s="235"/>
      <c r="OBC140" s="235"/>
      <c r="OBD140" s="235"/>
      <c r="OBE140" s="235"/>
      <c r="OBF140" s="235"/>
      <c r="OBG140" s="235"/>
      <c r="OBH140" s="235"/>
      <c r="OBI140" s="235"/>
      <c r="OBJ140" s="235"/>
      <c r="OBK140" s="235"/>
      <c r="OBL140" s="235"/>
      <c r="OBM140" s="235"/>
      <c r="OBN140" s="235"/>
      <c r="OBO140" s="235"/>
      <c r="OBP140" s="235"/>
      <c r="OBQ140" s="235"/>
      <c r="OBR140" s="235"/>
      <c r="OBS140" s="235"/>
      <c r="OBT140" s="235"/>
      <c r="OBU140" s="235"/>
      <c r="OBV140" s="235"/>
      <c r="OBW140" s="235"/>
      <c r="OBX140" s="235"/>
      <c r="OBY140" s="235"/>
      <c r="OBZ140" s="235"/>
      <c r="OCA140" s="235"/>
      <c r="OCB140" s="235"/>
      <c r="OCC140" s="235"/>
      <c r="OCD140" s="235"/>
      <c r="OCE140" s="235"/>
      <c r="OCF140" s="235"/>
      <c r="OCG140" s="235"/>
      <c r="OCH140" s="235"/>
      <c r="OCI140" s="235"/>
      <c r="OCJ140" s="235"/>
      <c r="OCK140" s="235"/>
      <c r="OCL140" s="235"/>
      <c r="OCM140" s="235"/>
      <c r="OCN140" s="235"/>
      <c r="OCO140" s="235"/>
      <c r="OCP140" s="235"/>
      <c r="OCQ140" s="235"/>
      <c r="OCR140" s="235"/>
      <c r="OCS140" s="235"/>
      <c r="OCT140" s="235"/>
      <c r="OCU140" s="235"/>
      <c r="OCV140" s="235"/>
      <c r="OCW140" s="235"/>
      <c r="OCX140" s="235"/>
      <c r="OCY140" s="235"/>
      <c r="OCZ140" s="235"/>
      <c r="ODA140" s="235"/>
      <c r="ODB140" s="235"/>
      <c r="ODC140" s="235"/>
      <c r="ODD140" s="235"/>
      <c r="ODE140" s="235"/>
      <c r="ODF140" s="235"/>
      <c r="ODG140" s="235"/>
      <c r="ODH140" s="235"/>
      <c r="ODI140" s="235"/>
      <c r="ODJ140" s="235"/>
      <c r="ODK140" s="235"/>
      <c r="ODL140" s="235"/>
      <c r="ODM140" s="235"/>
      <c r="ODN140" s="235"/>
      <c r="ODO140" s="235"/>
      <c r="ODP140" s="235"/>
      <c r="ODQ140" s="235"/>
      <c r="ODR140" s="235"/>
      <c r="ODS140" s="235"/>
      <c r="ODT140" s="235"/>
      <c r="ODU140" s="235"/>
      <c r="ODV140" s="235"/>
      <c r="ODW140" s="235"/>
      <c r="ODX140" s="235"/>
      <c r="ODY140" s="235"/>
      <c r="ODZ140" s="235"/>
      <c r="OEA140" s="235"/>
      <c r="OEB140" s="235"/>
      <c r="OEC140" s="235"/>
      <c r="OED140" s="235"/>
      <c r="OEE140" s="235"/>
      <c r="OEF140" s="235"/>
      <c r="OEG140" s="235"/>
      <c r="OEH140" s="235"/>
      <c r="OEI140" s="235"/>
      <c r="OEJ140" s="235"/>
      <c r="OEK140" s="235"/>
      <c r="OEL140" s="235"/>
      <c r="OEM140" s="235"/>
      <c r="OEN140" s="235"/>
      <c r="OEO140" s="235"/>
      <c r="OEP140" s="235"/>
      <c r="OEQ140" s="235"/>
      <c r="OER140" s="235"/>
      <c r="OES140" s="235"/>
      <c r="OET140" s="235"/>
      <c r="OEU140" s="235"/>
      <c r="OEV140" s="235"/>
      <c r="OEW140" s="235"/>
      <c r="OEX140" s="235"/>
      <c r="OEY140" s="235"/>
      <c r="OEZ140" s="235"/>
      <c r="OFA140" s="235"/>
      <c r="OFB140" s="235"/>
      <c r="OFC140" s="235"/>
      <c r="OFD140" s="235"/>
      <c r="OFE140" s="235"/>
      <c r="OFF140" s="235"/>
      <c r="OFG140" s="235"/>
      <c r="OFH140" s="235"/>
      <c r="OFI140" s="235"/>
      <c r="OFJ140" s="235"/>
      <c r="OFK140" s="235"/>
      <c r="OFL140" s="235"/>
      <c r="OFM140" s="235"/>
      <c r="OFN140" s="235"/>
      <c r="OFO140" s="235"/>
      <c r="OFP140" s="235"/>
      <c r="OFQ140" s="235"/>
      <c r="OFR140" s="235"/>
      <c r="OFS140" s="235"/>
      <c r="OFT140" s="235"/>
      <c r="OFU140" s="235"/>
      <c r="OFV140" s="235"/>
      <c r="OFW140" s="235"/>
      <c r="OFX140" s="235"/>
      <c r="OFY140" s="235"/>
      <c r="OFZ140" s="235"/>
      <c r="OGA140" s="235"/>
      <c r="OGB140" s="235"/>
      <c r="OGC140" s="235"/>
      <c r="OGD140" s="235"/>
      <c r="OGE140" s="235"/>
      <c r="OGF140" s="235"/>
      <c r="OGG140" s="235"/>
      <c r="OGH140" s="235"/>
      <c r="OGI140" s="235"/>
      <c r="OGJ140" s="235"/>
      <c r="OGK140" s="235"/>
      <c r="OGL140" s="235"/>
      <c r="OGM140" s="235"/>
      <c r="OGN140" s="235"/>
      <c r="OGO140" s="235"/>
      <c r="OGP140" s="235"/>
      <c r="OGQ140" s="235"/>
      <c r="OGR140" s="235"/>
      <c r="OGS140" s="235"/>
      <c r="OGT140" s="235"/>
      <c r="OGU140" s="235"/>
      <c r="OGV140" s="235"/>
      <c r="OGW140" s="235"/>
      <c r="OGX140" s="235"/>
      <c r="OGY140" s="235"/>
      <c r="OGZ140" s="235"/>
      <c r="OHA140" s="235"/>
      <c r="OHB140" s="235"/>
      <c r="OHC140" s="235"/>
      <c r="OHD140" s="235"/>
      <c r="OHE140" s="235"/>
      <c r="OHF140" s="235"/>
      <c r="OHG140" s="235"/>
      <c r="OHH140" s="235"/>
      <c r="OHI140" s="235"/>
      <c r="OHJ140" s="235"/>
      <c r="OHK140" s="235"/>
      <c r="OHL140" s="235"/>
      <c r="OHM140" s="235"/>
      <c r="OHN140" s="235"/>
      <c r="OHO140" s="235"/>
      <c r="OHP140" s="235"/>
      <c r="OHQ140" s="235"/>
      <c r="OHR140" s="235"/>
      <c r="OHS140" s="235"/>
      <c r="OHT140" s="235"/>
      <c r="OHU140" s="235"/>
      <c r="OHV140" s="235"/>
      <c r="OHW140" s="235"/>
      <c r="OHX140" s="235"/>
      <c r="OHY140" s="235"/>
      <c r="OHZ140" s="235"/>
      <c r="OIA140" s="235"/>
      <c r="OIB140" s="235"/>
      <c r="OIC140" s="235"/>
      <c r="OID140" s="235"/>
      <c r="OIE140" s="235"/>
      <c r="OIF140" s="235"/>
      <c r="OIG140" s="235"/>
      <c r="OIH140" s="235"/>
      <c r="OII140" s="235"/>
      <c r="OIJ140" s="235"/>
      <c r="OIK140" s="235"/>
      <c r="OIL140" s="235"/>
      <c r="OIM140" s="235"/>
      <c r="OIN140" s="235"/>
      <c r="OIO140" s="235"/>
      <c r="OIP140" s="235"/>
      <c r="OIQ140" s="235"/>
      <c r="OIR140" s="235"/>
      <c r="OIS140" s="235"/>
      <c r="OIT140" s="235"/>
      <c r="OIU140" s="235"/>
      <c r="OIV140" s="235"/>
      <c r="OIW140" s="235"/>
      <c r="OIX140" s="235"/>
      <c r="OIY140" s="235"/>
      <c r="OIZ140" s="235"/>
      <c r="OJA140" s="235"/>
      <c r="OJB140" s="235"/>
      <c r="OJC140" s="235"/>
      <c r="OJD140" s="235"/>
      <c r="OJE140" s="235"/>
      <c r="OJF140" s="235"/>
      <c r="OJG140" s="235"/>
      <c r="OJH140" s="235"/>
      <c r="OJI140" s="235"/>
      <c r="OJJ140" s="235"/>
      <c r="OJK140" s="235"/>
      <c r="OJL140" s="235"/>
      <c r="OJM140" s="235"/>
      <c r="OJN140" s="235"/>
      <c r="OJO140" s="235"/>
      <c r="OJP140" s="235"/>
      <c r="OJQ140" s="235"/>
      <c r="OJR140" s="235"/>
      <c r="OJS140" s="235"/>
      <c r="OJT140" s="235"/>
      <c r="OJU140" s="235"/>
      <c r="OJV140" s="235"/>
      <c r="OJW140" s="235"/>
      <c r="OJX140" s="235"/>
      <c r="OJY140" s="235"/>
      <c r="OJZ140" s="235"/>
      <c r="OKA140" s="235"/>
      <c r="OKB140" s="235"/>
      <c r="OKC140" s="235"/>
      <c r="OKD140" s="235"/>
      <c r="OKE140" s="235"/>
      <c r="OKF140" s="235"/>
      <c r="OKG140" s="235"/>
      <c r="OKH140" s="235"/>
      <c r="OKI140" s="235"/>
      <c r="OKJ140" s="235"/>
      <c r="OKK140" s="235"/>
      <c r="OKL140" s="235"/>
      <c r="OKM140" s="235"/>
      <c r="OKN140" s="235"/>
      <c r="OKO140" s="235"/>
      <c r="OKP140" s="235"/>
      <c r="OKQ140" s="235"/>
      <c r="OKR140" s="235"/>
      <c r="OKS140" s="235"/>
      <c r="OKT140" s="235"/>
      <c r="OKU140" s="235"/>
      <c r="OKV140" s="235"/>
      <c r="OKW140" s="235"/>
      <c r="OKX140" s="235"/>
      <c r="OKY140" s="235"/>
      <c r="OKZ140" s="235"/>
      <c r="OLA140" s="235"/>
      <c r="OLB140" s="235"/>
      <c r="OLC140" s="235"/>
      <c r="OLD140" s="235"/>
      <c r="OLE140" s="235"/>
      <c r="OLF140" s="235"/>
      <c r="OLG140" s="235"/>
      <c r="OLH140" s="235"/>
      <c r="OLI140" s="235"/>
      <c r="OLJ140" s="235"/>
      <c r="OLK140" s="235"/>
      <c r="OLL140" s="235"/>
      <c r="OLM140" s="235"/>
      <c r="OLN140" s="235"/>
      <c r="OLO140" s="235"/>
      <c r="OLP140" s="235"/>
      <c r="OLQ140" s="235"/>
      <c r="OLR140" s="235"/>
      <c r="OLS140" s="235"/>
      <c r="OLT140" s="235"/>
      <c r="OLU140" s="235"/>
      <c r="OLV140" s="235"/>
      <c r="OLW140" s="235"/>
      <c r="OLX140" s="235"/>
      <c r="OLY140" s="235"/>
      <c r="OLZ140" s="235"/>
      <c r="OMA140" s="235"/>
      <c r="OMB140" s="235"/>
      <c r="OMC140" s="235"/>
      <c r="OMD140" s="235"/>
      <c r="OME140" s="235"/>
      <c r="OMF140" s="235"/>
      <c r="OMG140" s="235"/>
      <c r="OMH140" s="235"/>
      <c r="OMI140" s="235"/>
      <c r="OMJ140" s="235"/>
      <c r="OMK140" s="235"/>
      <c r="OML140" s="235"/>
      <c r="OMM140" s="235"/>
      <c r="OMN140" s="235"/>
      <c r="OMO140" s="235"/>
      <c r="OMP140" s="235"/>
      <c r="OMQ140" s="235"/>
      <c r="OMR140" s="235"/>
      <c r="OMS140" s="235"/>
      <c r="OMT140" s="235"/>
      <c r="OMU140" s="235"/>
      <c r="OMV140" s="235"/>
      <c r="OMW140" s="235"/>
      <c r="OMX140" s="235"/>
      <c r="OMY140" s="235"/>
      <c r="OMZ140" s="235"/>
      <c r="ONA140" s="235"/>
      <c r="ONB140" s="235"/>
      <c r="ONC140" s="235"/>
      <c r="OND140" s="235"/>
      <c r="ONE140" s="235"/>
      <c r="ONF140" s="235"/>
      <c r="ONG140" s="235"/>
      <c r="ONH140" s="235"/>
      <c r="ONI140" s="235"/>
      <c r="ONJ140" s="235"/>
      <c r="ONK140" s="235"/>
      <c r="ONL140" s="235"/>
      <c r="ONM140" s="235"/>
      <c r="ONN140" s="235"/>
      <c r="ONO140" s="235"/>
      <c r="ONP140" s="235"/>
      <c r="ONQ140" s="235"/>
      <c r="ONR140" s="235"/>
      <c r="ONS140" s="235"/>
      <c r="ONT140" s="235"/>
      <c r="ONU140" s="235"/>
      <c r="ONV140" s="235"/>
      <c r="ONW140" s="235"/>
      <c r="ONX140" s="235"/>
      <c r="ONY140" s="235"/>
      <c r="ONZ140" s="235"/>
      <c r="OOA140" s="235"/>
      <c r="OOB140" s="235"/>
      <c r="OOC140" s="235"/>
      <c r="OOD140" s="235"/>
      <c r="OOE140" s="235"/>
      <c r="OOF140" s="235"/>
      <c r="OOG140" s="235"/>
      <c r="OOH140" s="235"/>
      <c r="OOI140" s="235"/>
      <c r="OOJ140" s="235"/>
      <c r="OOK140" s="235"/>
      <c r="OOL140" s="235"/>
      <c r="OOM140" s="235"/>
      <c r="OON140" s="235"/>
      <c r="OOO140" s="235"/>
      <c r="OOP140" s="235"/>
      <c r="OOQ140" s="235"/>
      <c r="OOR140" s="235"/>
      <c r="OOS140" s="235"/>
      <c r="OOT140" s="235"/>
      <c r="OOU140" s="235"/>
      <c r="OOV140" s="235"/>
      <c r="OOW140" s="235"/>
      <c r="OOX140" s="235"/>
      <c r="OOY140" s="235"/>
      <c r="OOZ140" s="235"/>
      <c r="OPA140" s="235"/>
      <c r="OPB140" s="235"/>
      <c r="OPC140" s="235"/>
      <c r="OPD140" s="235"/>
      <c r="OPE140" s="235"/>
      <c r="OPF140" s="235"/>
      <c r="OPG140" s="235"/>
      <c r="OPH140" s="235"/>
      <c r="OPI140" s="235"/>
      <c r="OPJ140" s="235"/>
      <c r="OPK140" s="235"/>
      <c r="OPL140" s="235"/>
      <c r="OPM140" s="235"/>
      <c r="OPN140" s="235"/>
      <c r="OPO140" s="235"/>
      <c r="OPP140" s="235"/>
      <c r="OPQ140" s="235"/>
      <c r="OPR140" s="235"/>
      <c r="OPS140" s="235"/>
      <c r="OPT140" s="235"/>
      <c r="OPU140" s="235"/>
      <c r="OPV140" s="235"/>
      <c r="OPW140" s="235"/>
      <c r="OPX140" s="235"/>
      <c r="OPY140" s="235"/>
      <c r="OPZ140" s="235"/>
      <c r="OQA140" s="235"/>
      <c r="OQB140" s="235"/>
      <c r="OQC140" s="235"/>
      <c r="OQD140" s="235"/>
      <c r="OQE140" s="235"/>
      <c r="OQF140" s="235"/>
      <c r="OQG140" s="235"/>
      <c r="OQH140" s="235"/>
      <c r="OQI140" s="235"/>
      <c r="OQJ140" s="235"/>
      <c r="OQK140" s="235"/>
      <c r="OQL140" s="235"/>
      <c r="OQM140" s="235"/>
      <c r="OQN140" s="235"/>
      <c r="OQO140" s="235"/>
      <c r="OQP140" s="235"/>
      <c r="OQQ140" s="235"/>
      <c r="OQR140" s="235"/>
      <c r="OQS140" s="235"/>
      <c r="OQT140" s="235"/>
      <c r="OQU140" s="235"/>
      <c r="OQV140" s="235"/>
      <c r="OQW140" s="235"/>
      <c r="OQX140" s="235"/>
      <c r="OQY140" s="235"/>
      <c r="OQZ140" s="235"/>
      <c r="ORA140" s="235"/>
      <c r="ORB140" s="235"/>
      <c r="ORC140" s="235"/>
      <c r="ORD140" s="235"/>
      <c r="ORE140" s="235"/>
      <c r="ORF140" s="235"/>
      <c r="ORG140" s="235"/>
      <c r="ORH140" s="235"/>
      <c r="ORI140" s="235"/>
      <c r="ORJ140" s="235"/>
      <c r="ORK140" s="235"/>
      <c r="ORL140" s="235"/>
      <c r="ORM140" s="235"/>
      <c r="ORN140" s="235"/>
      <c r="ORO140" s="235"/>
      <c r="ORP140" s="235"/>
      <c r="ORQ140" s="235"/>
      <c r="ORR140" s="235"/>
      <c r="ORS140" s="235"/>
      <c r="ORT140" s="235"/>
      <c r="ORU140" s="235"/>
      <c r="ORV140" s="235"/>
      <c r="ORW140" s="235"/>
      <c r="ORX140" s="235"/>
      <c r="ORY140" s="235"/>
      <c r="ORZ140" s="235"/>
      <c r="OSA140" s="235"/>
      <c r="OSB140" s="235"/>
      <c r="OSC140" s="235"/>
      <c r="OSD140" s="235"/>
      <c r="OSE140" s="235"/>
      <c r="OSF140" s="235"/>
      <c r="OSG140" s="235"/>
      <c r="OSH140" s="235"/>
      <c r="OSI140" s="235"/>
      <c r="OSJ140" s="235"/>
      <c r="OSK140" s="235"/>
      <c r="OSL140" s="235"/>
      <c r="OSM140" s="235"/>
      <c r="OSN140" s="235"/>
      <c r="OSO140" s="235"/>
      <c r="OSP140" s="235"/>
      <c r="OSQ140" s="235"/>
      <c r="OSR140" s="235"/>
      <c r="OSS140" s="235"/>
      <c r="OST140" s="235"/>
      <c r="OSU140" s="235"/>
      <c r="OSV140" s="235"/>
      <c r="OSW140" s="235"/>
      <c r="OSX140" s="235"/>
      <c r="OSY140" s="235"/>
      <c r="OSZ140" s="235"/>
      <c r="OTA140" s="235"/>
      <c r="OTB140" s="235"/>
      <c r="OTC140" s="235"/>
      <c r="OTD140" s="235"/>
      <c r="OTE140" s="235"/>
      <c r="OTF140" s="235"/>
      <c r="OTG140" s="235"/>
      <c r="OTH140" s="235"/>
      <c r="OTI140" s="235"/>
      <c r="OTJ140" s="235"/>
      <c r="OTK140" s="235"/>
      <c r="OTL140" s="235"/>
      <c r="OTM140" s="235"/>
      <c r="OTN140" s="235"/>
      <c r="OTO140" s="235"/>
      <c r="OTP140" s="235"/>
      <c r="OTQ140" s="235"/>
      <c r="OTR140" s="235"/>
      <c r="OTS140" s="235"/>
      <c r="OTT140" s="235"/>
      <c r="OTU140" s="235"/>
      <c r="OTV140" s="235"/>
      <c r="OTW140" s="235"/>
      <c r="OTX140" s="235"/>
      <c r="OTY140" s="235"/>
      <c r="OTZ140" s="235"/>
      <c r="OUA140" s="235"/>
      <c r="OUB140" s="235"/>
      <c r="OUC140" s="235"/>
      <c r="OUD140" s="235"/>
      <c r="OUE140" s="235"/>
      <c r="OUF140" s="235"/>
      <c r="OUG140" s="235"/>
      <c r="OUH140" s="235"/>
      <c r="OUI140" s="235"/>
      <c r="OUJ140" s="235"/>
      <c r="OUK140" s="235"/>
      <c r="OUL140" s="235"/>
      <c r="OUM140" s="235"/>
      <c r="OUN140" s="235"/>
      <c r="OUO140" s="235"/>
      <c r="OUP140" s="235"/>
      <c r="OUQ140" s="235"/>
      <c r="OUR140" s="235"/>
      <c r="OUS140" s="235"/>
      <c r="OUT140" s="235"/>
      <c r="OUU140" s="235"/>
      <c r="OUV140" s="235"/>
      <c r="OUW140" s="235"/>
      <c r="OUX140" s="235"/>
      <c r="OUY140" s="235"/>
      <c r="OUZ140" s="235"/>
      <c r="OVA140" s="235"/>
      <c r="OVB140" s="235"/>
      <c r="OVC140" s="235"/>
      <c r="OVD140" s="235"/>
      <c r="OVE140" s="235"/>
      <c r="OVF140" s="235"/>
      <c r="OVG140" s="235"/>
      <c r="OVH140" s="235"/>
      <c r="OVI140" s="235"/>
      <c r="OVJ140" s="235"/>
      <c r="OVK140" s="235"/>
      <c r="OVL140" s="235"/>
      <c r="OVM140" s="235"/>
      <c r="OVN140" s="235"/>
      <c r="OVO140" s="235"/>
      <c r="OVP140" s="235"/>
      <c r="OVQ140" s="235"/>
      <c r="OVR140" s="235"/>
      <c r="OVS140" s="235"/>
      <c r="OVT140" s="235"/>
      <c r="OVU140" s="235"/>
      <c r="OVV140" s="235"/>
      <c r="OVW140" s="235"/>
      <c r="OVX140" s="235"/>
      <c r="OVY140" s="235"/>
      <c r="OVZ140" s="235"/>
      <c r="OWA140" s="235"/>
      <c r="OWB140" s="235"/>
      <c r="OWC140" s="235"/>
      <c r="OWD140" s="235"/>
      <c r="OWE140" s="235"/>
      <c r="OWF140" s="235"/>
      <c r="OWG140" s="235"/>
      <c r="OWH140" s="235"/>
      <c r="OWI140" s="235"/>
      <c r="OWJ140" s="235"/>
      <c r="OWK140" s="235"/>
      <c r="OWL140" s="235"/>
      <c r="OWM140" s="235"/>
      <c r="OWN140" s="235"/>
      <c r="OWO140" s="235"/>
      <c r="OWP140" s="235"/>
      <c r="OWQ140" s="235"/>
      <c r="OWR140" s="235"/>
      <c r="OWS140" s="235"/>
      <c r="OWT140" s="235"/>
      <c r="OWU140" s="235"/>
      <c r="OWV140" s="235"/>
      <c r="OWW140" s="235"/>
      <c r="OWX140" s="235"/>
      <c r="OWY140" s="235"/>
      <c r="OWZ140" s="235"/>
      <c r="OXA140" s="235"/>
      <c r="OXB140" s="235"/>
      <c r="OXC140" s="235"/>
      <c r="OXD140" s="235"/>
      <c r="OXE140" s="235"/>
      <c r="OXF140" s="235"/>
      <c r="OXG140" s="235"/>
      <c r="OXH140" s="235"/>
      <c r="OXI140" s="235"/>
      <c r="OXJ140" s="235"/>
      <c r="OXK140" s="235"/>
      <c r="OXL140" s="235"/>
      <c r="OXM140" s="235"/>
      <c r="OXN140" s="235"/>
      <c r="OXO140" s="235"/>
      <c r="OXP140" s="235"/>
      <c r="OXQ140" s="235"/>
      <c r="OXR140" s="235"/>
      <c r="OXS140" s="235"/>
      <c r="OXT140" s="235"/>
      <c r="OXU140" s="235"/>
      <c r="OXV140" s="235"/>
      <c r="OXW140" s="235"/>
      <c r="OXX140" s="235"/>
      <c r="OXY140" s="235"/>
      <c r="OXZ140" s="235"/>
      <c r="OYA140" s="235"/>
      <c r="OYB140" s="235"/>
      <c r="OYC140" s="235"/>
      <c r="OYD140" s="235"/>
      <c r="OYE140" s="235"/>
      <c r="OYF140" s="235"/>
      <c r="OYG140" s="235"/>
      <c r="OYH140" s="235"/>
      <c r="OYI140" s="235"/>
      <c r="OYJ140" s="235"/>
      <c r="OYK140" s="235"/>
      <c r="OYL140" s="235"/>
      <c r="OYM140" s="235"/>
      <c r="OYN140" s="235"/>
      <c r="OYO140" s="235"/>
      <c r="OYP140" s="235"/>
      <c r="OYQ140" s="235"/>
      <c r="OYR140" s="235"/>
      <c r="OYS140" s="235"/>
      <c r="OYT140" s="235"/>
      <c r="OYU140" s="235"/>
      <c r="OYV140" s="235"/>
      <c r="OYW140" s="235"/>
      <c r="OYX140" s="235"/>
      <c r="OYY140" s="235"/>
      <c r="OYZ140" s="235"/>
      <c r="OZA140" s="235"/>
      <c r="OZB140" s="235"/>
      <c r="OZC140" s="235"/>
      <c r="OZD140" s="235"/>
      <c r="OZE140" s="235"/>
      <c r="OZF140" s="235"/>
      <c r="OZG140" s="235"/>
      <c r="OZH140" s="235"/>
      <c r="OZI140" s="235"/>
      <c r="OZJ140" s="235"/>
      <c r="OZK140" s="235"/>
      <c r="OZL140" s="235"/>
      <c r="OZM140" s="235"/>
      <c r="OZN140" s="235"/>
      <c r="OZO140" s="235"/>
      <c r="OZP140" s="235"/>
      <c r="OZQ140" s="235"/>
      <c r="OZR140" s="235"/>
      <c r="OZS140" s="235"/>
      <c r="OZT140" s="235"/>
      <c r="OZU140" s="235"/>
      <c r="OZV140" s="235"/>
      <c r="OZW140" s="235"/>
      <c r="OZX140" s="235"/>
      <c r="OZY140" s="235"/>
      <c r="OZZ140" s="235"/>
      <c r="PAA140" s="235"/>
      <c r="PAB140" s="235"/>
      <c r="PAC140" s="235"/>
      <c r="PAD140" s="235"/>
      <c r="PAE140" s="235"/>
      <c r="PAF140" s="235"/>
      <c r="PAG140" s="235"/>
      <c r="PAH140" s="235"/>
      <c r="PAI140" s="235"/>
      <c r="PAJ140" s="235"/>
      <c r="PAK140" s="235"/>
      <c r="PAL140" s="235"/>
      <c r="PAM140" s="235"/>
      <c r="PAN140" s="235"/>
      <c r="PAO140" s="235"/>
      <c r="PAP140" s="235"/>
      <c r="PAQ140" s="235"/>
      <c r="PAR140" s="235"/>
      <c r="PAS140" s="235"/>
      <c r="PAT140" s="235"/>
      <c r="PAU140" s="235"/>
      <c r="PAV140" s="235"/>
      <c r="PAW140" s="235"/>
      <c r="PAX140" s="235"/>
      <c r="PAY140" s="235"/>
      <c r="PAZ140" s="235"/>
      <c r="PBA140" s="235"/>
      <c r="PBB140" s="235"/>
      <c r="PBC140" s="235"/>
      <c r="PBD140" s="235"/>
      <c r="PBE140" s="235"/>
      <c r="PBF140" s="235"/>
      <c r="PBG140" s="235"/>
      <c r="PBH140" s="235"/>
      <c r="PBI140" s="235"/>
      <c r="PBJ140" s="235"/>
      <c r="PBK140" s="235"/>
      <c r="PBL140" s="235"/>
      <c r="PBM140" s="235"/>
      <c r="PBN140" s="235"/>
      <c r="PBO140" s="235"/>
      <c r="PBP140" s="235"/>
      <c r="PBQ140" s="235"/>
      <c r="PBR140" s="235"/>
      <c r="PBS140" s="235"/>
      <c r="PBT140" s="235"/>
      <c r="PBU140" s="235"/>
      <c r="PBV140" s="235"/>
      <c r="PBW140" s="235"/>
      <c r="PBX140" s="235"/>
      <c r="PBY140" s="235"/>
      <c r="PBZ140" s="235"/>
      <c r="PCA140" s="235"/>
      <c r="PCB140" s="235"/>
      <c r="PCC140" s="235"/>
      <c r="PCD140" s="235"/>
      <c r="PCE140" s="235"/>
      <c r="PCF140" s="235"/>
      <c r="PCG140" s="235"/>
      <c r="PCH140" s="235"/>
      <c r="PCI140" s="235"/>
      <c r="PCJ140" s="235"/>
      <c r="PCK140" s="235"/>
      <c r="PCL140" s="235"/>
      <c r="PCM140" s="235"/>
      <c r="PCN140" s="235"/>
      <c r="PCO140" s="235"/>
      <c r="PCP140" s="235"/>
      <c r="PCQ140" s="235"/>
      <c r="PCR140" s="235"/>
      <c r="PCS140" s="235"/>
      <c r="PCT140" s="235"/>
      <c r="PCU140" s="235"/>
      <c r="PCV140" s="235"/>
      <c r="PCW140" s="235"/>
      <c r="PCX140" s="235"/>
      <c r="PCY140" s="235"/>
      <c r="PCZ140" s="235"/>
      <c r="PDA140" s="235"/>
      <c r="PDB140" s="235"/>
      <c r="PDC140" s="235"/>
      <c r="PDD140" s="235"/>
      <c r="PDE140" s="235"/>
      <c r="PDF140" s="235"/>
      <c r="PDG140" s="235"/>
      <c r="PDH140" s="235"/>
      <c r="PDI140" s="235"/>
      <c r="PDJ140" s="235"/>
      <c r="PDK140" s="235"/>
      <c r="PDL140" s="235"/>
      <c r="PDM140" s="235"/>
      <c r="PDN140" s="235"/>
      <c r="PDO140" s="235"/>
      <c r="PDP140" s="235"/>
      <c r="PDQ140" s="235"/>
      <c r="PDR140" s="235"/>
      <c r="PDS140" s="235"/>
      <c r="PDT140" s="235"/>
      <c r="PDU140" s="235"/>
      <c r="PDV140" s="235"/>
      <c r="PDW140" s="235"/>
      <c r="PDX140" s="235"/>
      <c r="PDY140" s="235"/>
      <c r="PDZ140" s="235"/>
      <c r="PEA140" s="235"/>
      <c r="PEB140" s="235"/>
      <c r="PEC140" s="235"/>
      <c r="PED140" s="235"/>
      <c r="PEE140" s="235"/>
      <c r="PEF140" s="235"/>
      <c r="PEG140" s="235"/>
      <c r="PEH140" s="235"/>
      <c r="PEI140" s="235"/>
      <c r="PEJ140" s="235"/>
      <c r="PEK140" s="235"/>
      <c r="PEL140" s="235"/>
      <c r="PEM140" s="235"/>
      <c r="PEN140" s="235"/>
      <c r="PEO140" s="235"/>
      <c r="PEP140" s="235"/>
      <c r="PEQ140" s="235"/>
      <c r="PER140" s="235"/>
      <c r="PES140" s="235"/>
      <c r="PET140" s="235"/>
      <c r="PEU140" s="235"/>
      <c r="PEV140" s="235"/>
      <c r="PEW140" s="235"/>
      <c r="PEX140" s="235"/>
      <c r="PEY140" s="235"/>
      <c r="PEZ140" s="235"/>
      <c r="PFA140" s="235"/>
      <c r="PFB140" s="235"/>
      <c r="PFC140" s="235"/>
      <c r="PFD140" s="235"/>
      <c r="PFE140" s="235"/>
      <c r="PFF140" s="235"/>
      <c r="PFG140" s="235"/>
      <c r="PFH140" s="235"/>
      <c r="PFI140" s="235"/>
      <c r="PFJ140" s="235"/>
      <c r="PFK140" s="235"/>
      <c r="PFL140" s="235"/>
      <c r="PFM140" s="235"/>
      <c r="PFN140" s="235"/>
      <c r="PFO140" s="235"/>
      <c r="PFP140" s="235"/>
      <c r="PFQ140" s="235"/>
      <c r="PFR140" s="235"/>
      <c r="PFS140" s="235"/>
      <c r="PFT140" s="235"/>
      <c r="PFU140" s="235"/>
      <c r="PFV140" s="235"/>
      <c r="PFW140" s="235"/>
      <c r="PFX140" s="235"/>
      <c r="PFY140" s="235"/>
      <c r="PFZ140" s="235"/>
      <c r="PGA140" s="235"/>
      <c r="PGB140" s="235"/>
      <c r="PGC140" s="235"/>
      <c r="PGD140" s="235"/>
      <c r="PGE140" s="235"/>
      <c r="PGF140" s="235"/>
      <c r="PGG140" s="235"/>
      <c r="PGH140" s="235"/>
      <c r="PGI140" s="235"/>
      <c r="PGJ140" s="235"/>
      <c r="PGK140" s="235"/>
      <c r="PGL140" s="235"/>
      <c r="PGM140" s="235"/>
      <c r="PGN140" s="235"/>
      <c r="PGO140" s="235"/>
      <c r="PGP140" s="235"/>
      <c r="PGQ140" s="235"/>
      <c r="PGR140" s="235"/>
      <c r="PGS140" s="235"/>
      <c r="PGT140" s="235"/>
      <c r="PGU140" s="235"/>
      <c r="PGV140" s="235"/>
      <c r="PGW140" s="235"/>
      <c r="PGX140" s="235"/>
      <c r="PGY140" s="235"/>
      <c r="PGZ140" s="235"/>
      <c r="PHA140" s="235"/>
      <c r="PHB140" s="235"/>
      <c r="PHC140" s="235"/>
      <c r="PHD140" s="235"/>
      <c r="PHE140" s="235"/>
      <c r="PHF140" s="235"/>
      <c r="PHG140" s="235"/>
      <c r="PHH140" s="235"/>
      <c r="PHI140" s="235"/>
      <c r="PHJ140" s="235"/>
      <c r="PHK140" s="235"/>
      <c r="PHL140" s="235"/>
      <c r="PHM140" s="235"/>
      <c r="PHN140" s="235"/>
      <c r="PHO140" s="235"/>
      <c r="PHP140" s="235"/>
      <c r="PHQ140" s="235"/>
      <c r="PHR140" s="235"/>
      <c r="PHS140" s="235"/>
      <c r="PHT140" s="235"/>
      <c r="PHU140" s="235"/>
      <c r="PHV140" s="235"/>
      <c r="PHW140" s="235"/>
      <c r="PHX140" s="235"/>
      <c r="PHY140" s="235"/>
      <c r="PHZ140" s="235"/>
      <c r="PIA140" s="235"/>
      <c r="PIB140" s="235"/>
      <c r="PIC140" s="235"/>
      <c r="PID140" s="235"/>
      <c r="PIE140" s="235"/>
      <c r="PIF140" s="235"/>
      <c r="PIG140" s="235"/>
      <c r="PIH140" s="235"/>
      <c r="PII140" s="235"/>
      <c r="PIJ140" s="235"/>
      <c r="PIK140" s="235"/>
      <c r="PIL140" s="235"/>
      <c r="PIM140" s="235"/>
      <c r="PIN140" s="235"/>
      <c r="PIO140" s="235"/>
      <c r="PIP140" s="235"/>
      <c r="PIQ140" s="235"/>
      <c r="PIR140" s="235"/>
      <c r="PIS140" s="235"/>
      <c r="PIT140" s="235"/>
      <c r="PIU140" s="235"/>
      <c r="PIV140" s="235"/>
      <c r="PIW140" s="235"/>
      <c r="PIX140" s="235"/>
      <c r="PIY140" s="235"/>
      <c r="PIZ140" s="235"/>
      <c r="PJA140" s="235"/>
      <c r="PJB140" s="235"/>
      <c r="PJC140" s="235"/>
      <c r="PJD140" s="235"/>
      <c r="PJE140" s="235"/>
      <c r="PJF140" s="235"/>
      <c r="PJG140" s="235"/>
      <c r="PJH140" s="235"/>
      <c r="PJI140" s="235"/>
      <c r="PJJ140" s="235"/>
      <c r="PJK140" s="235"/>
      <c r="PJL140" s="235"/>
      <c r="PJM140" s="235"/>
      <c r="PJN140" s="235"/>
      <c r="PJO140" s="235"/>
      <c r="PJP140" s="235"/>
      <c r="PJQ140" s="235"/>
      <c r="PJR140" s="235"/>
      <c r="PJS140" s="235"/>
      <c r="PJT140" s="235"/>
      <c r="PJU140" s="235"/>
      <c r="PJV140" s="235"/>
      <c r="PJW140" s="235"/>
      <c r="PJX140" s="235"/>
      <c r="PJY140" s="235"/>
      <c r="PJZ140" s="235"/>
      <c r="PKA140" s="235"/>
      <c r="PKB140" s="235"/>
      <c r="PKC140" s="235"/>
      <c r="PKD140" s="235"/>
      <c r="PKE140" s="235"/>
      <c r="PKF140" s="235"/>
      <c r="PKG140" s="235"/>
      <c r="PKH140" s="235"/>
      <c r="PKI140" s="235"/>
      <c r="PKJ140" s="235"/>
      <c r="PKK140" s="235"/>
      <c r="PKL140" s="235"/>
      <c r="PKM140" s="235"/>
      <c r="PKN140" s="235"/>
      <c r="PKO140" s="235"/>
      <c r="PKP140" s="235"/>
      <c r="PKQ140" s="235"/>
      <c r="PKR140" s="235"/>
      <c r="PKS140" s="235"/>
      <c r="PKT140" s="235"/>
      <c r="PKU140" s="235"/>
      <c r="PKV140" s="235"/>
      <c r="PKW140" s="235"/>
      <c r="PKX140" s="235"/>
      <c r="PKY140" s="235"/>
      <c r="PKZ140" s="235"/>
      <c r="PLA140" s="235"/>
      <c r="PLB140" s="235"/>
      <c r="PLC140" s="235"/>
      <c r="PLD140" s="235"/>
      <c r="PLE140" s="235"/>
      <c r="PLF140" s="235"/>
      <c r="PLG140" s="235"/>
      <c r="PLH140" s="235"/>
      <c r="PLI140" s="235"/>
      <c r="PLJ140" s="235"/>
      <c r="PLK140" s="235"/>
      <c r="PLL140" s="235"/>
      <c r="PLM140" s="235"/>
      <c r="PLN140" s="235"/>
      <c r="PLO140" s="235"/>
      <c r="PLP140" s="235"/>
      <c r="PLQ140" s="235"/>
      <c r="PLR140" s="235"/>
      <c r="PLS140" s="235"/>
      <c r="PLT140" s="235"/>
      <c r="PLU140" s="235"/>
      <c r="PLV140" s="235"/>
      <c r="PLW140" s="235"/>
      <c r="PLX140" s="235"/>
      <c r="PLY140" s="235"/>
      <c r="PLZ140" s="235"/>
      <c r="PMA140" s="235"/>
      <c r="PMB140" s="235"/>
      <c r="PMC140" s="235"/>
      <c r="PMD140" s="235"/>
      <c r="PME140" s="235"/>
      <c r="PMF140" s="235"/>
      <c r="PMG140" s="235"/>
      <c r="PMH140" s="235"/>
      <c r="PMI140" s="235"/>
      <c r="PMJ140" s="235"/>
      <c r="PMK140" s="235"/>
      <c r="PML140" s="235"/>
      <c r="PMM140" s="235"/>
      <c r="PMN140" s="235"/>
      <c r="PMO140" s="235"/>
      <c r="PMP140" s="235"/>
      <c r="PMQ140" s="235"/>
      <c r="PMR140" s="235"/>
      <c r="PMS140" s="235"/>
      <c r="PMT140" s="235"/>
      <c r="PMU140" s="235"/>
      <c r="PMV140" s="235"/>
      <c r="PMW140" s="235"/>
      <c r="PMX140" s="235"/>
      <c r="PMY140" s="235"/>
      <c r="PMZ140" s="235"/>
      <c r="PNA140" s="235"/>
      <c r="PNB140" s="235"/>
      <c r="PNC140" s="235"/>
      <c r="PND140" s="235"/>
      <c r="PNE140" s="235"/>
      <c r="PNF140" s="235"/>
      <c r="PNG140" s="235"/>
      <c r="PNH140" s="235"/>
      <c r="PNI140" s="235"/>
      <c r="PNJ140" s="235"/>
      <c r="PNK140" s="235"/>
      <c r="PNL140" s="235"/>
      <c r="PNM140" s="235"/>
      <c r="PNN140" s="235"/>
      <c r="PNO140" s="235"/>
      <c r="PNP140" s="235"/>
      <c r="PNQ140" s="235"/>
      <c r="PNR140" s="235"/>
      <c r="PNS140" s="235"/>
      <c r="PNT140" s="235"/>
      <c r="PNU140" s="235"/>
      <c r="PNV140" s="235"/>
      <c r="PNW140" s="235"/>
      <c r="PNX140" s="235"/>
      <c r="PNY140" s="235"/>
      <c r="PNZ140" s="235"/>
      <c r="POA140" s="235"/>
      <c r="POB140" s="235"/>
      <c r="POC140" s="235"/>
      <c r="POD140" s="235"/>
      <c r="POE140" s="235"/>
      <c r="POF140" s="235"/>
      <c r="POG140" s="235"/>
      <c r="POH140" s="235"/>
      <c r="POI140" s="235"/>
      <c r="POJ140" s="235"/>
      <c r="POK140" s="235"/>
      <c r="POL140" s="235"/>
      <c r="POM140" s="235"/>
      <c r="PON140" s="235"/>
      <c r="POO140" s="235"/>
      <c r="POP140" s="235"/>
      <c r="POQ140" s="235"/>
      <c r="POR140" s="235"/>
      <c r="POS140" s="235"/>
      <c r="POT140" s="235"/>
      <c r="POU140" s="235"/>
      <c r="POV140" s="235"/>
      <c r="POW140" s="235"/>
      <c r="POX140" s="235"/>
      <c r="POY140" s="235"/>
      <c r="POZ140" s="235"/>
      <c r="PPA140" s="235"/>
      <c r="PPB140" s="235"/>
      <c r="PPC140" s="235"/>
      <c r="PPD140" s="235"/>
      <c r="PPE140" s="235"/>
      <c r="PPF140" s="235"/>
      <c r="PPG140" s="235"/>
      <c r="PPH140" s="235"/>
      <c r="PPI140" s="235"/>
      <c r="PPJ140" s="235"/>
      <c r="PPK140" s="235"/>
      <c r="PPL140" s="235"/>
      <c r="PPM140" s="235"/>
      <c r="PPN140" s="235"/>
      <c r="PPO140" s="235"/>
      <c r="PPP140" s="235"/>
      <c r="PPQ140" s="235"/>
      <c r="PPR140" s="235"/>
      <c r="PPS140" s="235"/>
      <c r="PPT140" s="235"/>
      <c r="PPU140" s="235"/>
      <c r="PPV140" s="235"/>
      <c r="PPW140" s="235"/>
      <c r="PPX140" s="235"/>
      <c r="PPY140" s="235"/>
      <c r="PPZ140" s="235"/>
      <c r="PQA140" s="235"/>
      <c r="PQB140" s="235"/>
      <c r="PQC140" s="235"/>
      <c r="PQD140" s="235"/>
      <c r="PQE140" s="235"/>
      <c r="PQF140" s="235"/>
      <c r="PQG140" s="235"/>
      <c r="PQH140" s="235"/>
      <c r="PQI140" s="235"/>
      <c r="PQJ140" s="235"/>
      <c r="PQK140" s="235"/>
      <c r="PQL140" s="235"/>
      <c r="PQM140" s="235"/>
      <c r="PQN140" s="235"/>
      <c r="PQO140" s="235"/>
      <c r="PQP140" s="235"/>
      <c r="PQQ140" s="235"/>
      <c r="PQR140" s="235"/>
      <c r="PQS140" s="235"/>
      <c r="PQT140" s="235"/>
      <c r="PQU140" s="235"/>
      <c r="PQV140" s="235"/>
      <c r="PQW140" s="235"/>
      <c r="PQX140" s="235"/>
      <c r="PQY140" s="235"/>
      <c r="PQZ140" s="235"/>
      <c r="PRA140" s="235"/>
      <c r="PRB140" s="235"/>
      <c r="PRC140" s="235"/>
      <c r="PRD140" s="235"/>
      <c r="PRE140" s="235"/>
      <c r="PRF140" s="235"/>
      <c r="PRG140" s="235"/>
      <c r="PRH140" s="235"/>
      <c r="PRI140" s="235"/>
      <c r="PRJ140" s="235"/>
      <c r="PRK140" s="235"/>
      <c r="PRL140" s="235"/>
      <c r="PRM140" s="235"/>
      <c r="PRN140" s="235"/>
      <c r="PRO140" s="235"/>
      <c r="PRP140" s="235"/>
      <c r="PRQ140" s="235"/>
      <c r="PRR140" s="235"/>
      <c r="PRS140" s="235"/>
      <c r="PRT140" s="235"/>
      <c r="PRU140" s="235"/>
      <c r="PRV140" s="235"/>
      <c r="PRW140" s="235"/>
      <c r="PRX140" s="235"/>
      <c r="PRY140" s="235"/>
      <c r="PRZ140" s="235"/>
      <c r="PSA140" s="235"/>
      <c r="PSB140" s="235"/>
      <c r="PSC140" s="235"/>
      <c r="PSD140" s="235"/>
      <c r="PSE140" s="235"/>
      <c r="PSF140" s="235"/>
      <c r="PSG140" s="235"/>
      <c r="PSH140" s="235"/>
      <c r="PSI140" s="235"/>
      <c r="PSJ140" s="235"/>
      <c r="PSK140" s="235"/>
      <c r="PSL140" s="235"/>
      <c r="PSM140" s="235"/>
      <c r="PSN140" s="235"/>
      <c r="PSO140" s="235"/>
      <c r="PSP140" s="235"/>
      <c r="PSQ140" s="235"/>
      <c r="PSR140" s="235"/>
      <c r="PSS140" s="235"/>
      <c r="PST140" s="235"/>
      <c r="PSU140" s="235"/>
      <c r="PSV140" s="235"/>
      <c r="PSW140" s="235"/>
      <c r="PSX140" s="235"/>
      <c r="PSY140" s="235"/>
      <c r="PSZ140" s="235"/>
      <c r="PTA140" s="235"/>
      <c r="PTB140" s="235"/>
      <c r="PTC140" s="235"/>
      <c r="PTD140" s="235"/>
      <c r="PTE140" s="235"/>
      <c r="PTF140" s="235"/>
      <c r="PTG140" s="235"/>
      <c r="PTH140" s="235"/>
      <c r="PTI140" s="235"/>
      <c r="PTJ140" s="235"/>
      <c r="PTK140" s="235"/>
      <c r="PTL140" s="235"/>
      <c r="PTM140" s="235"/>
      <c r="PTN140" s="235"/>
      <c r="PTO140" s="235"/>
      <c r="PTP140" s="235"/>
      <c r="PTQ140" s="235"/>
      <c r="PTR140" s="235"/>
      <c r="PTS140" s="235"/>
      <c r="PTT140" s="235"/>
      <c r="PTU140" s="235"/>
      <c r="PTV140" s="235"/>
      <c r="PTW140" s="235"/>
      <c r="PTX140" s="235"/>
      <c r="PTY140" s="235"/>
      <c r="PTZ140" s="235"/>
      <c r="PUA140" s="235"/>
      <c r="PUB140" s="235"/>
      <c r="PUC140" s="235"/>
      <c r="PUD140" s="235"/>
      <c r="PUE140" s="235"/>
      <c r="PUF140" s="235"/>
      <c r="PUG140" s="235"/>
      <c r="PUH140" s="235"/>
      <c r="PUI140" s="235"/>
      <c r="PUJ140" s="235"/>
      <c r="PUK140" s="235"/>
      <c r="PUL140" s="235"/>
      <c r="PUM140" s="235"/>
      <c r="PUN140" s="235"/>
      <c r="PUO140" s="235"/>
      <c r="PUP140" s="235"/>
      <c r="PUQ140" s="235"/>
      <c r="PUR140" s="235"/>
      <c r="PUS140" s="235"/>
      <c r="PUT140" s="235"/>
      <c r="PUU140" s="235"/>
      <c r="PUV140" s="235"/>
      <c r="PUW140" s="235"/>
      <c r="PUX140" s="235"/>
      <c r="PUY140" s="235"/>
      <c r="PUZ140" s="235"/>
      <c r="PVA140" s="235"/>
      <c r="PVB140" s="235"/>
      <c r="PVC140" s="235"/>
      <c r="PVD140" s="235"/>
      <c r="PVE140" s="235"/>
      <c r="PVF140" s="235"/>
      <c r="PVG140" s="235"/>
      <c r="PVH140" s="235"/>
      <c r="PVI140" s="235"/>
      <c r="PVJ140" s="235"/>
      <c r="PVK140" s="235"/>
      <c r="PVL140" s="235"/>
      <c r="PVM140" s="235"/>
      <c r="PVN140" s="235"/>
      <c r="PVO140" s="235"/>
      <c r="PVP140" s="235"/>
      <c r="PVQ140" s="235"/>
      <c r="PVR140" s="235"/>
      <c r="PVS140" s="235"/>
      <c r="PVT140" s="235"/>
      <c r="PVU140" s="235"/>
      <c r="PVV140" s="235"/>
      <c r="PVW140" s="235"/>
      <c r="PVX140" s="235"/>
      <c r="PVY140" s="235"/>
      <c r="PVZ140" s="235"/>
      <c r="PWA140" s="235"/>
      <c r="PWB140" s="235"/>
      <c r="PWC140" s="235"/>
      <c r="PWD140" s="235"/>
      <c r="PWE140" s="235"/>
      <c r="PWF140" s="235"/>
      <c r="PWG140" s="235"/>
      <c r="PWH140" s="235"/>
      <c r="PWI140" s="235"/>
      <c r="PWJ140" s="235"/>
      <c r="PWK140" s="235"/>
      <c r="PWL140" s="235"/>
      <c r="PWM140" s="235"/>
      <c r="PWN140" s="235"/>
      <c r="PWO140" s="235"/>
      <c r="PWP140" s="235"/>
      <c r="PWQ140" s="235"/>
      <c r="PWR140" s="235"/>
      <c r="PWS140" s="235"/>
      <c r="PWT140" s="235"/>
      <c r="PWU140" s="235"/>
      <c r="PWV140" s="235"/>
      <c r="PWW140" s="235"/>
      <c r="PWX140" s="235"/>
      <c r="PWY140" s="235"/>
      <c r="PWZ140" s="235"/>
      <c r="PXA140" s="235"/>
      <c r="PXB140" s="235"/>
      <c r="PXC140" s="235"/>
      <c r="PXD140" s="235"/>
      <c r="PXE140" s="235"/>
      <c r="PXF140" s="235"/>
      <c r="PXG140" s="235"/>
      <c r="PXH140" s="235"/>
      <c r="PXI140" s="235"/>
      <c r="PXJ140" s="235"/>
      <c r="PXK140" s="235"/>
      <c r="PXL140" s="235"/>
      <c r="PXM140" s="235"/>
      <c r="PXN140" s="235"/>
      <c r="PXO140" s="235"/>
      <c r="PXP140" s="235"/>
      <c r="PXQ140" s="235"/>
      <c r="PXR140" s="235"/>
      <c r="PXS140" s="235"/>
      <c r="PXT140" s="235"/>
      <c r="PXU140" s="235"/>
      <c r="PXV140" s="235"/>
      <c r="PXW140" s="235"/>
      <c r="PXX140" s="235"/>
      <c r="PXY140" s="235"/>
      <c r="PXZ140" s="235"/>
      <c r="PYA140" s="235"/>
      <c r="PYB140" s="235"/>
      <c r="PYC140" s="235"/>
      <c r="PYD140" s="235"/>
      <c r="PYE140" s="235"/>
      <c r="PYF140" s="235"/>
      <c r="PYG140" s="235"/>
      <c r="PYH140" s="235"/>
      <c r="PYI140" s="235"/>
      <c r="PYJ140" s="235"/>
      <c r="PYK140" s="235"/>
      <c r="PYL140" s="235"/>
      <c r="PYM140" s="235"/>
      <c r="PYN140" s="235"/>
      <c r="PYO140" s="235"/>
      <c r="PYP140" s="235"/>
      <c r="PYQ140" s="235"/>
      <c r="PYR140" s="235"/>
      <c r="PYS140" s="235"/>
      <c r="PYT140" s="235"/>
      <c r="PYU140" s="235"/>
      <c r="PYV140" s="235"/>
      <c r="PYW140" s="235"/>
      <c r="PYX140" s="235"/>
      <c r="PYY140" s="235"/>
      <c r="PYZ140" s="235"/>
      <c r="PZA140" s="235"/>
      <c r="PZB140" s="235"/>
      <c r="PZC140" s="235"/>
      <c r="PZD140" s="235"/>
      <c r="PZE140" s="235"/>
      <c r="PZF140" s="235"/>
      <c r="PZG140" s="235"/>
      <c r="PZH140" s="235"/>
      <c r="PZI140" s="235"/>
      <c r="PZJ140" s="235"/>
      <c r="PZK140" s="235"/>
      <c r="PZL140" s="235"/>
      <c r="PZM140" s="235"/>
      <c r="PZN140" s="235"/>
      <c r="PZO140" s="235"/>
      <c r="PZP140" s="235"/>
      <c r="PZQ140" s="235"/>
      <c r="PZR140" s="235"/>
      <c r="PZS140" s="235"/>
      <c r="PZT140" s="235"/>
      <c r="PZU140" s="235"/>
      <c r="PZV140" s="235"/>
      <c r="PZW140" s="235"/>
      <c r="PZX140" s="235"/>
      <c r="PZY140" s="235"/>
      <c r="PZZ140" s="235"/>
      <c r="QAA140" s="235"/>
      <c r="QAB140" s="235"/>
      <c r="QAC140" s="235"/>
      <c r="QAD140" s="235"/>
      <c r="QAE140" s="235"/>
      <c r="QAF140" s="235"/>
      <c r="QAG140" s="235"/>
      <c r="QAH140" s="235"/>
      <c r="QAI140" s="235"/>
      <c r="QAJ140" s="235"/>
      <c r="QAK140" s="235"/>
      <c r="QAL140" s="235"/>
      <c r="QAM140" s="235"/>
      <c r="QAN140" s="235"/>
      <c r="QAO140" s="235"/>
      <c r="QAP140" s="235"/>
      <c r="QAQ140" s="235"/>
      <c r="QAR140" s="235"/>
      <c r="QAS140" s="235"/>
      <c r="QAT140" s="235"/>
      <c r="QAU140" s="235"/>
      <c r="QAV140" s="235"/>
      <c r="QAW140" s="235"/>
      <c r="QAX140" s="235"/>
      <c r="QAY140" s="235"/>
      <c r="QAZ140" s="235"/>
      <c r="QBA140" s="235"/>
      <c r="QBB140" s="235"/>
      <c r="QBC140" s="235"/>
      <c r="QBD140" s="235"/>
      <c r="QBE140" s="235"/>
      <c r="QBF140" s="235"/>
      <c r="QBG140" s="235"/>
      <c r="QBH140" s="235"/>
      <c r="QBI140" s="235"/>
      <c r="QBJ140" s="235"/>
      <c r="QBK140" s="235"/>
      <c r="QBL140" s="235"/>
      <c r="QBM140" s="235"/>
      <c r="QBN140" s="235"/>
      <c r="QBO140" s="235"/>
      <c r="QBP140" s="235"/>
      <c r="QBQ140" s="235"/>
      <c r="QBR140" s="235"/>
      <c r="QBS140" s="235"/>
      <c r="QBT140" s="235"/>
      <c r="QBU140" s="235"/>
      <c r="QBV140" s="235"/>
      <c r="QBW140" s="235"/>
      <c r="QBX140" s="235"/>
      <c r="QBY140" s="235"/>
      <c r="QBZ140" s="235"/>
      <c r="QCA140" s="235"/>
      <c r="QCB140" s="235"/>
      <c r="QCC140" s="235"/>
      <c r="QCD140" s="235"/>
      <c r="QCE140" s="235"/>
      <c r="QCF140" s="235"/>
      <c r="QCG140" s="235"/>
      <c r="QCH140" s="235"/>
      <c r="QCI140" s="235"/>
      <c r="QCJ140" s="235"/>
      <c r="QCK140" s="235"/>
      <c r="QCL140" s="235"/>
      <c r="QCM140" s="235"/>
      <c r="QCN140" s="235"/>
      <c r="QCO140" s="235"/>
      <c r="QCP140" s="235"/>
      <c r="QCQ140" s="235"/>
      <c r="QCR140" s="235"/>
      <c r="QCS140" s="235"/>
      <c r="QCT140" s="235"/>
      <c r="QCU140" s="235"/>
      <c r="QCV140" s="235"/>
      <c r="QCW140" s="235"/>
      <c r="QCX140" s="235"/>
      <c r="QCY140" s="235"/>
      <c r="QCZ140" s="235"/>
      <c r="QDA140" s="235"/>
      <c r="QDB140" s="235"/>
      <c r="QDC140" s="235"/>
      <c r="QDD140" s="235"/>
      <c r="QDE140" s="235"/>
      <c r="QDF140" s="235"/>
      <c r="QDG140" s="235"/>
      <c r="QDH140" s="235"/>
      <c r="QDI140" s="235"/>
      <c r="QDJ140" s="235"/>
      <c r="QDK140" s="235"/>
      <c r="QDL140" s="235"/>
      <c r="QDM140" s="235"/>
      <c r="QDN140" s="235"/>
      <c r="QDO140" s="235"/>
      <c r="QDP140" s="235"/>
      <c r="QDQ140" s="235"/>
      <c r="QDR140" s="235"/>
      <c r="QDS140" s="235"/>
      <c r="QDT140" s="235"/>
      <c r="QDU140" s="235"/>
      <c r="QDV140" s="235"/>
      <c r="QDW140" s="235"/>
      <c r="QDX140" s="235"/>
      <c r="QDY140" s="235"/>
      <c r="QDZ140" s="235"/>
      <c r="QEA140" s="235"/>
      <c r="QEB140" s="235"/>
      <c r="QEC140" s="235"/>
      <c r="QED140" s="235"/>
      <c r="QEE140" s="235"/>
      <c r="QEF140" s="235"/>
      <c r="QEG140" s="235"/>
      <c r="QEH140" s="235"/>
      <c r="QEI140" s="235"/>
      <c r="QEJ140" s="235"/>
      <c r="QEK140" s="235"/>
      <c r="QEL140" s="235"/>
      <c r="QEM140" s="235"/>
      <c r="QEN140" s="235"/>
      <c r="QEO140" s="235"/>
      <c r="QEP140" s="235"/>
      <c r="QEQ140" s="235"/>
      <c r="QER140" s="235"/>
      <c r="QES140" s="235"/>
      <c r="QET140" s="235"/>
      <c r="QEU140" s="235"/>
      <c r="QEV140" s="235"/>
      <c r="QEW140" s="235"/>
      <c r="QEX140" s="235"/>
      <c r="QEY140" s="235"/>
      <c r="QEZ140" s="235"/>
      <c r="QFA140" s="235"/>
      <c r="QFB140" s="235"/>
      <c r="QFC140" s="235"/>
      <c r="QFD140" s="235"/>
      <c r="QFE140" s="235"/>
      <c r="QFF140" s="235"/>
      <c r="QFG140" s="235"/>
      <c r="QFH140" s="235"/>
      <c r="QFI140" s="235"/>
      <c r="QFJ140" s="235"/>
      <c r="QFK140" s="235"/>
      <c r="QFL140" s="235"/>
      <c r="QFM140" s="235"/>
      <c r="QFN140" s="235"/>
      <c r="QFO140" s="235"/>
      <c r="QFP140" s="235"/>
      <c r="QFQ140" s="235"/>
      <c r="QFR140" s="235"/>
      <c r="QFS140" s="235"/>
      <c r="QFT140" s="235"/>
      <c r="QFU140" s="235"/>
      <c r="QFV140" s="235"/>
      <c r="QFW140" s="235"/>
      <c r="QFX140" s="235"/>
      <c r="QFY140" s="235"/>
      <c r="QFZ140" s="235"/>
      <c r="QGA140" s="235"/>
      <c r="QGB140" s="235"/>
      <c r="QGC140" s="235"/>
      <c r="QGD140" s="235"/>
      <c r="QGE140" s="235"/>
      <c r="QGF140" s="235"/>
      <c r="QGG140" s="235"/>
      <c r="QGH140" s="235"/>
      <c r="QGI140" s="235"/>
      <c r="QGJ140" s="235"/>
      <c r="QGK140" s="235"/>
      <c r="QGL140" s="235"/>
      <c r="QGM140" s="235"/>
      <c r="QGN140" s="235"/>
      <c r="QGO140" s="235"/>
      <c r="QGP140" s="235"/>
      <c r="QGQ140" s="235"/>
      <c r="QGR140" s="235"/>
      <c r="QGS140" s="235"/>
      <c r="QGT140" s="235"/>
      <c r="QGU140" s="235"/>
      <c r="QGV140" s="235"/>
      <c r="QGW140" s="235"/>
      <c r="QGX140" s="235"/>
      <c r="QGY140" s="235"/>
      <c r="QGZ140" s="235"/>
      <c r="QHA140" s="235"/>
      <c r="QHB140" s="235"/>
      <c r="QHC140" s="235"/>
      <c r="QHD140" s="235"/>
      <c r="QHE140" s="235"/>
      <c r="QHF140" s="235"/>
      <c r="QHG140" s="235"/>
      <c r="QHH140" s="235"/>
      <c r="QHI140" s="235"/>
      <c r="QHJ140" s="235"/>
      <c r="QHK140" s="235"/>
      <c r="QHL140" s="235"/>
      <c r="QHM140" s="235"/>
      <c r="QHN140" s="235"/>
      <c r="QHO140" s="235"/>
      <c r="QHP140" s="235"/>
      <c r="QHQ140" s="235"/>
      <c r="QHR140" s="235"/>
      <c r="QHS140" s="235"/>
      <c r="QHT140" s="235"/>
      <c r="QHU140" s="235"/>
      <c r="QHV140" s="235"/>
      <c r="QHW140" s="235"/>
      <c r="QHX140" s="235"/>
      <c r="QHY140" s="235"/>
      <c r="QHZ140" s="235"/>
      <c r="QIA140" s="235"/>
      <c r="QIB140" s="235"/>
      <c r="QIC140" s="235"/>
      <c r="QID140" s="235"/>
      <c r="QIE140" s="235"/>
      <c r="QIF140" s="235"/>
      <c r="QIG140" s="235"/>
      <c r="QIH140" s="235"/>
      <c r="QII140" s="235"/>
      <c r="QIJ140" s="235"/>
      <c r="QIK140" s="235"/>
      <c r="QIL140" s="235"/>
      <c r="QIM140" s="235"/>
      <c r="QIN140" s="235"/>
      <c r="QIO140" s="235"/>
      <c r="QIP140" s="235"/>
      <c r="QIQ140" s="235"/>
      <c r="QIR140" s="235"/>
      <c r="QIS140" s="235"/>
      <c r="QIT140" s="235"/>
      <c r="QIU140" s="235"/>
      <c r="QIV140" s="235"/>
      <c r="QIW140" s="235"/>
      <c r="QIX140" s="235"/>
      <c r="QIY140" s="235"/>
      <c r="QIZ140" s="235"/>
      <c r="QJA140" s="235"/>
      <c r="QJB140" s="235"/>
      <c r="QJC140" s="235"/>
      <c r="QJD140" s="235"/>
      <c r="QJE140" s="235"/>
      <c r="QJF140" s="235"/>
      <c r="QJG140" s="235"/>
      <c r="QJH140" s="235"/>
      <c r="QJI140" s="235"/>
      <c r="QJJ140" s="235"/>
      <c r="QJK140" s="235"/>
      <c r="QJL140" s="235"/>
      <c r="QJM140" s="235"/>
      <c r="QJN140" s="235"/>
      <c r="QJO140" s="235"/>
      <c r="QJP140" s="235"/>
      <c r="QJQ140" s="235"/>
      <c r="QJR140" s="235"/>
      <c r="QJS140" s="235"/>
      <c r="QJT140" s="235"/>
      <c r="QJU140" s="235"/>
      <c r="QJV140" s="235"/>
      <c r="QJW140" s="235"/>
      <c r="QJX140" s="235"/>
      <c r="QJY140" s="235"/>
      <c r="QJZ140" s="235"/>
      <c r="QKA140" s="235"/>
      <c r="QKB140" s="235"/>
      <c r="QKC140" s="235"/>
      <c r="QKD140" s="235"/>
      <c r="QKE140" s="235"/>
      <c r="QKF140" s="235"/>
      <c r="QKG140" s="235"/>
      <c r="QKH140" s="235"/>
      <c r="QKI140" s="235"/>
      <c r="QKJ140" s="235"/>
      <c r="QKK140" s="235"/>
      <c r="QKL140" s="235"/>
      <c r="QKM140" s="235"/>
      <c r="QKN140" s="235"/>
      <c r="QKO140" s="235"/>
      <c r="QKP140" s="235"/>
      <c r="QKQ140" s="235"/>
      <c r="QKR140" s="235"/>
      <c r="QKS140" s="235"/>
      <c r="QKT140" s="235"/>
      <c r="QKU140" s="235"/>
      <c r="QKV140" s="235"/>
      <c r="QKW140" s="235"/>
      <c r="QKX140" s="235"/>
      <c r="QKY140" s="235"/>
      <c r="QKZ140" s="235"/>
      <c r="QLA140" s="235"/>
      <c r="QLB140" s="235"/>
      <c r="QLC140" s="235"/>
      <c r="QLD140" s="235"/>
      <c r="QLE140" s="235"/>
      <c r="QLF140" s="235"/>
      <c r="QLG140" s="235"/>
      <c r="QLH140" s="235"/>
      <c r="QLI140" s="235"/>
      <c r="QLJ140" s="235"/>
      <c r="QLK140" s="235"/>
      <c r="QLL140" s="235"/>
      <c r="QLM140" s="235"/>
      <c r="QLN140" s="235"/>
      <c r="QLO140" s="235"/>
      <c r="QLP140" s="235"/>
      <c r="QLQ140" s="235"/>
      <c r="QLR140" s="235"/>
      <c r="QLS140" s="235"/>
      <c r="QLT140" s="235"/>
      <c r="QLU140" s="235"/>
      <c r="QLV140" s="235"/>
      <c r="QLW140" s="235"/>
      <c r="QLX140" s="235"/>
      <c r="QLY140" s="235"/>
      <c r="QLZ140" s="235"/>
      <c r="QMA140" s="235"/>
      <c r="QMB140" s="235"/>
      <c r="QMC140" s="235"/>
      <c r="QMD140" s="235"/>
      <c r="QME140" s="235"/>
      <c r="QMF140" s="235"/>
      <c r="QMG140" s="235"/>
      <c r="QMH140" s="235"/>
      <c r="QMI140" s="235"/>
      <c r="QMJ140" s="235"/>
      <c r="QMK140" s="235"/>
      <c r="QML140" s="235"/>
      <c r="QMM140" s="235"/>
      <c r="QMN140" s="235"/>
      <c r="QMO140" s="235"/>
      <c r="QMP140" s="235"/>
      <c r="QMQ140" s="235"/>
      <c r="QMR140" s="235"/>
      <c r="QMS140" s="235"/>
      <c r="QMT140" s="235"/>
      <c r="QMU140" s="235"/>
      <c r="QMV140" s="235"/>
      <c r="QMW140" s="235"/>
      <c r="QMX140" s="235"/>
      <c r="QMY140" s="235"/>
      <c r="QMZ140" s="235"/>
      <c r="QNA140" s="235"/>
      <c r="QNB140" s="235"/>
      <c r="QNC140" s="235"/>
      <c r="QND140" s="235"/>
      <c r="QNE140" s="235"/>
      <c r="QNF140" s="235"/>
      <c r="QNG140" s="235"/>
      <c r="QNH140" s="235"/>
      <c r="QNI140" s="235"/>
      <c r="QNJ140" s="235"/>
      <c r="QNK140" s="235"/>
      <c r="QNL140" s="235"/>
      <c r="QNM140" s="235"/>
      <c r="QNN140" s="235"/>
      <c r="QNO140" s="235"/>
      <c r="QNP140" s="235"/>
      <c r="QNQ140" s="235"/>
      <c r="QNR140" s="235"/>
      <c r="QNS140" s="235"/>
      <c r="QNT140" s="235"/>
      <c r="QNU140" s="235"/>
      <c r="QNV140" s="235"/>
      <c r="QNW140" s="235"/>
      <c r="QNX140" s="235"/>
      <c r="QNY140" s="235"/>
      <c r="QNZ140" s="235"/>
      <c r="QOA140" s="235"/>
      <c r="QOB140" s="235"/>
      <c r="QOC140" s="235"/>
      <c r="QOD140" s="235"/>
      <c r="QOE140" s="235"/>
      <c r="QOF140" s="235"/>
      <c r="QOG140" s="235"/>
      <c r="QOH140" s="235"/>
      <c r="QOI140" s="235"/>
      <c r="QOJ140" s="235"/>
      <c r="QOK140" s="235"/>
      <c r="QOL140" s="235"/>
      <c r="QOM140" s="235"/>
      <c r="QON140" s="235"/>
      <c r="QOO140" s="235"/>
      <c r="QOP140" s="235"/>
      <c r="QOQ140" s="235"/>
      <c r="QOR140" s="235"/>
      <c r="QOS140" s="235"/>
      <c r="QOT140" s="235"/>
      <c r="QOU140" s="235"/>
      <c r="QOV140" s="235"/>
      <c r="QOW140" s="235"/>
      <c r="QOX140" s="235"/>
      <c r="QOY140" s="235"/>
      <c r="QOZ140" s="235"/>
      <c r="QPA140" s="235"/>
      <c r="QPB140" s="235"/>
      <c r="QPC140" s="235"/>
      <c r="QPD140" s="235"/>
      <c r="QPE140" s="235"/>
      <c r="QPF140" s="235"/>
      <c r="QPG140" s="235"/>
      <c r="QPH140" s="235"/>
      <c r="QPI140" s="235"/>
      <c r="QPJ140" s="235"/>
      <c r="QPK140" s="235"/>
      <c r="QPL140" s="235"/>
      <c r="QPM140" s="235"/>
      <c r="QPN140" s="235"/>
      <c r="QPO140" s="235"/>
      <c r="QPP140" s="235"/>
      <c r="QPQ140" s="235"/>
      <c r="QPR140" s="235"/>
      <c r="QPS140" s="235"/>
      <c r="QPT140" s="235"/>
      <c r="QPU140" s="235"/>
      <c r="QPV140" s="235"/>
      <c r="QPW140" s="235"/>
      <c r="QPX140" s="235"/>
      <c r="QPY140" s="235"/>
      <c r="QPZ140" s="235"/>
      <c r="QQA140" s="235"/>
      <c r="QQB140" s="235"/>
      <c r="QQC140" s="235"/>
      <c r="QQD140" s="235"/>
      <c r="QQE140" s="235"/>
      <c r="QQF140" s="235"/>
      <c r="QQG140" s="235"/>
      <c r="QQH140" s="235"/>
      <c r="QQI140" s="235"/>
      <c r="QQJ140" s="235"/>
      <c r="QQK140" s="235"/>
      <c r="QQL140" s="235"/>
      <c r="QQM140" s="235"/>
      <c r="QQN140" s="235"/>
      <c r="QQO140" s="235"/>
      <c r="QQP140" s="235"/>
      <c r="QQQ140" s="235"/>
      <c r="QQR140" s="235"/>
      <c r="QQS140" s="235"/>
      <c r="QQT140" s="235"/>
      <c r="QQU140" s="235"/>
      <c r="QQV140" s="235"/>
      <c r="QQW140" s="235"/>
      <c r="QQX140" s="235"/>
      <c r="QQY140" s="235"/>
      <c r="QQZ140" s="235"/>
      <c r="QRA140" s="235"/>
      <c r="QRB140" s="235"/>
      <c r="QRC140" s="235"/>
      <c r="QRD140" s="235"/>
      <c r="QRE140" s="235"/>
      <c r="QRF140" s="235"/>
      <c r="QRG140" s="235"/>
      <c r="QRH140" s="235"/>
      <c r="QRI140" s="235"/>
      <c r="QRJ140" s="235"/>
      <c r="QRK140" s="235"/>
      <c r="QRL140" s="235"/>
      <c r="QRM140" s="235"/>
      <c r="QRN140" s="235"/>
      <c r="QRO140" s="235"/>
      <c r="QRP140" s="235"/>
      <c r="QRQ140" s="235"/>
      <c r="QRR140" s="235"/>
      <c r="QRS140" s="235"/>
      <c r="QRT140" s="235"/>
      <c r="QRU140" s="235"/>
      <c r="QRV140" s="235"/>
      <c r="QRW140" s="235"/>
      <c r="QRX140" s="235"/>
      <c r="QRY140" s="235"/>
      <c r="QRZ140" s="235"/>
      <c r="QSA140" s="235"/>
      <c r="QSB140" s="235"/>
      <c r="QSC140" s="235"/>
      <c r="QSD140" s="235"/>
      <c r="QSE140" s="235"/>
      <c r="QSF140" s="235"/>
      <c r="QSG140" s="235"/>
      <c r="QSH140" s="235"/>
      <c r="QSI140" s="235"/>
      <c r="QSJ140" s="235"/>
      <c r="QSK140" s="235"/>
      <c r="QSL140" s="235"/>
      <c r="QSM140" s="235"/>
      <c r="QSN140" s="235"/>
      <c r="QSO140" s="235"/>
      <c r="QSP140" s="235"/>
      <c r="QSQ140" s="235"/>
      <c r="QSR140" s="235"/>
      <c r="QSS140" s="235"/>
      <c r="QST140" s="235"/>
      <c r="QSU140" s="235"/>
      <c r="QSV140" s="235"/>
      <c r="QSW140" s="235"/>
      <c r="QSX140" s="235"/>
      <c r="QSY140" s="235"/>
      <c r="QSZ140" s="235"/>
      <c r="QTA140" s="235"/>
      <c r="QTB140" s="235"/>
      <c r="QTC140" s="235"/>
      <c r="QTD140" s="235"/>
      <c r="QTE140" s="235"/>
      <c r="QTF140" s="235"/>
      <c r="QTG140" s="235"/>
      <c r="QTH140" s="235"/>
      <c r="QTI140" s="235"/>
      <c r="QTJ140" s="235"/>
      <c r="QTK140" s="235"/>
      <c r="QTL140" s="235"/>
      <c r="QTM140" s="235"/>
      <c r="QTN140" s="235"/>
      <c r="QTO140" s="235"/>
      <c r="QTP140" s="235"/>
      <c r="QTQ140" s="235"/>
      <c r="QTR140" s="235"/>
      <c r="QTS140" s="235"/>
      <c r="QTT140" s="235"/>
      <c r="QTU140" s="235"/>
      <c r="QTV140" s="235"/>
      <c r="QTW140" s="235"/>
      <c r="QTX140" s="235"/>
      <c r="QTY140" s="235"/>
      <c r="QTZ140" s="235"/>
      <c r="QUA140" s="235"/>
      <c r="QUB140" s="235"/>
      <c r="QUC140" s="235"/>
      <c r="QUD140" s="235"/>
      <c r="QUE140" s="235"/>
      <c r="QUF140" s="235"/>
      <c r="QUG140" s="235"/>
      <c r="QUH140" s="235"/>
      <c r="QUI140" s="235"/>
      <c r="QUJ140" s="235"/>
      <c r="QUK140" s="235"/>
      <c r="QUL140" s="235"/>
      <c r="QUM140" s="235"/>
      <c r="QUN140" s="235"/>
      <c r="QUO140" s="235"/>
      <c r="QUP140" s="235"/>
      <c r="QUQ140" s="235"/>
      <c r="QUR140" s="235"/>
      <c r="QUS140" s="235"/>
      <c r="QUT140" s="235"/>
      <c r="QUU140" s="235"/>
      <c r="QUV140" s="235"/>
      <c r="QUW140" s="235"/>
      <c r="QUX140" s="235"/>
      <c r="QUY140" s="235"/>
      <c r="QUZ140" s="235"/>
      <c r="QVA140" s="235"/>
      <c r="QVB140" s="235"/>
      <c r="QVC140" s="235"/>
      <c r="QVD140" s="235"/>
      <c r="QVE140" s="235"/>
      <c r="QVF140" s="235"/>
      <c r="QVG140" s="235"/>
      <c r="QVH140" s="235"/>
      <c r="QVI140" s="235"/>
      <c r="QVJ140" s="235"/>
      <c r="QVK140" s="235"/>
      <c r="QVL140" s="235"/>
      <c r="QVM140" s="235"/>
      <c r="QVN140" s="235"/>
      <c r="QVO140" s="235"/>
      <c r="QVP140" s="235"/>
      <c r="QVQ140" s="235"/>
      <c r="QVR140" s="235"/>
      <c r="QVS140" s="235"/>
      <c r="QVT140" s="235"/>
      <c r="QVU140" s="235"/>
      <c r="QVV140" s="235"/>
      <c r="QVW140" s="235"/>
      <c r="QVX140" s="235"/>
      <c r="QVY140" s="235"/>
      <c r="QVZ140" s="235"/>
      <c r="QWA140" s="235"/>
      <c r="QWB140" s="235"/>
      <c r="QWC140" s="235"/>
      <c r="QWD140" s="235"/>
      <c r="QWE140" s="235"/>
      <c r="QWF140" s="235"/>
      <c r="QWG140" s="235"/>
      <c r="QWH140" s="235"/>
      <c r="QWI140" s="235"/>
      <c r="QWJ140" s="235"/>
      <c r="QWK140" s="235"/>
      <c r="QWL140" s="235"/>
      <c r="QWM140" s="235"/>
      <c r="QWN140" s="235"/>
      <c r="QWO140" s="235"/>
      <c r="QWP140" s="235"/>
      <c r="QWQ140" s="235"/>
      <c r="QWR140" s="235"/>
      <c r="QWS140" s="235"/>
      <c r="QWT140" s="235"/>
      <c r="QWU140" s="235"/>
      <c r="QWV140" s="235"/>
      <c r="QWW140" s="235"/>
      <c r="QWX140" s="235"/>
      <c r="QWY140" s="235"/>
      <c r="QWZ140" s="235"/>
      <c r="QXA140" s="235"/>
      <c r="QXB140" s="235"/>
      <c r="QXC140" s="235"/>
      <c r="QXD140" s="235"/>
      <c r="QXE140" s="235"/>
      <c r="QXF140" s="235"/>
      <c r="QXG140" s="235"/>
      <c r="QXH140" s="235"/>
      <c r="QXI140" s="235"/>
      <c r="QXJ140" s="235"/>
      <c r="QXK140" s="235"/>
      <c r="QXL140" s="235"/>
      <c r="QXM140" s="235"/>
      <c r="QXN140" s="235"/>
      <c r="QXO140" s="235"/>
      <c r="QXP140" s="235"/>
      <c r="QXQ140" s="235"/>
      <c r="QXR140" s="235"/>
      <c r="QXS140" s="235"/>
      <c r="QXT140" s="235"/>
      <c r="QXU140" s="235"/>
      <c r="QXV140" s="235"/>
      <c r="QXW140" s="235"/>
      <c r="QXX140" s="235"/>
      <c r="QXY140" s="235"/>
      <c r="QXZ140" s="235"/>
      <c r="QYA140" s="235"/>
      <c r="QYB140" s="235"/>
      <c r="QYC140" s="235"/>
      <c r="QYD140" s="235"/>
      <c r="QYE140" s="235"/>
      <c r="QYF140" s="235"/>
      <c r="QYG140" s="235"/>
      <c r="QYH140" s="235"/>
      <c r="QYI140" s="235"/>
      <c r="QYJ140" s="235"/>
      <c r="QYK140" s="235"/>
      <c r="QYL140" s="235"/>
      <c r="QYM140" s="235"/>
      <c r="QYN140" s="235"/>
      <c r="QYO140" s="235"/>
      <c r="QYP140" s="235"/>
      <c r="QYQ140" s="235"/>
      <c r="QYR140" s="235"/>
      <c r="QYS140" s="235"/>
      <c r="QYT140" s="235"/>
      <c r="QYU140" s="235"/>
      <c r="QYV140" s="235"/>
      <c r="QYW140" s="235"/>
      <c r="QYX140" s="235"/>
      <c r="QYY140" s="235"/>
      <c r="QYZ140" s="235"/>
      <c r="QZA140" s="235"/>
      <c r="QZB140" s="235"/>
      <c r="QZC140" s="235"/>
      <c r="QZD140" s="235"/>
      <c r="QZE140" s="235"/>
      <c r="QZF140" s="235"/>
      <c r="QZG140" s="235"/>
      <c r="QZH140" s="235"/>
      <c r="QZI140" s="235"/>
      <c r="QZJ140" s="235"/>
      <c r="QZK140" s="235"/>
      <c r="QZL140" s="235"/>
      <c r="QZM140" s="235"/>
      <c r="QZN140" s="235"/>
      <c r="QZO140" s="235"/>
      <c r="QZP140" s="235"/>
      <c r="QZQ140" s="235"/>
      <c r="QZR140" s="235"/>
      <c r="QZS140" s="235"/>
      <c r="QZT140" s="235"/>
      <c r="QZU140" s="235"/>
      <c r="QZV140" s="235"/>
      <c r="QZW140" s="235"/>
      <c r="QZX140" s="235"/>
      <c r="QZY140" s="235"/>
      <c r="QZZ140" s="235"/>
      <c r="RAA140" s="235"/>
      <c r="RAB140" s="235"/>
      <c r="RAC140" s="235"/>
      <c r="RAD140" s="235"/>
      <c r="RAE140" s="235"/>
      <c r="RAF140" s="235"/>
      <c r="RAG140" s="235"/>
      <c r="RAH140" s="235"/>
      <c r="RAI140" s="235"/>
      <c r="RAJ140" s="235"/>
      <c r="RAK140" s="235"/>
      <c r="RAL140" s="235"/>
      <c r="RAM140" s="235"/>
      <c r="RAN140" s="235"/>
      <c r="RAO140" s="235"/>
      <c r="RAP140" s="235"/>
      <c r="RAQ140" s="235"/>
      <c r="RAR140" s="235"/>
      <c r="RAS140" s="235"/>
      <c r="RAT140" s="235"/>
      <c r="RAU140" s="235"/>
      <c r="RAV140" s="235"/>
      <c r="RAW140" s="235"/>
      <c r="RAX140" s="235"/>
      <c r="RAY140" s="235"/>
      <c r="RAZ140" s="235"/>
      <c r="RBA140" s="235"/>
      <c r="RBB140" s="235"/>
      <c r="RBC140" s="235"/>
      <c r="RBD140" s="235"/>
      <c r="RBE140" s="235"/>
      <c r="RBF140" s="235"/>
      <c r="RBG140" s="235"/>
      <c r="RBH140" s="235"/>
      <c r="RBI140" s="235"/>
      <c r="RBJ140" s="235"/>
      <c r="RBK140" s="235"/>
      <c r="RBL140" s="235"/>
      <c r="RBM140" s="235"/>
      <c r="RBN140" s="235"/>
      <c r="RBO140" s="235"/>
      <c r="RBP140" s="235"/>
      <c r="RBQ140" s="235"/>
      <c r="RBR140" s="235"/>
      <c r="RBS140" s="235"/>
      <c r="RBT140" s="235"/>
      <c r="RBU140" s="235"/>
      <c r="RBV140" s="235"/>
      <c r="RBW140" s="235"/>
      <c r="RBX140" s="235"/>
      <c r="RBY140" s="235"/>
      <c r="RBZ140" s="235"/>
      <c r="RCA140" s="235"/>
      <c r="RCB140" s="235"/>
      <c r="RCC140" s="235"/>
      <c r="RCD140" s="235"/>
      <c r="RCE140" s="235"/>
      <c r="RCF140" s="235"/>
      <c r="RCG140" s="235"/>
      <c r="RCH140" s="235"/>
      <c r="RCI140" s="235"/>
      <c r="RCJ140" s="235"/>
      <c r="RCK140" s="235"/>
      <c r="RCL140" s="235"/>
      <c r="RCM140" s="235"/>
      <c r="RCN140" s="235"/>
      <c r="RCO140" s="235"/>
      <c r="RCP140" s="235"/>
      <c r="RCQ140" s="235"/>
      <c r="RCR140" s="235"/>
      <c r="RCS140" s="235"/>
      <c r="RCT140" s="235"/>
      <c r="RCU140" s="235"/>
      <c r="RCV140" s="235"/>
      <c r="RCW140" s="235"/>
      <c r="RCX140" s="235"/>
      <c r="RCY140" s="235"/>
      <c r="RCZ140" s="235"/>
      <c r="RDA140" s="235"/>
      <c r="RDB140" s="235"/>
      <c r="RDC140" s="235"/>
      <c r="RDD140" s="235"/>
      <c r="RDE140" s="235"/>
      <c r="RDF140" s="235"/>
      <c r="RDG140" s="235"/>
      <c r="RDH140" s="235"/>
      <c r="RDI140" s="235"/>
      <c r="RDJ140" s="235"/>
      <c r="RDK140" s="235"/>
      <c r="RDL140" s="235"/>
      <c r="RDM140" s="235"/>
      <c r="RDN140" s="235"/>
      <c r="RDO140" s="235"/>
      <c r="RDP140" s="235"/>
      <c r="RDQ140" s="235"/>
      <c r="RDR140" s="235"/>
      <c r="RDS140" s="235"/>
      <c r="RDT140" s="235"/>
      <c r="RDU140" s="235"/>
      <c r="RDV140" s="235"/>
      <c r="RDW140" s="235"/>
      <c r="RDX140" s="235"/>
      <c r="RDY140" s="235"/>
      <c r="RDZ140" s="235"/>
      <c r="REA140" s="235"/>
      <c r="REB140" s="235"/>
      <c r="REC140" s="235"/>
      <c r="RED140" s="235"/>
      <c r="REE140" s="235"/>
      <c r="REF140" s="235"/>
      <c r="REG140" s="235"/>
      <c r="REH140" s="235"/>
      <c r="REI140" s="235"/>
      <c r="REJ140" s="235"/>
      <c r="REK140" s="235"/>
      <c r="REL140" s="235"/>
      <c r="REM140" s="235"/>
      <c r="REN140" s="235"/>
      <c r="REO140" s="235"/>
      <c r="REP140" s="235"/>
      <c r="REQ140" s="235"/>
      <c r="RER140" s="235"/>
      <c r="RES140" s="235"/>
      <c r="RET140" s="235"/>
      <c r="REU140" s="235"/>
      <c r="REV140" s="235"/>
      <c r="REW140" s="235"/>
      <c r="REX140" s="235"/>
      <c r="REY140" s="235"/>
      <c r="REZ140" s="235"/>
      <c r="RFA140" s="235"/>
      <c r="RFB140" s="235"/>
      <c r="RFC140" s="235"/>
      <c r="RFD140" s="235"/>
      <c r="RFE140" s="235"/>
      <c r="RFF140" s="235"/>
      <c r="RFG140" s="235"/>
      <c r="RFH140" s="235"/>
      <c r="RFI140" s="235"/>
      <c r="RFJ140" s="235"/>
      <c r="RFK140" s="235"/>
      <c r="RFL140" s="235"/>
      <c r="RFM140" s="235"/>
      <c r="RFN140" s="235"/>
      <c r="RFO140" s="235"/>
      <c r="RFP140" s="235"/>
      <c r="RFQ140" s="235"/>
      <c r="RFR140" s="235"/>
      <c r="RFS140" s="235"/>
      <c r="RFT140" s="235"/>
      <c r="RFU140" s="235"/>
      <c r="RFV140" s="235"/>
      <c r="RFW140" s="235"/>
      <c r="RFX140" s="235"/>
      <c r="RFY140" s="235"/>
      <c r="RFZ140" s="235"/>
      <c r="RGA140" s="235"/>
      <c r="RGB140" s="235"/>
      <c r="RGC140" s="235"/>
      <c r="RGD140" s="235"/>
      <c r="RGE140" s="235"/>
      <c r="RGF140" s="235"/>
      <c r="RGG140" s="235"/>
      <c r="RGH140" s="235"/>
      <c r="RGI140" s="235"/>
      <c r="RGJ140" s="235"/>
      <c r="RGK140" s="235"/>
      <c r="RGL140" s="235"/>
      <c r="RGM140" s="235"/>
      <c r="RGN140" s="235"/>
      <c r="RGO140" s="235"/>
      <c r="RGP140" s="235"/>
      <c r="RGQ140" s="235"/>
      <c r="RGR140" s="235"/>
      <c r="RGS140" s="235"/>
      <c r="RGT140" s="235"/>
      <c r="RGU140" s="235"/>
      <c r="RGV140" s="235"/>
      <c r="RGW140" s="235"/>
      <c r="RGX140" s="235"/>
      <c r="RGY140" s="235"/>
      <c r="RGZ140" s="235"/>
      <c r="RHA140" s="235"/>
      <c r="RHB140" s="235"/>
      <c r="RHC140" s="235"/>
      <c r="RHD140" s="235"/>
      <c r="RHE140" s="235"/>
      <c r="RHF140" s="235"/>
      <c r="RHG140" s="235"/>
      <c r="RHH140" s="235"/>
      <c r="RHI140" s="235"/>
      <c r="RHJ140" s="235"/>
      <c r="RHK140" s="235"/>
      <c r="RHL140" s="235"/>
      <c r="RHM140" s="235"/>
      <c r="RHN140" s="235"/>
      <c r="RHO140" s="235"/>
      <c r="RHP140" s="235"/>
      <c r="RHQ140" s="235"/>
      <c r="RHR140" s="235"/>
      <c r="RHS140" s="235"/>
      <c r="RHT140" s="235"/>
      <c r="RHU140" s="235"/>
      <c r="RHV140" s="235"/>
      <c r="RHW140" s="235"/>
      <c r="RHX140" s="235"/>
      <c r="RHY140" s="235"/>
      <c r="RHZ140" s="235"/>
      <c r="RIA140" s="235"/>
      <c r="RIB140" s="235"/>
      <c r="RIC140" s="235"/>
      <c r="RID140" s="235"/>
      <c r="RIE140" s="235"/>
      <c r="RIF140" s="235"/>
      <c r="RIG140" s="235"/>
      <c r="RIH140" s="235"/>
      <c r="RII140" s="235"/>
      <c r="RIJ140" s="235"/>
      <c r="RIK140" s="235"/>
      <c r="RIL140" s="235"/>
      <c r="RIM140" s="235"/>
      <c r="RIN140" s="235"/>
      <c r="RIO140" s="235"/>
      <c r="RIP140" s="235"/>
      <c r="RIQ140" s="235"/>
      <c r="RIR140" s="235"/>
      <c r="RIS140" s="235"/>
      <c r="RIT140" s="235"/>
      <c r="RIU140" s="235"/>
      <c r="RIV140" s="235"/>
      <c r="RIW140" s="235"/>
      <c r="RIX140" s="235"/>
      <c r="RIY140" s="235"/>
      <c r="RIZ140" s="235"/>
      <c r="RJA140" s="235"/>
      <c r="RJB140" s="235"/>
      <c r="RJC140" s="235"/>
      <c r="RJD140" s="235"/>
      <c r="RJE140" s="235"/>
      <c r="RJF140" s="235"/>
      <c r="RJG140" s="235"/>
      <c r="RJH140" s="235"/>
      <c r="RJI140" s="235"/>
      <c r="RJJ140" s="235"/>
      <c r="RJK140" s="235"/>
      <c r="RJL140" s="235"/>
      <c r="RJM140" s="235"/>
      <c r="RJN140" s="235"/>
      <c r="RJO140" s="235"/>
      <c r="RJP140" s="235"/>
      <c r="RJQ140" s="235"/>
      <c r="RJR140" s="235"/>
      <c r="RJS140" s="235"/>
      <c r="RJT140" s="235"/>
      <c r="RJU140" s="235"/>
      <c r="RJV140" s="235"/>
      <c r="RJW140" s="235"/>
      <c r="RJX140" s="235"/>
      <c r="RJY140" s="235"/>
      <c r="RJZ140" s="235"/>
      <c r="RKA140" s="235"/>
      <c r="RKB140" s="235"/>
      <c r="RKC140" s="235"/>
      <c r="RKD140" s="235"/>
      <c r="RKE140" s="235"/>
      <c r="RKF140" s="235"/>
      <c r="RKG140" s="235"/>
      <c r="RKH140" s="235"/>
      <c r="RKI140" s="235"/>
      <c r="RKJ140" s="235"/>
      <c r="RKK140" s="235"/>
      <c r="RKL140" s="235"/>
      <c r="RKM140" s="235"/>
      <c r="RKN140" s="235"/>
      <c r="RKO140" s="235"/>
      <c r="RKP140" s="235"/>
      <c r="RKQ140" s="235"/>
      <c r="RKR140" s="235"/>
      <c r="RKS140" s="235"/>
      <c r="RKT140" s="235"/>
      <c r="RKU140" s="235"/>
      <c r="RKV140" s="235"/>
      <c r="RKW140" s="235"/>
      <c r="RKX140" s="235"/>
      <c r="RKY140" s="235"/>
      <c r="RKZ140" s="235"/>
      <c r="RLA140" s="235"/>
      <c r="RLB140" s="235"/>
      <c r="RLC140" s="235"/>
      <c r="RLD140" s="235"/>
      <c r="RLE140" s="235"/>
      <c r="RLF140" s="235"/>
      <c r="RLG140" s="235"/>
      <c r="RLH140" s="235"/>
      <c r="RLI140" s="235"/>
      <c r="RLJ140" s="235"/>
      <c r="RLK140" s="235"/>
      <c r="RLL140" s="235"/>
      <c r="RLM140" s="235"/>
      <c r="RLN140" s="235"/>
      <c r="RLO140" s="235"/>
      <c r="RLP140" s="235"/>
      <c r="RLQ140" s="235"/>
      <c r="RLR140" s="235"/>
      <c r="RLS140" s="235"/>
      <c r="RLT140" s="235"/>
      <c r="RLU140" s="235"/>
      <c r="RLV140" s="235"/>
      <c r="RLW140" s="235"/>
      <c r="RLX140" s="235"/>
      <c r="RLY140" s="235"/>
      <c r="RLZ140" s="235"/>
      <c r="RMA140" s="235"/>
      <c r="RMB140" s="235"/>
      <c r="RMC140" s="235"/>
      <c r="RMD140" s="235"/>
      <c r="RME140" s="235"/>
      <c r="RMF140" s="235"/>
      <c r="RMG140" s="235"/>
      <c r="RMH140" s="235"/>
      <c r="RMI140" s="235"/>
      <c r="RMJ140" s="235"/>
      <c r="RMK140" s="235"/>
      <c r="RML140" s="235"/>
      <c r="RMM140" s="235"/>
      <c r="RMN140" s="235"/>
      <c r="RMO140" s="235"/>
      <c r="RMP140" s="235"/>
      <c r="RMQ140" s="235"/>
      <c r="RMR140" s="235"/>
      <c r="RMS140" s="235"/>
      <c r="RMT140" s="235"/>
      <c r="RMU140" s="235"/>
      <c r="RMV140" s="235"/>
      <c r="RMW140" s="235"/>
      <c r="RMX140" s="235"/>
      <c r="RMY140" s="235"/>
      <c r="RMZ140" s="235"/>
      <c r="RNA140" s="235"/>
      <c r="RNB140" s="235"/>
      <c r="RNC140" s="235"/>
      <c r="RND140" s="235"/>
      <c r="RNE140" s="235"/>
      <c r="RNF140" s="235"/>
      <c r="RNG140" s="235"/>
      <c r="RNH140" s="235"/>
      <c r="RNI140" s="235"/>
      <c r="RNJ140" s="235"/>
      <c r="RNK140" s="235"/>
      <c r="RNL140" s="235"/>
      <c r="RNM140" s="235"/>
      <c r="RNN140" s="235"/>
      <c r="RNO140" s="235"/>
      <c r="RNP140" s="235"/>
      <c r="RNQ140" s="235"/>
      <c r="RNR140" s="235"/>
      <c r="RNS140" s="235"/>
      <c r="RNT140" s="235"/>
      <c r="RNU140" s="235"/>
      <c r="RNV140" s="235"/>
      <c r="RNW140" s="235"/>
      <c r="RNX140" s="235"/>
      <c r="RNY140" s="235"/>
      <c r="RNZ140" s="235"/>
      <c r="ROA140" s="235"/>
      <c r="ROB140" s="235"/>
      <c r="ROC140" s="235"/>
      <c r="ROD140" s="235"/>
      <c r="ROE140" s="235"/>
      <c r="ROF140" s="235"/>
      <c r="ROG140" s="235"/>
      <c r="ROH140" s="235"/>
      <c r="ROI140" s="235"/>
      <c r="ROJ140" s="235"/>
      <c r="ROK140" s="235"/>
      <c r="ROL140" s="235"/>
      <c r="ROM140" s="235"/>
      <c r="RON140" s="235"/>
      <c r="ROO140" s="235"/>
      <c r="ROP140" s="235"/>
      <c r="ROQ140" s="235"/>
      <c r="ROR140" s="235"/>
      <c r="ROS140" s="235"/>
      <c r="ROT140" s="235"/>
      <c r="ROU140" s="235"/>
      <c r="ROV140" s="235"/>
      <c r="ROW140" s="235"/>
      <c r="ROX140" s="235"/>
      <c r="ROY140" s="235"/>
      <c r="ROZ140" s="235"/>
      <c r="RPA140" s="235"/>
      <c r="RPB140" s="235"/>
      <c r="RPC140" s="235"/>
      <c r="RPD140" s="235"/>
      <c r="RPE140" s="235"/>
      <c r="RPF140" s="235"/>
      <c r="RPG140" s="235"/>
      <c r="RPH140" s="235"/>
      <c r="RPI140" s="235"/>
      <c r="RPJ140" s="235"/>
      <c r="RPK140" s="235"/>
      <c r="RPL140" s="235"/>
      <c r="RPM140" s="235"/>
      <c r="RPN140" s="235"/>
      <c r="RPO140" s="235"/>
      <c r="RPP140" s="235"/>
      <c r="RPQ140" s="235"/>
      <c r="RPR140" s="235"/>
      <c r="RPS140" s="235"/>
      <c r="RPT140" s="235"/>
      <c r="RPU140" s="235"/>
      <c r="RPV140" s="235"/>
      <c r="RPW140" s="235"/>
      <c r="RPX140" s="235"/>
      <c r="RPY140" s="235"/>
      <c r="RPZ140" s="235"/>
      <c r="RQA140" s="235"/>
      <c r="RQB140" s="235"/>
      <c r="RQC140" s="235"/>
      <c r="RQD140" s="235"/>
      <c r="RQE140" s="235"/>
      <c r="RQF140" s="235"/>
      <c r="RQG140" s="235"/>
      <c r="RQH140" s="235"/>
      <c r="RQI140" s="235"/>
      <c r="RQJ140" s="235"/>
      <c r="RQK140" s="235"/>
      <c r="RQL140" s="235"/>
      <c r="RQM140" s="235"/>
      <c r="RQN140" s="235"/>
      <c r="RQO140" s="235"/>
      <c r="RQP140" s="235"/>
      <c r="RQQ140" s="235"/>
      <c r="RQR140" s="235"/>
      <c r="RQS140" s="235"/>
      <c r="RQT140" s="235"/>
      <c r="RQU140" s="235"/>
      <c r="RQV140" s="235"/>
      <c r="RQW140" s="235"/>
      <c r="RQX140" s="235"/>
      <c r="RQY140" s="235"/>
      <c r="RQZ140" s="235"/>
      <c r="RRA140" s="235"/>
      <c r="RRB140" s="235"/>
      <c r="RRC140" s="235"/>
      <c r="RRD140" s="235"/>
      <c r="RRE140" s="235"/>
      <c r="RRF140" s="235"/>
      <c r="RRG140" s="235"/>
      <c r="RRH140" s="235"/>
      <c r="RRI140" s="235"/>
      <c r="RRJ140" s="235"/>
      <c r="RRK140" s="235"/>
      <c r="RRL140" s="235"/>
      <c r="RRM140" s="235"/>
      <c r="RRN140" s="235"/>
      <c r="RRO140" s="235"/>
      <c r="RRP140" s="235"/>
      <c r="RRQ140" s="235"/>
      <c r="RRR140" s="235"/>
      <c r="RRS140" s="235"/>
      <c r="RRT140" s="235"/>
      <c r="RRU140" s="235"/>
      <c r="RRV140" s="235"/>
      <c r="RRW140" s="235"/>
      <c r="RRX140" s="235"/>
      <c r="RRY140" s="235"/>
      <c r="RRZ140" s="235"/>
      <c r="RSA140" s="235"/>
      <c r="RSB140" s="235"/>
      <c r="RSC140" s="235"/>
      <c r="RSD140" s="235"/>
      <c r="RSE140" s="235"/>
      <c r="RSF140" s="235"/>
      <c r="RSG140" s="235"/>
      <c r="RSH140" s="235"/>
      <c r="RSI140" s="235"/>
      <c r="RSJ140" s="235"/>
      <c r="RSK140" s="235"/>
      <c r="RSL140" s="235"/>
      <c r="RSM140" s="235"/>
      <c r="RSN140" s="235"/>
      <c r="RSO140" s="235"/>
      <c r="RSP140" s="235"/>
      <c r="RSQ140" s="235"/>
      <c r="RSR140" s="235"/>
      <c r="RSS140" s="235"/>
      <c r="RST140" s="235"/>
      <c r="RSU140" s="235"/>
      <c r="RSV140" s="235"/>
      <c r="RSW140" s="235"/>
      <c r="RSX140" s="235"/>
      <c r="RSY140" s="235"/>
      <c r="RSZ140" s="235"/>
      <c r="RTA140" s="235"/>
      <c r="RTB140" s="235"/>
      <c r="RTC140" s="235"/>
      <c r="RTD140" s="235"/>
      <c r="RTE140" s="235"/>
      <c r="RTF140" s="235"/>
      <c r="RTG140" s="235"/>
      <c r="RTH140" s="235"/>
      <c r="RTI140" s="235"/>
      <c r="RTJ140" s="235"/>
      <c r="RTK140" s="235"/>
      <c r="RTL140" s="235"/>
      <c r="RTM140" s="235"/>
      <c r="RTN140" s="235"/>
      <c r="RTO140" s="235"/>
      <c r="RTP140" s="235"/>
      <c r="RTQ140" s="235"/>
      <c r="RTR140" s="235"/>
      <c r="RTS140" s="235"/>
      <c r="RTT140" s="235"/>
      <c r="RTU140" s="235"/>
      <c r="RTV140" s="235"/>
      <c r="RTW140" s="235"/>
      <c r="RTX140" s="235"/>
      <c r="RTY140" s="235"/>
      <c r="RTZ140" s="235"/>
      <c r="RUA140" s="235"/>
      <c r="RUB140" s="235"/>
      <c r="RUC140" s="235"/>
      <c r="RUD140" s="235"/>
      <c r="RUE140" s="235"/>
      <c r="RUF140" s="235"/>
      <c r="RUG140" s="235"/>
      <c r="RUH140" s="235"/>
      <c r="RUI140" s="235"/>
      <c r="RUJ140" s="235"/>
      <c r="RUK140" s="235"/>
      <c r="RUL140" s="235"/>
      <c r="RUM140" s="235"/>
      <c r="RUN140" s="235"/>
      <c r="RUO140" s="235"/>
      <c r="RUP140" s="235"/>
      <c r="RUQ140" s="235"/>
      <c r="RUR140" s="235"/>
      <c r="RUS140" s="235"/>
      <c r="RUT140" s="235"/>
      <c r="RUU140" s="235"/>
      <c r="RUV140" s="235"/>
      <c r="RUW140" s="235"/>
      <c r="RUX140" s="235"/>
      <c r="RUY140" s="235"/>
      <c r="RUZ140" s="235"/>
      <c r="RVA140" s="235"/>
      <c r="RVB140" s="235"/>
      <c r="RVC140" s="235"/>
      <c r="RVD140" s="235"/>
      <c r="RVE140" s="235"/>
      <c r="RVF140" s="235"/>
      <c r="RVG140" s="235"/>
      <c r="RVH140" s="235"/>
      <c r="RVI140" s="235"/>
      <c r="RVJ140" s="235"/>
      <c r="RVK140" s="235"/>
      <c r="RVL140" s="235"/>
      <c r="RVM140" s="235"/>
      <c r="RVN140" s="235"/>
      <c r="RVO140" s="235"/>
      <c r="RVP140" s="235"/>
      <c r="RVQ140" s="235"/>
      <c r="RVR140" s="235"/>
      <c r="RVS140" s="235"/>
      <c r="RVT140" s="235"/>
      <c r="RVU140" s="235"/>
      <c r="RVV140" s="235"/>
      <c r="RVW140" s="235"/>
      <c r="RVX140" s="235"/>
      <c r="RVY140" s="235"/>
      <c r="RVZ140" s="235"/>
      <c r="RWA140" s="235"/>
      <c r="RWB140" s="235"/>
      <c r="RWC140" s="235"/>
      <c r="RWD140" s="235"/>
      <c r="RWE140" s="235"/>
      <c r="RWF140" s="235"/>
      <c r="RWG140" s="235"/>
      <c r="RWH140" s="235"/>
      <c r="RWI140" s="235"/>
      <c r="RWJ140" s="235"/>
      <c r="RWK140" s="235"/>
      <c r="RWL140" s="235"/>
      <c r="RWM140" s="235"/>
      <c r="RWN140" s="235"/>
      <c r="RWO140" s="235"/>
      <c r="RWP140" s="235"/>
      <c r="RWQ140" s="235"/>
      <c r="RWR140" s="235"/>
      <c r="RWS140" s="235"/>
      <c r="RWT140" s="235"/>
      <c r="RWU140" s="235"/>
      <c r="RWV140" s="235"/>
      <c r="RWW140" s="235"/>
      <c r="RWX140" s="235"/>
      <c r="RWY140" s="235"/>
      <c r="RWZ140" s="235"/>
      <c r="RXA140" s="235"/>
      <c r="RXB140" s="235"/>
      <c r="RXC140" s="235"/>
      <c r="RXD140" s="235"/>
      <c r="RXE140" s="235"/>
      <c r="RXF140" s="235"/>
      <c r="RXG140" s="235"/>
      <c r="RXH140" s="235"/>
      <c r="RXI140" s="235"/>
      <c r="RXJ140" s="235"/>
      <c r="RXK140" s="235"/>
      <c r="RXL140" s="235"/>
      <c r="RXM140" s="235"/>
      <c r="RXN140" s="235"/>
      <c r="RXO140" s="235"/>
      <c r="RXP140" s="235"/>
      <c r="RXQ140" s="235"/>
      <c r="RXR140" s="235"/>
      <c r="RXS140" s="235"/>
      <c r="RXT140" s="235"/>
      <c r="RXU140" s="235"/>
      <c r="RXV140" s="235"/>
      <c r="RXW140" s="235"/>
      <c r="RXX140" s="235"/>
      <c r="RXY140" s="235"/>
      <c r="RXZ140" s="235"/>
      <c r="RYA140" s="235"/>
      <c r="RYB140" s="235"/>
      <c r="RYC140" s="235"/>
      <c r="RYD140" s="235"/>
      <c r="RYE140" s="235"/>
      <c r="RYF140" s="235"/>
      <c r="RYG140" s="235"/>
      <c r="RYH140" s="235"/>
      <c r="RYI140" s="235"/>
      <c r="RYJ140" s="235"/>
      <c r="RYK140" s="235"/>
      <c r="RYL140" s="235"/>
      <c r="RYM140" s="235"/>
      <c r="RYN140" s="235"/>
      <c r="RYO140" s="235"/>
      <c r="RYP140" s="235"/>
      <c r="RYQ140" s="235"/>
      <c r="RYR140" s="235"/>
      <c r="RYS140" s="235"/>
      <c r="RYT140" s="235"/>
      <c r="RYU140" s="235"/>
      <c r="RYV140" s="235"/>
      <c r="RYW140" s="235"/>
      <c r="RYX140" s="235"/>
      <c r="RYY140" s="235"/>
      <c r="RYZ140" s="235"/>
      <c r="RZA140" s="235"/>
      <c r="RZB140" s="235"/>
      <c r="RZC140" s="235"/>
      <c r="RZD140" s="235"/>
      <c r="RZE140" s="235"/>
      <c r="RZF140" s="235"/>
      <c r="RZG140" s="235"/>
      <c r="RZH140" s="235"/>
      <c r="RZI140" s="235"/>
      <c r="RZJ140" s="235"/>
      <c r="RZK140" s="235"/>
      <c r="RZL140" s="235"/>
      <c r="RZM140" s="235"/>
      <c r="RZN140" s="235"/>
      <c r="RZO140" s="235"/>
      <c r="RZP140" s="235"/>
      <c r="RZQ140" s="235"/>
      <c r="RZR140" s="235"/>
      <c r="RZS140" s="235"/>
      <c r="RZT140" s="235"/>
      <c r="RZU140" s="235"/>
      <c r="RZV140" s="235"/>
      <c r="RZW140" s="235"/>
      <c r="RZX140" s="235"/>
      <c r="RZY140" s="235"/>
      <c r="RZZ140" s="235"/>
      <c r="SAA140" s="235"/>
      <c r="SAB140" s="235"/>
      <c r="SAC140" s="235"/>
      <c r="SAD140" s="235"/>
      <c r="SAE140" s="235"/>
      <c r="SAF140" s="235"/>
      <c r="SAG140" s="235"/>
      <c r="SAH140" s="235"/>
      <c r="SAI140" s="235"/>
      <c r="SAJ140" s="235"/>
      <c r="SAK140" s="235"/>
      <c r="SAL140" s="235"/>
      <c r="SAM140" s="235"/>
      <c r="SAN140" s="235"/>
      <c r="SAO140" s="235"/>
      <c r="SAP140" s="235"/>
      <c r="SAQ140" s="235"/>
      <c r="SAR140" s="235"/>
      <c r="SAS140" s="235"/>
      <c r="SAT140" s="235"/>
      <c r="SAU140" s="235"/>
      <c r="SAV140" s="235"/>
      <c r="SAW140" s="235"/>
      <c r="SAX140" s="235"/>
      <c r="SAY140" s="235"/>
      <c r="SAZ140" s="235"/>
      <c r="SBA140" s="235"/>
      <c r="SBB140" s="235"/>
      <c r="SBC140" s="235"/>
      <c r="SBD140" s="235"/>
      <c r="SBE140" s="235"/>
      <c r="SBF140" s="235"/>
      <c r="SBG140" s="235"/>
      <c r="SBH140" s="235"/>
      <c r="SBI140" s="235"/>
      <c r="SBJ140" s="235"/>
      <c r="SBK140" s="235"/>
      <c r="SBL140" s="235"/>
      <c r="SBM140" s="235"/>
      <c r="SBN140" s="235"/>
      <c r="SBO140" s="235"/>
      <c r="SBP140" s="235"/>
      <c r="SBQ140" s="235"/>
      <c r="SBR140" s="235"/>
      <c r="SBS140" s="235"/>
      <c r="SBT140" s="235"/>
      <c r="SBU140" s="235"/>
      <c r="SBV140" s="235"/>
      <c r="SBW140" s="235"/>
      <c r="SBX140" s="235"/>
      <c r="SBY140" s="235"/>
      <c r="SBZ140" s="235"/>
      <c r="SCA140" s="235"/>
      <c r="SCB140" s="235"/>
      <c r="SCC140" s="235"/>
      <c r="SCD140" s="235"/>
      <c r="SCE140" s="235"/>
      <c r="SCF140" s="235"/>
      <c r="SCG140" s="235"/>
      <c r="SCH140" s="235"/>
      <c r="SCI140" s="235"/>
      <c r="SCJ140" s="235"/>
      <c r="SCK140" s="235"/>
      <c r="SCL140" s="235"/>
      <c r="SCM140" s="235"/>
      <c r="SCN140" s="235"/>
      <c r="SCO140" s="235"/>
      <c r="SCP140" s="235"/>
      <c r="SCQ140" s="235"/>
      <c r="SCR140" s="235"/>
      <c r="SCS140" s="235"/>
      <c r="SCT140" s="235"/>
      <c r="SCU140" s="235"/>
      <c r="SCV140" s="235"/>
      <c r="SCW140" s="235"/>
      <c r="SCX140" s="235"/>
      <c r="SCY140" s="235"/>
      <c r="SCZ140" s="235"/>
      <c r="SDA140" s="235"/>
      <c r="SDB140" s="235"/>
      <c r="SDC140" s="235"/>
      <c r="SDD140" s="235"/>
      <c r="SDE140" s="235"/>
      <c r="SDF140" s="235"/>
      <c r="SDG140" s="235"/>
      <c r="SDH140" s="235"/>
      <c r="SDI140" s="235"/>
      <c r="SDJ140" s="235"/>
      <c r="SDK140" s="235"/>
      <c r="SDL140" s="235"/>
      <c r="SDM140" s="235"/>
      <c r="SDN140" s="235"/>
      <c r="SDO140" s="235"/>
      <c r="SDP140" s="235"/>
      <c r="SDQ140" s="235"/>
      <c r="SDR140" s="235"/>
      <c r="SDS140" s="235"/>
      <c r="SDT140" s="235"/>
      <c r="SDU140" s="235"/>
      <c r="SDV140" s="235"/>
      <c r="SDW140" s="235"/>
      <c r="SDX140" s="235"/>
      <c r="SDY140" s="235"/>
      <c r="SDZ140" s="235"/>
      <c r="SEA140" s="235"/>
      <c r="SEB140" s="235"/>
      <c r="SEC140" s="235"/>
      <c r="SED140" s="235"/>
      <c r="SEE140" s="235"/>
      <c r="SEF140" s="235"/>
      <c r="SEG140" s="235"/>
      <c r="SEH140" s="235"/>
      <c r="SEI140" s="235"/>
      <c r="SEJ140" s="235"/>
      <c r="SEK140" s="235"/>
      <c r="SEL140" s="235"/>
      <c r="SEM140" s="235"/>
      <c r="SEN140" s="235"/>
      <c r="SEO140" s="235"/>
      <c r="SEP140" s="235"/>
      <c r="SEQ140" s="235"/>
      <c r="SER140" s="235"/>
      <c r="SES140" s="235"/>
      <c r="SET140" s="235"/>
      <c r="SEU140" s="235"/>
      <c r="SEV140" s="235"/>
      <c r="SEW140" s="235"/>
      <c r="SEX140" s="235"/>
      <c r="SEY140" s="235"/>
      <c r="SEZ140" s="235"/>
      <c r="SFA140" s="235"/>
      <c r="SFB140" s="235"/>
      <c r="SFC140" s="235"/>
      <c r="SFD140" s="235"/>
      <c r="SFE140" s="235"/>
      <c r="SFF140" s="235"/>
      <c r="SFG140" s="235"/>
      <c r="SFH140" s="235"/>
      <c r="SFI140" s="235"/>
      <c r="SFJ140" s="235"/>
      <c r="SFK140" s="235"/>
      <c r="SFL140" s="235"/>
      <c r="SFM140" s="235"/>
      <c r="SFN140" s="235"/>
      <c r="SFO140" s="235"/>
      <c r="SFP140" s="235"/>
      <c r="SFQ140" s="235"/>
      <c r="SFR140" s="235"/>
      <c r="SFS140" s="235"/>
      <c r="SFT140" s="235"/>
      <c r="SFU140" s="235"/>
      <c r="SFV140" s="235"/>
      <c r="SFW140" s="235"/>
      <c r="SFX140" s="235"/>
      <c r="SFY140" s="235"/>
      <c r="SFZ140" s="235"/>
      <c r="SGA140" s="235"/>
      <c r="SGB140" s="235"/>
      <c r="SGC140" s="235"/>
      <c r="SGD140" s="235"/>
      <c r="SGE140" s="235"/>
      <c r="SGF140" s="235"/>
      <c r="SGG140" s="235"/>
      <c r="SGH140" s="235"/>
      <c r="SGI140" s="235"/>
      <c r="SGJ140" s="235"/>
      <c r="SGK140" s="235"/>
      <c r="SGL140" s="235"/>
      <c r="SGM140" s="235"/>
      <c r="SGN140" s="235"/>
      <c r="SGO140" s="235"/>
      <c r="SGP140" s="235"/>
      <c r="SGQ140" s="235"/>
      <c r="SGR140" s="235"/>
      <c r="SGS140" s="235"/>
      <c r="SGT140" s="235"/>
      <c r="SGU140" s="235"/>
      <c r="SGV140" s="235"/>
      <c r="SGW140" s="235"/>
      <c r="SGX140" s="235"/>
      <c r="SGY140" s="235"/>
      <c r="SGZ140" s="235"/>
      <c r="SHA140" s="235"/>
      <c r="SHB140" s="235"/>
      <c r="SHC140" s="235"/>
      <c r="SHD140" s="235"/>
      <c r="SHE140" s="235"/>
      <c r="SHF140" s="235"/>
      <c r="SHG140" s="235"/>
      <c r="SHH140" s="235"/>
      <c r="SHI140" s="235"/>
      <c r="SHJ140" s="235"/>
      <c r="SHK140" s="235"/>
      <c r="SHL140" s="235"/>
      <c r="SHM140" s="235"/>
      <c r="SHN140" s="235"/>
      <c r="SHO140" s="235"/>
      <c r="SHP140" s="235"/>
      <c r="SHQ140" s="235"/>
      <c r="SHR140" s="235"/>
      <c r="SHS140" s="235"/>
      <c r="SHT140" s="235"/>
      <c r="SHU140" s="235"/>
      <c r="SHV140" s="235"/>
      <c r="SHW140" s="235"/>
      <c r="SHX140" s="235"/>
      <c r="SHY140" s="235"/>
      <c r="SHZ140" s="235"/>
      <c r="SIA140" s="235"/>
      <c r="SIB140" s="235"/>
      <c r="SIC140" s="235"/>
      <c r="SID140" s="235"/>
      <c r="SIE140" s="235"/>
      <c r="SIF140" s="235"/>
      <c r="SIG140" s="235"/>
      <c r="SIH140" s="235"/>
      <c r="SII140" s="235"/>
      <c r="SIJ140" s="235"/>
      <c r="SIK140" s="235"/>
      <c r="SIL140" s="235"/>
      <c r="SIM140" s="235"/>
      <c r="SIN140" s="235"/>
      <c r="SIO140" s="235"/>
      <c r="SIP140" s="235"/>
      <c r="SIQ140" s="235"/>
      <c r="SIR140" s="235"/>
      <c r="SIS140" s="235"/>
      <c r="SIT140" s="235"/>
      <c r="SIU140" s="235"/>
      <c r="SIV140" s="235"/>
      <c r="SIW140" s="235"/>
      <c r="SIX140" s="235"/>
      <c r="SIY140" s="235"/>
      <c r="SIZ140" s="235"/>
      <c r="SJA140" s="235"/>
      <c r="SJB140" s="235"/>
      <c r="SJC140" s="235"/>
      <c r="SJD140" s="235"/>
      <c r="SJE140" s="235"/>
      <c r="SJF140" s="235"/>
      <c r="SJG140" s="235"/>
      <c r="SJH140" s="235"/>
      <c r="SJI140" s="235"/>
      <c r="SJJ140" s="235"/>
      <c r="SJK140" s="235"/>
      <c r="SJL140" s="235"/>
      <c r="SJM140" s="235"/>
      <c r="SJN140" s="235"/>
      <c r="SJO140" s="235"/>
      <c r="SJP140" s="235"/>
      <c r="SJQ140" s="235"/>
      <c r="SJR140" s="235"/>
      <c r="SJS140" s="235"/>
      <c r="SJT140" s="235"/>
      <c r="SJU140" s="235"/>
      <c r="SJV140" s="235"/>
      <c r="SJW140" s="235"/>
      <c r="SJX140" s="235"/>
      <c r="SJY140" s="235"/>
      <c r="SJZ140" s="235"/>
      <c r="SKA140" s="235"/>
      <c r="SKB140" s="235"/>
      <c r="SKC140" s="235"/>
      <c r="SKD140" s="235"/>
      <c r="SKE140" s="235"/>
      <c r="SKF140" s="235"/>
      <c r="SKG140" s="235"/>
      <c r="SKH140" s="235"/>
      <c r="SKI140" s="235"/>
      <c r="SKJ140" s="235"/>
      <c r="SKK140" s="235"/>
      <c r="SKL140" s="235"/>
      <c r="SKM140" s="235"/>
      <c r="SKN140" s="235"/>
      <c r="SKO140" s="235"/>
      <c r="SKP140" s="235"/>
      <c r="SKQ140" s="235"/>
      <c r="SKR140" s="235"/>
      <c r="SKS140" s="235"/>
      <c r="SKT140" s="235"/>
      <c r="SKU140" s="235"/>
      <c r="SKV140" s="235"/>
      <c r="SKW140" s="235"/>
      <c r="SKX140" s="235"/>
      <c r="SKY140" s="235"/>
      <c r="SKZ140" s="235"/>
      <c r="SLA140" s="235"/>
      <c r="SLB140" s="235"/>
      <c r="SLC140" s="235"/>
      <c r="SLD140" s="235"/>
      <c r="SLE140" s="235"/>
      <c r="SLF140" s="235"/>
      <c r="SLG140" s="235"/>
      <c r="SLH140" s="235"/>
      <c r="SLI140" s="235"/>
      <c r="SLJ140" s="235"/>
      <c r="SLK140" s="235"/>
      <c r="SLL140" s="235"/>
      <c r="SLM140" s="235"/>
      <c r="SLN140" s="235"/>
      <c r="SLO140" s="235"/>
      <c r="SLP140" s="235"/>
      <c r="SLQ140" s="235"/>
      <c r="SLR140" s="235"/>
      <c r="SLS140" s="235"/>
      <c r="SLT140" s="235"/>
      <c r="SLU140" s="235"/>
      <c r="SLV140" s="235"/>
      <c r="SLW140" s="235"/>
      <c r="SLX140" s="235"/>
      <c r="SLY140" s="235"/>
      <c r="SLZ140" s="235"/>
      <c r="SMA140" s="235"/>
      <c r="SMB140" s="235"/>
      <c r="SMC140" s="235"/>
      <c r="SMD140" s="235"/>
      <c r="SME140" s="235"/>
      <c r="SMF140" s="235"/>
      <c r="SMG140" s="235"/>
      <c r="SMH140" s="235"/>
      <c r="SMI140" s="235"/>
      <c r="SMJ140" s="235"/>
      <c r="SMK140" s="235"/>
      <c r="SML140" s="235"/>
      <c r="SMM140" s="235"/>
      <c r="SMN140" s="235"/>
      <c r="SMO140" s="235"/>
      <c r="SMP140" s="235"/>
      <c r="SMQ140" s="235"/>
      <c r="SMR140" s="235"/>
      <c r="SMS140" s="235"/>
      <c r="SMT140" s="235"/>
      <c r="SMU140" s="235"/>
      <c r="SMV140" s="235"/>
      <c r="SMW140" s="235"/>
      <c r="SMX140" s="235"/>
      <c r="SMY140" s="235"/>
      <c r="SMZ140" s="235"/>
      <c r="SNA140" s="235"/>
      <c r="SNB140" s="235"/>
      <c r="SNC140" s="235"/>
      <c r="SND140" s="235"/>
      <c r="SNE140" s="235"/>
      <c r="SNF140" s="235"/>
      <c r="SNG140" s="235"/>
      <c r="SNH140" s="235"/>
      <c r="SNI140" s="235"/>
      <c r="SNJ140" s="235"/>
      <c r="SNK140" s="235"/>
      <c r="SNL140" s="235"/>
      <c r="SNM140" s="235"/>
      <c r="SNN140" s="235"/>
      <c r="SNO140" s="235"/>
      <c r="SNP140" s="235"/>
      <c r="SNQ140" s="235"/>
      <c r="SNR140" s="235"/>
      <c r="SNS140" s="235"/>
      <c r="SNT140" s="235"/>
      <c r="SNU140" s="235"/>
      <c r="SNV140" s="235"/>
      <c r="SNW140" s="235"/>
      <c r="SNX140" s="235"/>
      <c r="SNY140" s="235"/>
      <c r="SNZ140" s="235"/>
      <c r="SOA140" s="235"/>
      <c r="SOB140" s="235"/>
      <c r="SOC140" s="235"/>
      <c r="SOD140" s="235"/>
      <c r="SOE140" s="235"/>
      <c r="SOF140" s="235"/>
      <c r="SOG140" s="235"/>
      <c r="SOH140" s="235"/>
      <c r="SOI140" s="235"/>
      <c r="SOJ140" s="235"/>
      <c r="SOK140" s="235"/>
      <c r="SOL140" s="235"/>
      <c r="SOM140" s="235"/>
      <c r="SON140" s="235"/>
      <c r="SOO140" s="235"/>
      <c r="SOP140" s="235"/>
      <c r="SOQ140" s="235"/>
      <c r="SOR140" s="235"/>
      <c r="SOS140" s="235"/>
      <c r="SOT140" s="235"/>
      <c r="SOU140" s="235"/>
      <c r="SOV140" s="235"/>
      <c r="SOW140" s="235"/>
      <c r="SOX140" s="235"/>
      <c r="SOY140" s="235"/>
      <c r="SOZ140" s="235"/>
      <c r="SPA140" s="235"/>
      <c r="SPB140" s="235"/>
      <c r="SPC140" s="235"/>
      <c r="SPD140" s="235"/>
      <c r="SPE140" s="235"/>
      <c r="SPF140" s="235"/>
      <c r="SPG140" s="235"/>
      <c r="SPH140" s="235"/>
      <c r="SPI140" s="235"/>
      <c r="SPJ140" s="235"/>
      <c r="SPK140" s="235"/>
      <c r="SPL140" s="235"/>
      <c r="SPM140" s="235"/>
      <c r="SPN140" s="235"/>
      <c r="SPO140" s="235"/>
      <c r="SPP140" s="235"/>
      <c r="SPQ140" s="235"/>
      <c r="SPR140" s="235"/>
      <c r="SPS140" s="235"/>
      <c r="SPT140" s="235"/>
      <c r="SPU140" s="235"/>
      <c r="SPV140" s="235"/>
      <c r="SPW140" s="235"/>
      <c r="SPX140" s="235"/>
      <c r="SPY140" s="235"/>
      <c r="SPZ140" s="235"/>
      <c r="SQA140" s="235"/>
      <c r="SQB140" s="235"/>
      <c r="SQC140" s="235"/>
      <c r="SQD140" s="235"/>
      <c r="SQE140" s="235"/>
      <c r="SQF140" s="235"/>
      <c r="SQG140" s="235"/>
      <c r="SQH140" s="235"/>
      <c r="SQI140" s="235"/>
      <c r="SQJ140" s="235"/>
      <c r="SQK140" s="235"/>
      <c r="SQL140" s="235"/>
      <c r="SQM140" s="235"/>
      <c r="SQN140" s="235"/>
      <c r="SQO140" s="235"/>
      <c r="SQP140" s="235"/>
      <c r="SQQ140" s="235"/>
      <c r="SQR140" s="235"/>
      <c r="SQS140" s="235"/>
      <c r="SQT140" s="235"/>
      <c r="SQU140" s="235"/>
      <c r="SQV140" s="235"/>
      <c r="SQW140" s="235"/>
      <c r="SQX140" s="235"/>
      <c r="SQY140" s="235"/>
      <c r="SQZ140" s="235"/>
      <c r="SRA140" s="235"/>
      <c r="SRB140" s="235"/>
      <c r="SRC140" s="235"/>
      <c r="SRD140" s="235"/>
      <c r="SRE140" s="235"/>
      <c r="SRF140" s="235"/>
      <c r="SRG140" s="235"/>
      <c r="SRH140" s="235"/>
      <c r="SRI140" s="235"/>
      <c r="SRJ140" s="235"/>
      <c r="SRK140" s="235"/>
      <c r="SRL140" s="235"/>
      <c r="SRM140" s="235"/>
      <c r="SRN140" s="235"/>
      <c r="SRO140" s="235"/>
      <c r="SRP140" s="235"/>
      <c r="SRQ140" s="235"/>
      <c r="SRR140" s="235"/>
      <c r="SRS140" s="235"/>
      <c r="SRT140" s="235"/>
      <c r="SRU140" s="235"/>
      <c r="SRV140" s="235"/>
      <c r="SRW140" s="235"/>
      <c r="SRX140" s="235"/>
      <c r="SRY140" s="235"/>
      <c r="SRZ140" s="235"/>
      <c r="SSA140" s="235"/>
      <c r="SSB140" s="235"/>
      <c r="SSC140" s="235"/>
      <c r="SSD140" s="235"/>
      <c r="SSE140" s="235"/>
      <c r="SSF140" s="235"/>
      <c r="SSG140" s="235"/>
      <c r="SSH140" s="235"/>
      <c r="SSI140" s="235"/>
      <c r="SSJ140" s="235"/>
      <c r="SSK140" s="235"/>
      <c r="SSL140" s="235"/>
      <c r="SSM140" s="235"/>
      <c r="SSN140" s="235"/>
      <c r="SSO140" s="235"/>
      <c r="SSP140" s="235"/>
      <c r="SSQ140" s="235"/>
      <c r="SSR140" s="235"/>
      <c r="SSS140" s="235"/>
      <c r="SST140" s="235"/>
      <c r="SSU140" s="235"/>
      <c r="SSV140" s="235"/>
      <c r="SSW140" s="235"/>
      <c r="SSX140" s="235"/>
      <c r="SSY140" s="235"/>
      <c r="SSZ140" s="235"/>
      <c r="STA140" s="235"/>
      <c r="STB140" s="235"/>
      <c r="STC140" s="235"/>
      <c r="STD140" s="235"/>
      <c r="STE140" s="235"/>
      <c r="STF140" s="235"/>
      <c r="STG140" s="235"/>
      <c r="STH140" s="235"/>
      <c r="STI140" s="235"/>
      <c r="STJ140" s="235"/>
      <c r="STK140" s="235"/>
      <c r="STL140" s="235"/>
      <c r="STM140" s="235"/>
      <c r="STN140" s="235"/>
      <c r="STO140" s="235"/>
      <c r="STP140" s="235"/>
      <c r="STQ140" s="235"/>
      <c r="STR140" s="235"/>
      <c r="STS140" s="235"/>
      <c r="STT140" s="235"/>
      <c r="STU140" s="235"/>
      <c r="STV140" s="235"/>
      <c r="STW140" s="235"/>
      <c r="STX140" s="235"/>
      <c r="STY140" s="235"/>
      <c r="STZ140" s="235"/>
      <c r="SUA140" s="235"/>
      <c r="SUB140" s="235"/>
      <c r="SUC140" s="235"/>
      <c r="SUD140" s="235"/>
      <c r="SUE140" s="235"/>
      <c r="SUF140" s="235"/>
      <c r="SUG140" s="235"/>
      <c r="SUH140" s="235"/>
      <c r="SUI140" s="235"/>
      <c r="SUJ140" s="235"/>
      <c r="SUK140" s="235"/>
      <c r="SUL140" s="235"/>
      <c r="SUM140" s="235"/>
      <c r="SUN140" s="235"/>
      <c r="SUO140" s="235"/>
      <c r="SUP140" s="235"/>
      <c r="SUQ140" s="235"/>
      <c r="SUR140" s="235"/>
      <c r="SUS140" s="235"/>
      <c r="SUT140" s="235"/>
      <c r="SUU140" s="235"/>
      <c r="SUV140" s="235"/>
      <c r="SUW140" s="235"/>
      <c r="SUX140" s="235"/>
      <c r="SUY140" s="235"/>
      <c r="SUZ140" s="235"/>
      <c r="SVA140" s="235"/>
      <c r="SVB140" s="235"/>
      <c r="SVC140" s="235"/>
      <c r="SVD140" s="235"/>
      <c r="SVE140" s="235"/>
      <c r="SVF140" s="235"/>
      <c r="SVG140" s="235"/>
      <c r="SVH140" s="235"/>
      <c r="SVI140" s="235"/>
      <c r="SVJ140" s="235"/>
      <c r="SVK140" s="235"/>
      <c r="SVL140" s="235"/>
      <c r="SVM140" s="235"/>
      <c r="SVN140" s="235"/>
      <c r="SVO140" s="235"/>
      <c r="SVP140" s="235"/>
      <c r="SVQ140" s="235"/>
      <c r="SVR140" s="235"/>
      <c r="SVS140" s="235"/>
      <c r="SVT140" s="235"/>
      <c r="SVU140" s="235"/>
      <c r="SVV140" s="235"/>
      <c r="SVW140" s="235"/>
      <c r="SVX140" s="235"/>
      <c r="SVY140" s="235"/>
      <c r="SVZ140" s="235"/>
      <c r="SWA140" s="235"/>
      <c r="SWB140" s="235"/>
      <c r="SWC140" s="235"/>
      <c r="SWD140" s="235"/>
      <c r="SWE140" s="235"/>
      <c r="SWF140" s="235"/>
      <c r="SWG140" s="235"/>
      <c r="SWH140" s="235"/>
      <c r="SWI140" s="235"/>
      <c r="SWJ140" s="235"/>
      <c r="SWK140" s="235"/>
      <c r="SWL140" s="235"/>
      <c r="SWM140" s="235"/>
      <c r="SWN140" s="235"/>
      <c r="SWO140" s="235"/>
      <c r="SWP140" s="235"/>
      <c r="SWQ140" s="235"/>
      <c r="SWR140" s="235"/>
      <c r="SWS140" s="235"/>
      <c r="SWT140" s="235"/>
      <c r="SWU140" s="235"/>
      <c r="SWV140" s="235"/>
      <c r="SWW140" s="235"/>
      <c r="SWX140" s="235"/>
      <c r="SWY140" s="235"/>
      <c r="SWZ140" s="235"/>
      <c r="SXA140" s="235"/>
      <c r="SXB140" s="235"/>
      <c r="SXC140" s="235"/>
      <c r="SXD140" s="235"/>
      <c r="SXE140" s="235"/>
      <c r="SXF140" s="235"/>
      <c r="SXG140" s="235"/>
      <c r="SXH140" s="235"/>
      <c r="SXI140" s="235"/>
      <c r="SXJ140" s="235"/>
      <c r="SXK140" s="235"/>
      <c r="SXL140" s="235"/>
      <c r="SXM140" s="235"/>
      <c r="SXN140" s="235"/>
      <c r="SXO140" s="235"/>
      <c r="SXP140" s="235"/>
      <c r="SXQ140" s="235"/>
      <c r="SXR140" s="235"/>
      <c r="SXS140" s="235"/>
      <c r="SXT140" s="235"/>
      <c r="SXU140" s="235"/>
      <c r="SXV140" s="235"/>
      <c r="SXW140" s="235"/>
      <c r="SXX140" s="235"/>
      <c r="SXY140" s="235"/>
      <c r="SXZ140" s="235"/>
      <c r="SYA140" s="235"/>
      <c r="SYB140" s="235"/>
      <c r="SYC140" s="235"/>
      <c r="SYD140" s="235"/>
      <c r="SYE140" s="235"/>
      <c r="SYF140" s="235"/>
      <c r="SYG140" s="235"/>
      <c r="SYH140" s="235"/>
      <c r="SYI140" s="235"/>
      <c r="SYJ140" s="235"/>
      <c r="SYK140" s="235"/>
      <c r="SYL140" s="235"/>
      <c r="SYM140" s="235"/>
      <c r="SYN140" s="235"/>
      <c r="SYO140" s="235"/>
      <c r="SYP140" s="235"/>
      <c r="SYQ140" s="235"/>
      <c r="SYR140" s="235"/>
      <c r="SYS140" s="235"/>
      <c r="SYT140" s="235"/>
      <c r="SYU140" s="235"/>
      <c r="SYV140" s="235"/>
      <c r="SYW140" s="235"/>
      <c r="SYX140" s="235"/>
      <c r="SYY140" s="235"/>
      <c r="SYZ140" s="235"/>
      <c r="SZA140" s="235"/>
      <c r="SZB140" s="235"/>
      <c r="SZC140" s="235"/>
      <c r="SZD140" s="235"/>
      <c r="SZE140" s="235"/>
      <c r="SZF140" s="235"/>
      <c r="SZG140" s="235"/>
      <c r="SZH140" s="235"/>
      <c r="SZI140" s="235"/>
      <c r="SZJ140" s="235"/>
      <c r="SZK140" s="235"/>
      <c r="SZL140" s="235"/>
      <c r="SZM140" s="235"/>
      <c r="SZN140" s="235"/>
      <c r="SZO140" s="235"/>
      <c r="SZP140" s="235"/>
      <c r="SZQ140" s="235"/>
      <c r="SZR140" s="235"/>
      <c r="SZS140" s="235"/>
      <c r="SZT140" s="235"/>
      <c r="SZU140" s="235"/>
      <c r="SZV140" s="235"/>
      <c r="SZW140" s="235"/>
      <c r="SZX140" s="235"/>
      <c r="SZY140" s="235"/>
      <c r="SZZ140" s="235"/>
      <c r="TAA140" s="235"/>
      <c r="TAB140" s="235"/>
      <c r="TAC140" s="235"/>
      <c r="TAD140" s="235"/>
      <c r="TAE140" s="235"/>
      <c r="TAF140" s="235"/>
      <c r="TAG140" s="235"/>
      <c r="TAH140" s="235"/>
      <c r="TAI140" s="235"/>
      <c r="TAJ140" s="235"/>
      <c r="TAK140" s="235"/>
      <c r="TAL140" s="235"/>
      <c r="TAM140" s="235"/>
      <c r="TAN140" s="235"/>
      <c r="TAO140" s="235"/>
      <c r="TAP140" s="235"/>
      <c r="TAQ140" s="235"/>
      <c r="TAR140" s="235"/>
      <c r="TAS140" s="235"/>
      <c r="TAT140" s="235"/>
      <c r="TAU140" s="235"/>
      <c r="TAV140" s="235"/>
      <c r="TAW140" s="235"/>
      <c r="TAX140" s="235"/>
      <c r="TAY140" s="235"/>
      <c r="TAZ140" s="235"/>
      <c r="TBA140" s="235"/>
      <c r="TBB140" s="235"/>
      <c r="TBC140" s="235"/>
      <c r="TBD140" s="235"/>
      <c r="TBE140" s="235"/>
      <c r="TBF140" s="235"/>
      <c r="TBG140" s="235"/>
      <c r="TBH140" s="235"/>
      <c r="TBI140" s="235"/>
      <c r="TBJ140" s="235"/>
      <c r="TBK140" s="235"/>
      <c r="TBL140" s="235"/>
      <c r="TBM140" s="235"/>
      <c r="TBN140" s="235"/>
      <c r="TBO140" s="235"/>
      <c r="TBP140" s="235"/>
      <c r="TBQ140" s="235"/>
      <c r="TBR140" s="235"/>
      <c r="TBS140" s="235"/>
      <c r="TBT140" s="235"/>
      <c r="TBU140" s="235"/>
      <c r="TBV140" s="235"/>
      <c r="TBW140" s="235"/>
      <c r="TBX140" s="235"/>
      <c r="TBY140" s="235"/>
      <c r="TBZ140" s="235"/>
      <c r="TCA140" s="235"/>
      <c r="TCB140" s="235"/>
      <c r="TCC140" s="235"/>
      <c r="TCD140" s="235"/>
      <c r="TCE140" s="235"/>
      <c r="TCF140" s="235"/>
      <c r="TCG140" s="235"/>
      <c r="TCH140" s="235"/>
      <c r="TCI140" s="235"/>
      <c r="TCJ140" s="235"/>
      <c r="TCK140" s="235"/>
      <c r="TCL140" s="235"/>
      <c r="TCM140" s="235"/>
      <c r="TCN140" s="235"/>
      <c r="TCO140" s="235"/>
      <c r="TCP140" s="235"/>
      <c r="TCQ140" s="235"/>
      <c r="TCR140" s="235"/>
      <c r="TCS140" s="235"/>
      <c r="TCT140" s="235"/>
      <c r="TCU140" s="235"/>
      <c r="TCV140" s="235"/>
      <c r="TCW140" s="235"/>
      <c r="TCX140" s="235"/>
      <c r="TCY140" s="235"/>
      <c r="TCZ140" s="235"/>
      <c r="TDA140" s="235"/>
      <c r="TDB140" s="235"/>
      <c r="TDC140" s="235"/>
      <c r="TDD140" s="235"/>
      <c r="TDE140" s="235"/>
      <c r="TDF140" s="235"/>
      <c r="TDG140" s="235"/>
      <c r="TDH140" s="235"/>
      <c r="TDI140" s="235"/>
      <c r="TDJ140" s="235"/>
      <c r="TDK140" s="235"/>
      <c r="TDL140" s="235"/>
      <c r="TDM140" s="235"/>
      <c r="TDN140" s="235"/>
      <c r="TDO140" s="235"/>
      <c r="TDP140" s="235"/>
      <c r="TDQ140" s="235"/>
      <c r="TDR140" s="235"/>
      <c r="TDS140" s="235"/>
      <c r="TDT140" s="235"/>
      <c r="TDU140" s="235"/>
      <c r="TDV140" s="235"/>
      <c r="TDW140" s="235"/>
      <c r="TDX140" s="235"/>
      <c r="TDY140" s="235"/>
      <c r="TDZ140" s="235"/>
      <c r="TEA140" s="235"/>
      <c r="TEB140" s="235"/>
      <c r="TEC140" s="235"/>
      <c r="TED140" s="235"/>
      <c r="TEE140" s="235"/>
      <c r="TEF140" s="235"/>
      <c r="TEG140" s="235"/>
      <c r="TEH140" s="235"/>
      <c r="TEI140" s="235"/>
      <c r="TEJ140" s="235"/>
      <c r="TEK140" s="235"/>
      <c r="TEL140" s="235"/>
      <c r="TEM140" s="235"/>
      <c r="TEN140" s="235"/>
      <c r="TEO140" s="235"/>
      <c r="TEP140" s="235"/>
      <c r="TEQ140" s="235"/>
      <c r="TER140" s="235"/>
      <c r="TES140" s="235"/>
      <c r="TET140" s="235"/>
      <c r="TEU140" s="235"/>
      <c r="TEV140" s="235"/>
      <c r="TEW140" s="235"/>
      <c r="TEX140" s="235"/>
      <c r="TEY140" s="235"/>
      <c r="TEZ140" s="235"/>
      <c r="TFA140" s="235"/>
      <c r="TFB140" s="235"/>
      <c r="TFC140" s="235"/>
      <c r="TFD140" s="235"/>
      <c r="TFE140" s="235"/>
      <c r="TFF140" s="235"/>
      <c r="TFG140" s="235"/>
      <c r="TFH140" s="235"/>
      <c r="TFI140" s="235"/>
      <c r="TFJ140" s="235"/>
      <c r="TFK140" s="235"/>
      <c r="TFL140" s="235"/>
      <c r="TFM140" s="235"/>
      <c r="TFN140" s="235"/>
      <c r="TFO140" s="235"/>
      <c r="TFP140" s="235"/>
      <c r="TFQ140" s="235"/>
      <c r="TFR140" s="235"/>
      <c r="TFS140" s="235"/>
      <c r="TFT140" s="235"/>
      <c r="TFU140" s="235"/>
      <c r="TFV140" s="235"/>
      <c r="TFW140" s="235"/>
      <c r="TFX140" s="235"/>
      <c r="TFY140" s="235"/>
      <c r="TFZ140" s="235"/>
      <c r="TGA140" s="235"/>
      <c r="TGB140" s="235"/>
      <c r="TGC140" s="235"/>
      <c r="TGD140" s="235"/>
      <c r="TGE140" s="235"/>
      <c r="TGF140" s="235"/>
      <c r="TGG140" s="235"/>
      <c r="TGH140" s="235"/>
      <c r="TGI140" s="235"/>
      <c r="TGJ140" s="235"/>
      <c r="TGK140" s="235"/>
      <c r="TGL140" s="235"/>
      <c r="TGM140" s="235"/>
      <c r="TGN140" s="235"/>
      <c r="TGO140" s="235"/>
      <c r="TGP140" s="235"/>
      <c r="TGQ140" s="235"/>
      <c r="TGR140" s="235"/>
      <c r="TGS140" s="235"/>
      <c r="TGT140" s="235"/>
      <c r="TGU140" s="235"/>
      <c r="TGV140" s="235"/>
      <c r="TGW140" s="235"/>
      <c r="TGX140" s="235"/>
      <c r="TGY140" s="235"/>
      <c r="TGZ140" s="235"/>
      <c r="THA140" s="235"/>
      <c r="THB140" s="235"/>
      <c r="THC140" s="235"/>
      <c r="THD140" s="235"/>
      <c r="THE140" s="235"/>
      <c r="THF140" s="235"/>
      <c r="THG140" s="235"/>
      <c r="THH140" s="235"/>
      <c r="THI140" s="235"/>
      <c r="THJ140" s="235"/>
      <c r="THK140" s="235"/>
      <c r="THL140" s="235"/>
      <c r="THM140" s="235"/>
      <c r="THN140" s="235"/>
      <c r="THO140" s="235"/>
      <c r="THP140" s="235"/>
      <c r="THQ140" s="235"/>
      <c r="THR140" s="235"/>
      <c r="THS140" s="235"/>
      <c r="THT140" s="235"/>
      <c r="THU140" s="235"/>
      <c r="THV140" s="235"/>
      <c r="THW140" s="235"/>
      <c r="THX140" s="235"/>
      <c r="THY140" s="235"/>
      <c r="THZ140" s="235"/>
      <c r="TIA140" s="235"/>
      <c r="TIB140" s="235"/>
      <c r="TIC140" s="235"/>
      <c r="TID140" s="235"/>
      <c r="TIE140" s="235"/>
      <c r="TIF140" s="235"/>
      <c r="TIG140" s="235"/>
      <c r="TIH140" s="235"/>
      <c r="TII140" s="235"/>
      <c r="TIJ140" s="235"/>
      <c r="TIK140" s="235"/>
      <c r="TIL140" s="235"/>
      <c r="TIM140" s="235"/>
      <c r="TIN140" s="235"/>
      <c r="TIO140" s="235"/>
      <c r="TIP140" s="235"/>
      <c r="TIQ140" s="235"/>
      <c r="TIR140" s="235"/>
      <c r="TIS140" s="235"/>
      <c r="TIT140" s="235"/>
      <c r="TIU140" s="235"/>
      <c r="TIV140" s="235"/>
      <c r="TIW140" s="235"/>
      <c r="TIX140" s="235"/>
      <c r="TIY140" s="235"/>
      <c r="TIZ140" s="235"/>
      <c r="TJA140" s="235"/>
      <c r="TJB140" s="235"/>
      <c r="TJC140" s="235"/>
      <c r="TJD140" s="235"/>
      <c r="TJE140" s="235"/>
      <c r="TJF140" s="235"/>
      <c r="TJG140" s="235"/>
      <c r="TJH140" s="235"/>
      <c r="TJI140" s="235"/>
      <c r="TJJ140" s="235"/>
      <c r="TJK140" s="235"/>
      <c r="TJL140" s="235"/>
      <c r="TJM140" s="235"/>
      <c r="TJN140" s="235"/>
      <c r="TJO140" s="235"/>
      <c r="TJP140" s="235"/>
      <c r="TJQ140" s="235"/>
      <c r="TJR140" s="235"/>
      <c r="TJS140" s="235"/>
      <c r="TJT140" s="235"/>
      <c r="TJU140" s="235"/>
      <c r="TJV140" s="235"/>
      <c r="TJW140" s="235"/>
      <c r="TJX140" s="235"/>
      <c r="TJY140" s="235"/>
      <c r="TJZ140" s="235"/>
      <c r="TKA140" s="235"/>
      <c r="TKB140" s="235"/>
      <c r="TKC140" s="235"/>
      <c r="TKD140" s="235"/>
      <c r="TKE140" s="235"/>
      <c r="TKF140" s="235"/>
      <c r="TKG140" s="235"/>
      <c r="TKH140" s="235"/>
      <c r="TKI140" s="235"/>
      <c r="TKJ140" s="235"/>
      <c r="TKK140" s="235"/>
      <c r="TKL140" s="235"/>
      <c r="TKM140" s="235"/>
      <c r="TKN140" s="235"/>
      <c r="TKO140" s="235"/>
      <c r="TKP140" s="235"/>
      <c r="TKQ140" s="235"/>
      <c r="TKR140" s="235"/>
      <c r="TKS140" s="235"/>
      <c r="TKT140" s="235"/>
      <c r="TKU140" s="235"/>
      <c r="TKV140" s="235"/>
      <c r="TKW140" s="235"/>
      <c r="TKX140" s="235"/>
      <c r="TKY140" s="235"/>
      <c r="TKZ140" s="235"/>
      <c r="TLA140" s="235"/>
      <c r="TLB140" s="235"/>
      <c r="TLC140" s="235"/>
      <c r="TLD140" s="235"/>
      <c r="TLE140" s="235"/>
      <c r="TLF140" s="235"/>
      <c r="TLG140" s="235"/>
      <c r="TLH140" s="235"/>
      <c r="TLI140" s="235"/>
      <c r="TLJ140" s="235"/>
      <c r="TLK140" s="235"/>
      <c r="TLL140" s="235"/>
      <c r="TLM140" s="235"/>
      <c r="TLN140" s="235"/>
      <c r="TLO140" s="235"/>
      <c r="TLP140" s="235"/>
      <c r="TLQ140" s="235"/>
      <c r="TLR140" s="235"/>
      <c r="TLS140" s="235"/>
      <c r="TLT140" s="235"/>
      <c r="TLU140" s="235"/>
      <c r="TLV140" s="235"/>
      <c r="TLW140" s="235"/>
      <c r="TLX140" s="235"/>
      <c r="TLY140" s="235"/>
      <c r="TLZ140" s="235"/>
      <c r="TMA140" s="235"/>
      <c r="TMB140" s="235"/>
      <c r="TMC140" s="235"/>
      <c r="TMD140" s="235"/>
      <c r="TME140" s="235"/>
      <c r="TMF140" s="235"/>
      <c r="TMG140" s="235"/>
      <c r="TMH140" s="235"/>
      <c r="TMI140" s="235"/>
      <c r="TMJ140" s="235"/>
      <c r="TMK140" s="235"/>
      <c r="TML140" s="235"/>
      <c r="TMM140" s="235"/>
      <c r="TMN140" s="235"/>
      <c r="TMO140" s="235"/>
      <c r="TMP140" s="235"/>
      <c r="TMQ140" s="235"/>
      <c r="TMR140" s="235"/>
      <c r="TMS140" s="235"/>
      <c r="TMT140" s="235"/>
      <c r="TMU140" s="235"/>
      <c r="TMV140" s="235"/>
      <c r="TMW140" s="235"/>
      <c r="TMX140" s="235"/>
      <c r="TMY140" s="235"/>
      <c r="TMZ140" s="235"/>
      <c r="TNA140" s="235"/>
      <c r="TNB140" s="235"/>
      <c r="TNC140" s="235"/>
      <c r="TND140" s="235"/>
      <c r="TNE140" s="235"/>
      <c r="TNF140" s="235"/>
      <c r="TNG140" s="235"/>
      <c r="TNH140" s="235"/>
      <c r="TNI140" s="235"/>
      <c r="TNJ140" s="235"/>
      <c r="TNK140" s="235"/>
      <c r="TNL140" s="235"/>
      <c r="TNM140" s="235"/>
      <c r="TNN140" s="235"/>
      <c r="TNO140" s="235"/>
      <c r="TNP140" s="235"/>
      <c r="TNQ140" s="235"/>
      <c r="TNR140" s="235"/>
      <c r="TNS140" s="235"/>
      <c r="TNT140" s="235"/>
      <c r="TNU140" s="235"/>
      <c r="TNV140" s="235"/>
      <c r="TNW140" s="235"/>
      <c r="TNX140" s="235"/>
      <c r="TNY140" s="235"/>
      <c r="TNZ140" s="235"/>
      <c r="TOA140" s="235"/>
      <c r="TOB140" s="235"/>
      <c r="TOC140" s="235"/>
      <c r="TOD140" s="235"/>
      <c r="TOE140" s="235"/>
      <c r="TOF140" s="235"/>
      <c r="TOG140" s="235"/>
      <c r="TOH140" s="235"/>
      <c r="TOI140" s="235"/>
      <c r="TOJ140" s="235"/>
      <c r="TOK140" s="235"/>
      <c r="TOL140" s="235"/>
      <c r="TOM140" s="235"/>
      <c r="TON140" s="235"/>
      <c r="TOO140" s="235"/>
      <c r="TOP140" s="235"/>
      <c r="TOQ140" s="235"/>
      <c r="TOR140" s="235"/>
      <c r="TOS140" s="235"/>
      <c r="TOT140" s="235"/>
      <c r="TOU140" s="235"/>
      <c r="TOV140" s="235"/>
      <c r="TOW140" s="235"/>
      <c r="TOX140" s="235"/>
      <c r="TOY140" s="235"/>
      <c r="TOZ140" s="235"/>
      <c r="TPA140" s="235"/>
      <c r="TPB140" s="235"/>
      <c r="TPC140" s="235"/>
      <c r="TPD140" s="235"/>
      <c r="TPE140" s="235"/>
      <c r="TPF140" s="235"/>
      <c r="TPG140" s="235"/>
      <c r="TPH140" s="235"/>
      <c r="TPI140" s="235"/>
      <c r="TPJ140" s="235"/>
      <c r="TPK140" s="235"/>
      <c r="TPL140" s="235"/>
      <c r="TPM140" s="235"/>
      <c r="TPN140" s="235"/>
      <c r="TPO140" s="235"/>
      <c r="TPP140" s="235"/>
      <c r="TPQ140" s="235"/>
      <c r="TPR140" s="235"/>
      <c r="TPS140" s="235"/>
      <c r="TPT140" s="235"/>
      <c r="TPU140" s="235"/>
      <c r="TPV140" s="235"/>
      <c r="TPW140" s="235"/>
      <c r="TPX140" s="235"/>
      <c r="TPY140" s="235"/>
      <c r="TPZ140" s="235"/>
      <c r="TQA140" s="235"/>
      <c r="TQB140" s="235"/>
      <c r="TQC140" s="235"/>
      <c r="TQD140" s="235"/>
      <c r="TQE140" s="235"/>
      <c r="TQF140" s="235"/>
      <c r="TQG140" s="235"/>
      <c r="TQH140" s="235"/>
      <c r="TQI140" s="235"/>
      <c r="TQJ140" s="235"/>
      <c r="TQK140" s="235"/>
      <c r="TQL140" s="235"/>
      <c r="TQM140" s="235"/>
      <c r="TQN140" s="235"/>
      <c r="TQO140" s="235"/>
      <c r="TQP140" s="235"/>
      <c r="TQQ140" s="235"/>
      <c r="TQR140" s="235"/>
      <c r="TQS140" s="235"/>
      <c r="TQT140" s="235"/>
      <c r="TQU140" s="235"/>
      <c r="TQV140" s="235"/>
      <c r="TQW140" s="235"/>
      <c r="TQX140" s="235"/>
      <c r="TQY140" s="235"/>
      <c r="TQZ140" s="235"/>
      <c r="TRA140" s="235"/>
      <c r="TRB140" s="235"/>
      <c r="TRC140" s="235"/>
      <c r="TRD140" s="235"/>
      <c r="TRE140" s="235"/>
      <c r="TRF140" s="235"/>
      <c r="TRG140" s="235"/>
      <c r="TRH140" s="235"/>
      <c r="TRI140" s="235"/>
      <c r="TRJ140" s="235"/>
      <c r="TRK140" s="235"/>
      <c r="TRL140" s="235"/>
      <c r="TRM140" s="235"/>
      <c r="TRN140" s="235"/>
      <c r="TRO140" s="235"/>
      <c r="TRP140" s="235"/>
      <c r="TRQ140" s="235"/>
      <c r="TRR140" s="235"/>
      <c r="TRS140" s="235"/>
      <c r="TRT140" s="235"/>
      <c r="TRU140" s="235"/>
      <c r="TRV140" s="235"/>
      <c r="TRW140" s="235"/>
      <c r="TRX140" s="235"/>
      <c r="TRY140" s="235"/>
      <c r="TRZ140" s="235"/>
      <c r="TSA140" s="235"/>
      <c r="TSB140" s="235"/>
      <c r="TSC140" s="235"/>
      <c r="TSD140" s="235"/>
      <c r="TSE140" s="235"/>
      <c r="TSF140" s="235"/>
      <c r="TSG140" s="235"/>
      <c r="TSH140" s="235"/>
      <c r="TSI140" s="235"/>
      <c r="TSJ140" s="235"/>
      <c r="TSK140" s="235"/>
      <c r="TSL140" s="235"/>
      <c r="TSM140" s="235"/>
      <c r="TSN140" s="235"/>
      <c r="TSO140" s="235"/>
      <c r="TSP140" s="235"/>
      <c r="TSQ140" s="235"/>
      <c r="TSR140" s="235"/>
      <c r="TSS140" s="235"/>
      <c r="TST140" s="235"/>
      <c r="TSU140" s="235"/>
      <c r="TSV140" s="235"/>
      <c r="TSW140" s="235"/>
      <c r="TSX140" s="235"/>
      <c r="TSY140" s="235"/>
      <c r="TSZ140" s="235"/>
      <c r="TTA140" s="235"/>
      <c r="TTB140" s="235"/>
      <c r="TTC140" s="235"/>
      <c r="TTD140" s="235"/>
      <c r="TTE140" s="235"/>
      <c r="TTF140" s="235"/>
      <c r="TTG140" s="235"/>
      <c r="TTH140" s="235"/>
      <c r="TTI140" s="235"/>
      <c r="TTJ140" s="235"/>
      <c r="TTK140" s="235"/>
      <c r="TTL140" s="235"/>
      <c r="TTM140" s="235"/>
      <c r="TTN140" s="235"/>
      <c r="TTO140" s="235"/>
      <c r="TTP140" s="235"/>
      <c r="TTQ140" s="235"/>
      <c r="TTR140" s="235"/>
      <c r="TTS140" s="235"/>
      <c r="TTT140" s="235"/>
      <c r="TTU140" s="235"/>
      <c r="TTV140" s="235"/>
      <c r="TTW140" s="235"/>
      <c r="TTX140" s="235"/>
      <c r="TTY140" s="235"/>
      <c r="TTZ140" s="235"/>
      <c r="TUA140" s="235"/>
      <c r="TUB140" s="235"/>
      <c r="TUC140" s="235"/>
      <c r="TUD140" s="235"/>
      <c r="TUE140" s="235"/>
      <c r="TUF140" s="235"/>
      <c r="TUG140" s="235"/>
      <c r="TUH140" s="235"/>
      <c r="TUI140" s="235"/>
      <c r="TUJ140" s="235"/>
      <c r="TUK140" s="235"/>
      <c r="TUL140" s="235"/>
      <c r="TUM140" s="235"/>
      <c r="TUN140" s="235"/>
      <c r="TUO140" s="235"/>
      <c r="TUP140" s="235"/>
      <c r="TUQ140" s="235"/>
      <c r="TUR140" s="235"/>
      <c r="TUS140" s="235"/>
      <c r="TUT140" s="235"/>
      <c r="TUU140" s="235"/>
      <c r="TUV140" s="235"/>
      <c r="TUW140" s="235"/>
      <c r="TUX140" s="235"/>
      <c r="TUY140" s="235"/>
      <c r="TUZ140" s="235"/>
      <c r="TVA140" s="235"/>
      <c r="TVB140" s="235"/>
      <c r="TVC140" s="235"/>
      <c r="TVD140" s="235"/>
      <c r="TVE140" s="235"/>
      <c r="TVF140" s="235"/>
      <c r="TVG140" s="235"/>
      <c r="TVH140" s="235"/>
      <c r="TVI140" s="235"/>
      <c r="TVJ140" s="235"/>
      <c r="TVK140" s="235"/>
      <c r="TVL140" s="235"/>
      <c r="TVM140" s="235"/>
      <c r="TVN140" s="235"/>
      <c r="TVO140" s="235"/>
      <c r="TVP140" s="235"/>
      <c r="TVQ140" s="235"/>
      <c r="TVR140" s="235"/>
      <c r="TVS140" s="235"/>
      <c r="TVT140" s="235"/>
      <c r="TVU140" s="235"/>
      <c r="TVV140" s="235"/>
      <c r="TVW140" s="235"/>
      <c r="TVX140" s="235"/>
      <c r="TVY140" s="235"/>
      <c r="TVZ140" s="235"/>
      <c r="TWA140" s="235"/>
      <c r="TWB140" s="235"/>
      <c r="TWC140" s="235"/>
      <c r="TWD140" s="235"/>
      <c r="TWE140" s="235"/>
      <c r="TWF140" s="235"/>
      <c r="TWG140" s="235"/>
      <c r="TWH140" s="235"/>
      <c r="TWI140" s="235"/>
      <c r="TWJ140" s="235"/>
      <c r="TWK140" s="235"/>
      <c r="TWL140" s="235"/>
      <c r="TWM140" s="235"/>
      <c r="TWN140" s="235"/>
      <c r="TWO140" s="235"/>
      <c r="TWP140" s="235"/>
      <c r="TWQ140" s="235"/>
      <c r="TWR140" s="235"/>
      <c r="TWS140" s="235"/>
      <c r="TWT140" s="235"/>
      <c r="TWU140" s="235"/>
      <c r="TWV140" s="235"/>
      <c r="TWW140" s="235"/>
      <c r="TWX140" s="235"/>
      <c r="TWY140" s="235"/>
      <c r="TWZ140" s="235"/>
      <c r="TXA140" s="235"/>
      <c r="TXB140" s="235"/>
      <c r="TXC140" s="235"/>
      <c r="TXD140" s="235"/>
      <c r="TXE140" s="235"/>
      <c r="TXF140" s="235"/>
      <c r="TXG140" s="235"/>
      <c r="TXH140" s="235"/>
      <c r="TXI140" s="235"/>
      <c r="TXJ140" s="235"/>
      <c r="TXK140" s="235"/>
      <c r="TXL140" s="235"/>
      <c r="TXM140" s="235"/>
      <c r="TXN140" s="235"/>
      <c r="TXO140" s="235"/>
      <c r="TXP140" s="235"/>
      <c r="TXQ140" s="235"/>
      <c r="TXR140" s="235"/>
      <c r="TXS140" s="235"/>
      <c r="TXT140" s="235"/>
      <c r="TXU140" s="235"/>
      <c r="TXV140" s="235"/>
      <c r="TXW140" s="235"/>
      <c r="TXX140" s="235"/>
      <c r="TXY140" s="235"/>
      <c r="TXZ140" s="235"/>
      <c r="TYA140" s="235"/>
      <c r="TYB140" s="235"/>
      <c r="TYC140" s="235"/>
      <c r="TYD140" s="235"/>
      <c r="TYE140" s="235"/>
      <c r="TYF140" s="235"/>
      <c r="TYG140" s="235"/>
      <c r="TYH140" s="235"/>
      <c r="TYI140" s="235"/>
      <c r="TYJ140" s="235"/>
      <c r="TYK140" s="235"/>
      <c r="TYL140" s="235"/>
      <c r="TYM140" s="235"/>
      <c r="TYN140" s="235"/>
      <c r="TYO140" s="235"/>
      <c r="TYP140" s="235"/>
      <c r="TYQ140" s="235"/>
      <c r="TYR140" s="235"/>
      <c r="TYS140" s="235"/>
      <c r="TYT140" s="235"/>
      <c r="TYU140" s="235"/>
      <c r="TYV140" s="235"/>
      <c r="TYW140" s="235"/>
      <c r="TYX140" s="235"/>
      <c r="TYY140" s="235"/>
      <c r="TYZ140" s="235"/>
      <c r="TZA140" s="235"/>
      <c r="TZB140" s="235"/>
      <c r="TZC140" s="235"/>
      <c r="TZD140" s="235"/>
      <c r="TZE140" s="235"/>
      <c r="TZF140" s="235"/>
      <c r="TZG140" s="235"/>
      <c r="TZH140" s="235"/>
      <c r="TZI140" s="235"/>
      <c r="TZJ140" s="235"/>
      <c r="TZK140" s="235"/>
      <c r="TZL140" s="235"/>
      <c r="TZM140" s="235"/>
      <c r="TZN140" s="235"/>
      <c r="TZO140" s="235"/>
      <c r="TZP140" s="235"/>
      <c r="TZQ140" s="235"/>
      <c r="TZR140" s="235"/>
      <c r="TZS140" s="235"/>
      <c r="TZT140" s="235"/>
      <c r="TZU140" s="235"/>
      <c r="TZV140" s="235"/>
      <c r="TZW140" s="235"/>
      <c r="TZX140" s="235"/>
      <c r="TZY140" s="235"/>
      <c r="TZZ140" s="235"/>
      <c r="UAA140" s="235"/>
      <c r="UAB140" s="235"/>
      <c r="UAC140" s="235"/>
      <c r="UAD140" s="235"/>
      <c r="UAE140" s="235"/>
      <c r="UAF140" s="235"/>
      <c r="UAG140" s="235"/>
      <c r="UAH140" s="235"/>
      <c r="UAI140" s="235"/>
      <c r="UAJ140" s="235"/>
      <c r="UAK140" s="235"/>
      <c r="UAL140" s="235"/>
      <c r="UAM140" s="235"/>
      <c r="UAN140" s="235"/>
      <c r="UAO140" s="235"/>
      <c r="UAP140" s="235"/>
      <c r="UAQ140" s="235"/>
      <c r="UAR140" s="235"/>
      <c r="UAS140" s="235"/>
      <c r="UAT140" s="235"/>
      <c r="UAU140" s="235"/>
      <c r="UAV140" s="235"/>
      <c r="UAW140" s="235"/>
      <c r="UAX140" s="235"/>
      <c r="UAY140" s="235"/>
      <c r="UAZ140" s="235"/>
      <c r="UBA140" s="235"/>
      <c r="UBB140" s="235"/>
      <c r="UBC140" s="235"/>
      <c r="UBD140" s="235"/>
      <c r="UBE140" s="235"/>
      <c r="UBF140" s="235"/>
      <c r="UBG140" s="235"/>
      <c r="UBH140" s="235"/>
      <c r="UBI140" s="235"/>
      <c r="UBJ140" s="235"/>
      <c r="UBK140" s="235"/>
      <c r="UBL140" s="235"/>
      <c r="UBM140" s="235"/>
      <c r="UBN140" s="235"/>
      <c r="UBO140" s="235"/>
      <c r="UBP140" s="235"/>
      <c r="UBQ140" s="235"/>
      <c r="UBR140" s="235"/>
      <c r="UBS140" s="235"/>
      <c r="UBT140" s="235"/>
      <c r="UBU140" s="235"/>
      <c r="UBV140" s="235"/>
      <c r="UBW140" s="235"/>
      <c r="UBX140" s="235"/>
      <c r="UBY140" s="235"/>
      <c r="UBZ140" s="235"/>
      <c r="UCA140" s="235"/>
      <c r="UCB140" s="235"/>
      <c r="UCC140" s="235"/>
      <c r="UCD140" s="235"/>
      <c r="UCE140" s="235"/>
      <c r="UCF140" s="235"/>
      <c r="UCG140" s="235"/>
      <c r="UCH140" s="235"/>
      <c r="UCI140" s="235"/>
      <c r="UCJ140" s="235"/>
      <c r="UCK140" s="235"/>
      <c r="UCL140" s="235"/>
      <c r="UCM140" s="235"/>
      <c r="UCN140" s="235"/>
      <c r="UCO140" s="235"/>
      <c r="UCP140" s="235"/>
      <c r="UCQ140" s="235"/>
      <c r="UCR140" s="235"/>
      <c r="UCS140" s="235"/>
      <c r="UCT140" s="235"/>
      <c r="UCU140" s="235"/>
      <c r="UCV140" s="235"/>
      <c r="UCW140" s="235"/>
      <c r="UCX140" s="235"/>
      <c r="UCY140" s="235"/>
      <c r="UCZ140" s="235"/>
      <c r="UDA140" s="235"/>
      <c r="UDB140" s="235"/>
      <c r="UDC140" s="235"/>
      <c r="UDD140" s="235"/>
      <c r="UDE140" s="235"/>
      <c r="UDF140" s="235"/>
      <c r="UDG140" s="235"/>
      <c r="UDH140" s="235"/>
      <c r="UDI140" s="235"/>
      <c r="UDJ140" s="235"/>
      <c r="UDK140" s="235"/>
      <c r="UDL140" s="235"/>
      <c r="UDM140" s="235"/>
      <c r="UDN140" s="235"/>
      <c r="UDO140" s="235"/>
      <c r="UDP140" s="235"/>
      <c r="UDQ140" s="235"/>
      <c r="UDR140" s="235"/>
      <c r="UDS140" s="235"/>
      <c r="UDT140" s="235"/>
      <c r="UDU140" s="235"/>
      <c r="UDV140" s="235"/>
      <c r="UDW140" s="235"/>
      <c r="UDX140" s="235"/>
      <c r="UDY140" s="235"/>
      <c r="UDZ140" s="235"/>
      <c r="UEA140" s="235"/>
      <c r="UEB140" s="235"/>
      <c r="UEC140" s="235"/>
      <c r="UED140" s="235"/>
      <c r="UEE140" s="235"/>
      <c r="UEF140" s="235"/>
      <c r="UEG140" s="235"/>
      <c r="UEH140" s="235"/>
      <c r="UEI140" s="235"/>
      <c r="UEJ140" s="235"/>
      <c r="UEK140" s="235"/>
      <c r="UEL140" s="235"/>
      <c r="UEM140" s="235"/>
      <c r="UEN140" s="235"/>
      <c r="UEO140" s="235"/>
      <c r="UEP140" s="235"/>
      <c r="UEQ140" s="235"/>
      <c r="UER140" s="235"/>
      <c r="UES140" s="235"/>
      <c r="UET140" s="235"/>
      <c r="UEU140" s="235"/>
      <c r="UEV140" s="235"/>
      <c r="UEW140" s="235"/>
      <c r="UEX140" s="235"/>
      <c r="UEY140" s="235"/>
      <c r="UEZ140" s="235"/>
      <c r="UFA140" s="235"/>
      <c r="UFB140" s="235"/>
      <c r="UFC140" s="235"/>
      <c r="UFD140" s="235"/>
      <c r="UFE140" s="235"/>
      <c r="UFF140" s="235"/>
      <c r="UFG140" s="235"/>
      <c r="UFH140" s="235"/>
      <c r="UFI140" s="235"/>
      <c r="UFJ140" s="235"/>
      <c r="UFK140" s="235"/>
      <c r="UFL140" s="235"/>
      <c r="UFM140" s="235"/>
      <c r="UFN140" s="235"/>
      <c r="UFO140" s="235"/>
      <c r="UFP140" s="235"/>
      <c r="UFQ140" s="235"/>
      <c r="UFR140" s="235"/>
      <c r="UFS140" s="235"/>
      <c r="UFT140" s="235"/>
      <c r="UFU140" s="235"/>
      <c r="UFV140" s="235"/>
      <c r="UFW140" s="235"/>
      <c r="UFX140" s="235"/>
      <c r="UFY140" s="235"/>
      <c r="UFZ140" s="235"/>
      <c r="UGA140" s="235"/>
      <c r="UGB140" s="235"/>
      <c r="UGC140" s="235"/>
      <c r="UGD140" s="235"/>
      <c r="UGE140" s="235"/>
      <c r="UGF140" s="235"/>
      <c r="UGG140" s="235"/>
      <c r="UGH140" s="235"/>
      <c r="UGI140" s="235"/>
      <c r="UGJ140" s="235"/>
      <c r="UGK140" s="235"/>
      <c r="UGL140" s="235"/>
      <c r="UGM140" s="235"/>
      <c r="UGN140" s="235"/>
      <c r="UGO140" s="235"/>
      <c r="UGP140" s="235"/>
      <c r="UGQ140" s="235"/>
      <c r="UGR140" s="235"/>
      <c r="UGS140" s="235"/>
      <c r="UGT140" s="235"/>
      <c r="UGU140" s="235"/>
      <c r="UGV140" s="235"/>
      <c r="UGW140" s="235"/>
      <c r="UGX140" s="235"/>
      <c r="UGY140" s="235"/>
      <c r="UGZ140" s="235"/>
      <c r="UHA140" s="235"/>
      <c r="UHB140" s="235"/>
      <c r="UHC140" s="235"/>
      <c r="UHD140" s="235"/>
      <c r="UHE140" s="235"/>
      <c r="UHF140" s="235"/>
      <c r="UHG140" s="235"/>
      <c r="UHH140" s="235"/>
      <c r="UHI140" s="235"/>
      <c r="UHJ140" s="235"/>
      <c r="UHK140" s="235"/>
      <c r="UHL140" s="235"/>
      <c r="UHM140" s="235"/>
      <c r="UHN140" s="235"/>
      <c r="UHO140" s="235"/>
      <c r="UHP140" s="235"/>
      <c r="UHQ140" s="235"/>
      <c r="UHR140" s="235"/>
      <c r="UHS140" s="235"/>
      <c r="UHT140" s="235"/>
      <c r="UHU140" s="235"/>
      <c r="UHV140" s="235"/>
      <c r="UHW140" s="235"/>
      <c r="UHX140" s="235"/>
      <c r="UHY140" s="235"/>
      <c r="UHZ140" s="235"/>
      <c r="UIA140" s="235"/>
      <c r="UIB140" s="235"/>
      <c r="UIC140" s="235"/>
      <c r="UID140" s="235"/>
      <c r="UIE140" s="235"/>
      <c r="UIF140" s="235"/>
      <c r="UIG140" s="235"/>
      <c r="UIH140" s="235"/>
      <c r="UII140" s="235"/>
      <c r="UIJ140" s="235"/>
      <c r="UIK140" s="235"/>
      <c r="UIL140" s="235"/>
      <c r="UIM140" s="235"/>
      <c r="UIN140" s="235"/>
      <c r="UIO140" s="235"/>
      <c r="UIP140" s="235"/>
      <c r="UIQ140" s="235"/>
      <c r="UIR140" s="235"/>
      <c r="UIS140" s="235"/>
      <c r="UIT140" s="235"/>
      <c r="UIU140" s="235"/>
      <c r="UIV140" s="235"/>
      <c r="UIW140" s="235"/>
      <c r="UIX140" s="235"/>
      <c r="UIY140" s="235"/>
      <c r="UIZ140" s="235"/>
      <c r="UJA140" s="235"/>
      <c r="UJB140" s="235"/>
      <c r="UJC140" s="235"/>
      <c r="UJD140" s="235"/>
      <c r="UJE140" s="235"/>
      <c r="UJF140" s="235"/>
      <c r="UJG140" s="235"/>
      <c r="UJH140" s="235"/>
      <c r="UJI140" s="235"/>
      <c r="UJJ140" s="235"/>
      <c r="UJK140" s="235"/>
      <c r="UJL140" s="235"/>
      <c r="UJM140" s="235"/>
      <c r="UJN140" s="235"/>
      <c r="UJO140" s="235"/>
      <c r="UJP140" s="235"/>
      <c r="UJQ140" s="235"/>
      <c r="UJR140" s="235"/>
      <c r="UJS140" s="235"/>
      <c r="UJT140" s="235"/>
      <c r="UJU140" s="235"/>
      <c r="UJV140" s="235"/>
      <c r="UJW140" s="235"/>
      <c r="UJX140" s="235"/>
      <c r="UJY140" s="235"/>
      <c r="UJZ140" s="235"/>
      <c r="UKA140" s="235"/>
      <c r="UKB140" s="235"/>
      <c r="UKC140" s="235"/>
      <c r="UKD140" s="235"/>
      <c r="UKE140" s="235"/>
      <c r="UKF140" s="235"/>
      <c r="UKG140" s="235"/>
      <c r="UKH140" s="235"/>
      <c r="UKI140" s="235"/>
      <c r="UKJ140" s="235"/>
      <c r="UKK140" s="235"/>
      <c r="UKL140" s="235"/>
      <c r="UKM140" s="235"/>
      <c r="UKN140" s="235"/>
      <c r="UKO140" s="235"/>
      <c r="UKP140" s="235"/>
      <c r="UKQ140" s="235"/>
      <c r="UKR140" s="235"/>
      <c r="UKS140" s="235"/>
      <c r="UKT140" s="235"/>
      <c r="UKU140" s="235"/>
      <c r="UKV140" s="235"/>
      <c r="UKW140" s="235"/>
      <c r="UKX140" s="235"/>
      <c r="UKY140" s="235"/>
      <c r="UKZ140" s="235"/>
      <c r="ULA140" s="235"/>
      <c r="ULB140" s="235"/>
      <c r="ULC140" s="235"/>
      <c r="ULD140" s="235"/>
      <c r="ULE140" s="235"/>
      <c r="ULF140" s="235"/>
      <c r="ULG140" s="235"/>
      <c r="ULH140" s="235"/>
      <c r="ULI140" s="235"/>
      <c r="ULJ140" s="235"/>
      <c r="ULK140" s="235"/>
      <c r="ULL140" s="235"/>
      <c r="ULM140" s="235"/>
      <c r="ULN140" s="235"/>
      <c r="ULO140" s="235"/>
      <c r="ULP140" s="235"/>
      <c r="ULQ140" s="235"/>
      <c r="ULR140" s="235"/>
      <c r="ULS140" s="235"/>
      <c r="ULT140" s="235"/>
      <c r="ULU140" s="235"/>
      <c r="ULV140" s="235"/>
      <c r="ULW140" s="235"/>
      <c r="ULX140" s="235"/>
      <c r="ULY140" s="235"/>
      <c r="ULZ140" s="235"/>
      <c r="UMA140" s="235"/>
      <c r="UMB140" s="235"/>
      <c r="UMC140" s="235"/>
      <c r="UMD140" s="235"/>
      <c r="UME140" s="235"/>
      <c r="UMF140" s="235"/>
      <c r="UMG140" s="235"/>
      <c r="UMH140" s="235"/>
      <c r="UMI140" s="235"/>
      <c r="UMJ140" s="235"/>
      <c r="UMK140" s="235"/>
      <c r="UML140" s="235"/>
      <c r="UMM140" s="235"/>
      <c r="UMN140" s="235"/>
      <c r="UMO140" s="235"/>
      <c r="UMP140" s="235"/>
      <c r="UMQ140" s="235"/>
      <c r="UMR140" s="235"/>
      <c r="UMS140" s="235"/>
      <c r="UMT140" s="235"/>
      <c r="UMU140" s="235"/>
      <c r="UMV140" s="235"/>
      <c r="UMW140" s="235"/>
      <c r="UMX140" s="235"/>
      <c r="UMY140" s="235"/>
      <c r="UMZ140" s="235"/>
      <c r="UNA140" s="235"/>
      <c r="UNB140" s="235"/>
      <c r="UNC140" s="235"/>
      <c r="UND140" s="235"/>
      <c r="UNE140" s="235"/>
      <c r="UNF140" s="235"/>
      <c r="UNG140" s="235"/>
      <c r="UNH140" s="235"/>
      <c r="UNI140" s="235"/>
      <c r="UNJ140" s="235"/>
      <c r="UNK140" s="235"/>
      <c r="UNL140" s="235"/>
      <c r="UNM140" s="235"/>
      <c r="UNN140" s="235"/>
      <c r="UNO140" s="235"/>
      <c r="UNP140" s="235"/>
      <c r="UNQ140" s="235"/>
      <c r="UNR140" s="235"/>
      <c r="UNS140" s="235"/>
      <c r="UNT140" s="235"/>
      <c r="UNU140" s="235"/>
      <c r="UNV140" s="235"/>
      <c r="UNW140" s="235"/>
      <c r="UNX140" s="235"/>
      <c r="UNY140" s="235"/>
      <c r="UNZ140" s="235"/>
      <c r="UOA140" s="235"/>
      <c r="UOB140" s="235"/>
      <c r="UOC140" s="235"/>
      <c r="UOD140" s="235"/>
      <c r="UOE140" s="235"/>
      <c r="UOF140" s="235"/>
      <c r="UOG140" s="235"/>
      <c r="UOH140" s="235"/>
      <c r="UOI140" s="235"/>
      <c r="UOJ140" s="235"/>
      <c r="UOK140" s="235"/>
      <c r="UOL140" s="235"/>
      <c r="UOM140" s="235"/>
      <c r="UON140" s="235"/>
      <c r="UOO140" s="235"/>
      <c r="UOP140" s="235"/>
      <c r="UOQ140" s="235"/>
      <c r="UOR140" s="235"/>
      <c r="UOS140" s="235"/>
      <c r="UOT140" s="235"/>
      <c r="UOU140" s="235"/>
      <c r="UOV140" s="235"/>
      <c r="UOW140" s="235"/>
      <c r="UOX140" s="235"/>
      <c r="UOY140" s="235"/>
      <c r="UOZ140" s="235"/>
      <c r="UPA140" s="235"/>
      <c r="UPB140" s="235"/>
      <c r="UPC140" s="235"/>
      <c r="UPD140" s="235"/>
      <c r="UPE140" s="235"/>
      <c r="UPF140" s="235"/>
      <c r="UPG140" s="235"/>
      <c r="UPH140" s="235"/>
      <c r="UPI140" s="235"/>
      <c r="UPJ140" s="235"/>
      <c r="UPK140" s="235"/>
      <c r="UPL140" s="235"/>
      <c r="UPM140" s="235"/>
      <c r="UPN140" s="235"/>
      <c r="UPO140" s="235"/>
      <c r="UPP140" s="235"/>
      <c r="UPQ140" s="235"/>
      <c r="UPR140" s="235"/>
      <c r="UPS140" s="235"/>
      <c r="UPT140" s="235"/>
      <c r="UPU140" s="235"/>
      <c r="UPV140" s="235"/>
      <c r="UPW140" s="235"/>
      <c r="UPX140" s="235"/>
      <c r="UPY140" s="235"/>
      <c r="UPZ140" s="235"/>
      <c r="UQA140" s="235"/>
      <c r="UQB140" s="235"/>
      <c r="UQC140" s="235"/>
      <c r="UQD140" s="235"/>
      <c r="UQE140" s="235"/>
      <c r="UQF140" s="235"/>
      <c r="UQG140" s="235"/>
      <c r="UQH140" s="235"/>
      <c r="UQI140" s="235"/>
      <c r="UQJ140" s="235"/>
      <c r="UQK140" s="235"/>
      <c r="UQL140" s="235"/>
      <c r="UQM140" s="235"/>
      <c r="UQN140" s="235"/>
      <c r="UQO140" s="235"/>
      <c r="UQP140" s="235"/>
      <c r="UQQ140" s="235"/>
      <c r="UQR140" s="235"/>
      <c r="UQS140" s="235"/>
      <c r="UQT140" s="235"/>
      <c r="UQU140" s="235"/>
      <c r="UQV140" s="235"/>
      <c r="UQW140" s="235"/>
      <c r="UQX140" s="235"/>
      <c r="UQY140" s="235"/>
      <c r="UQZ140" s="235"/>
      <c r="URA140" s="235"/>
      <c r="URB140" s="235"/>
      <c r="URC140" s="235"/>
      <c r="URD140" s="235"/>
      <c r="URE140" s="235"/>
      <c r="URF140" s="235"/>
      <c r="URG140" s="235"/>
      <c r="URH140" s="235"/>
      <c r="URI140" s="235"/>
      <c r="URJ140" s="235"/>
      <c r="URK140" s="235"/>
      <c r="URL140" s="235"/>
      <c r="URM140" s="235"/>
      <c r="URN140" s="235"/>
      <c r="URO140" s="235"/>
      <c r="URP140" s="235"/>
      <c r="URQ140" s="235"/>
      <c r="URR140" s="235"/>
      <c r="URS140" s="235"/>
      <c r="URT140" s="235"/>
      <c r="URU140" s="235"/>
      <c r="URV140" s="235"/>
      <c r="URW140" s="235"/>
      <c r="URX140" s="235"/>
      <c r="URY140" s="235"/>
      <c r="URZ140" s="235"/>
      <c r="USA140" s="235"/>
      <c r="USB140" s="235"/>
      <c r="USC140" s="235"/>
      <c r="USD140" s="235"/>
      <c r="USE140" s="235"/>
      <c r="USF140" s="235"/>
      <c r="USG140" s="235"/>
      <c r="USH140" s="235"/>
      <c r="USI140" s="235"/>
      <c r="USJ140" s="235"/>
      <c r="USK140" s="235"/>
      <c r="USL140" s="235"/>
      <c r="USM140" s="235"/>
      <c r="USN140" s="235"/>
      <c r="USO140" s="235"/>
      <c r="USP140" s="235"/>
      <c r="USQ140" s="235"/>
      <c r="USR140" s="235"/>
      <c r="USS140" s="235"/>
      <c r="UST140" s="235"/>
      <c r="USU140" s="235"/>
      <c r="USV140" s="235"/>
      <c r="USW140" s="235"/>
      <c r="USX140" s="235"/>
      <c r="USY140" s="235"/>
      <c r="USZ140" s="235"/>
      <c r="UTA140" s="235"/>
      <c r="UTB140" s="235"/>
      <c r="UTC140" s="235"/>
      <c r="UTD140" s="235"/>
      <c r="UTE140" s="235"/>
      <c r="UTF140" s="235"/>
      <c r="UTG140" s="235"/>
      <c r="UTH140" s="235"/>
      <c r="UTI140" s="235"/>
      <c r="UTJ140" s="235"/>
      <c r="UTK140" s="235"/>
      <c r="UTL140" s="235"/>
      <c r="UTM140" s="235"/>
      <c r="UTN140" s="235"/>
      <c r="UTO140" s="235"/>
      <c r="UTP140" s="235"/>
      <c r="UTQ140" s="235"/>
      <c r="UTR140" s="235"/>
      <c r="UTS140" s="235"/>
      <c r="UTT140" s="235"/>
      <c r="UTU140" s="235"/>
      <c r="UTV140" s="235"/>
      <c r="UTW140" s="235"/>
      <c r="UTX140" s="235"/>
      <c r="UTY140" s="235"/>
      <c r="UTZ140" s="235"/>
      <c r="UUA140" s="235"/>
      <c r="UUB140" s="235"/>
      <c r="UUC140" s="235"/>
      <c r="UUD140" s="235"/>
      <c r="UUE140" s="235"/>
      <c r="UUF140" s="235"/>
      <c r="UUG140" s="235"/>
      <c r="UUH140" s="235"/>
      <c r="UUI140" s="235"/>
      <c r="UUJ140" s="235"/>
      <c r="UUK140" s="235"/>
      <c r="UUL140" s="235"/>
      <c r="UUM140" s="235"/>
      <c r="UUN140" s="235"/>
      <c r="UUO140" s="235"/>
      <c r="UUP140" s="235"/>
      <c r="UUQ140" s="235"/>
      <c r="UUR140" s="235"/>
      <c r="UUS140" s="235"/>
      <c r="UUT140" s="235"/>
      <c r="UUU140" s="235"/>
      <c r="UUV140" s="235"/>
      <c r="UUW140" s="235"/>
      <c r="UUX140" s="235"/>
      <c r="UUY140" s="235"/>
      <c r="UUZ140" s="235"/>
      <c r="UVA140" s="235"/>
      <c r="UVB140" s="235"/>
      <c r="UVC140" s="235"/>
      <c r="UVD140" s="235"/>
      <c r="UVE140" s="235"/>
      <c r="UVF140" s="235"/>
      <c r="UVG140" s="235"/>
      <c r="UVH140" s="235"/>
      <c r="UVI140" s="235"/>
      <c r="UVJ140" s="235"/>
      <c r="UVK140" s="235"/>
      <c r="UVL140" s="235"/>
      <c r="UVM140" s="235"/>
      <c r="UVN140" s="235"/>
      <c r="UVO140" s="235"/>
      <c r="UVP140" s="235"/>
      <c r="UVQ140" s="235"/>
      <c r="UVR140" s="235"/>
      <c r="UVS140" s="235"/>
      <c r="UVT140" s="235"/>
      <c r="UVU140" s="235"/>
      <c r="UVV140" s="235"/>
      <c r="UVW140" s="235"/>
      <c r="UVX140" s="235"/>
      <c r="UVY140" s="235"/>
      <c r="UVZ140" s="235"/>
      <c r="UWA140" s="235"/>
      <c r="UWB140" s="235"/>
      <c r="UWC140" s="235"/>
      <c r="UWD140" s="235"/>
      <c r="UWE140" s="235"/>
      <c r="UWF140" s="235"/>
      <c r="UWG140" s="235"/>
      <c r="UWH140" s="235"/>
      <c r="UWI140" s="235"/>
      <c r="UWJ140" s="235"/>
      <c r="UWK140" s="235"/>
      <c r="UWL140" s="235"/>
      <c r="UWM140" s="235"/>
      <c r="UWN140" s="235"/>
      <c r="UWO140" s="235"/>
      <c r="UWP140" s="235"/>
      <c r="UWQ140" s="235"/>
      <c r="UWR140" s="235"/>
      <c r="UWS140" s="235"/>
      <c r="UWT140" s="235"/>
      <c r="UWU140" s="235"/>
      <c r="UWV140" s="235"/>
      <c r="UWW140" s="235"/>
      <c r="UWX140" s="235"/>
      <c r="UWY140" s="235"/>
      <c r="UWZ140" s="235"/>
      <c r="UXA140" s="235"/>
      <c r="UXB140" s="235"/>
      <c r="UXC140" s="235"/>
      <c r="UXD140" s="235"/>
      <c r="UXE140" s="235"/>
      <c r="UXF140" s="235"/>
      <c r="UXG140" s="235"/>
      <c r="UXH140" s="235"/>
      <c r="UXI140" s="235"/>
      <c r="UXJ140" s="235"/>
      <c r="UXK140" s="235"/>
      <c r="UXL140" s="235"/>
      <c r="UXM140" s="235"/>
      <c r="UXN140" s="235"/>
      <c r="UXO140" s="235"/>
      <c r="UXP140" s="235"/>
      <c r="UXQ140" s="235"/>
      <c r="UXR140" s="235"/>
      <c r="UXS140" s="235"/>
      <c r="UXT140" s="235"/>
      <c r="UXU140" s="235"/>
      <c r="UXV140" s="235"/>
      <c r="UXW140" s="235"/>
      <c r="UXX140" s="235"/>
      <c r="UXY140" s="235"/>
      <c r="UXZ140" s="235"/>
      <c r="UYA140" s="235"/>
      <c r="UYB140" s="235"/>
      <c r="UYC140" s="235"/>
      <c r="UYD140" s="235"/>
      <c r="UYE140" s="235"/>
      <c r="UYF140" s="235"/>
      <c r="UYG140" s="235"/>
      <c r="UYH140" s="235"/>
      <c r="UYI140" s="235"/>
      <c r="UYJ140" s="235"/>
      <c r="UYK140" s="235"/>
      <c r="UYL140" s="235"/>
      <c r="UYM140" s="235"/>
      <c r="UYN140" s="235"/>
      <c r="UYO140" s="235"/>
      <c r="UYP140" s="235"/>
      <c r="UYQ140" s="235"/>
      <c r="UYR140" s="235"/>
      <c r="UYS140" s="235"/>
      <c r="UYT140" s="235"/>
      <c r="UYU140" s="235"/>
      <c r="UYV140" s="235"/>
      <c r="UYW140" s="235"/>
      <c r="UYX140" s="235"/>
      <c r="UYY140" s="235"/>
      <c r="UYZ140" s="235"/>
      <c r="UZA140" s="235"/>
      <c r="UZB140" s="235"/>
      <c r="UZC140" s="235"/>
      <c r="UZD140" s="235"/>
      <c r="UZE140" s="235"/>
      <c r="UZF140" s="235"/>
      <c r="UZG140" s="235"/>
      <c r="UZH140" s="235"/>
      <c r="UZI140" s="235"/>
      <c r="UZJ140" s="235"/>
      <c r="UZK140" s="235"/>
      <c r="UZL140" s="235"/>
      <c r="UZM140" s="235"/>
      <c r="UZN140" s="235"/>
      <c r="UZO140" s="235"/>
      <c r="UZP140" s="235"/>
      <c r="UZQ140" s="235"/>
      <c r="UZR140" s="235"/>
      <c r="UZS140" s="235"/>
      <c r="UZT140" s="235"/>
      <c r="UZU140" s="235"/>
      <c r="UZV140" s="235"/>
      <c r="UZW140" s="235"/>
      <c r="UZX140" s="235"/>
      <c r="UZY140" s="235"/>
      <c r="UZZ140" s="235"/>
      <c r="VAA140" s="235"/>
      <c r="VAB140" s="235"/>
      <c r="VAC140" s="235"/>
      <c r="VAD140" s="235"/>
      <c r="VAE140" s="235"/>
      <c r="VAF140" s="235"/>
      <c r="VAG140" s="235"/>
      <c r="VAH140" s="235"/>
      <c r="VAI140" s="235"/>
      <c r="VAJ140" s="235"/>
      <c r="VAK140" s="235"/>
      <c r="VAL140" s="235"/>
      <c r="VAM140" s="235"/>
      <c r="VAN140" s="235"/>
      <c r="VAO140" s="235"/>
      <c r="VAP140" s="235"/>
      <c r="VAQ140" s="235"/>
      <c r="VAR140" s="235"/>
      <c r="VAS140" s="235"/>
      <c r="VAT140" s="235"/>
      <c r="VAU140" s="235"/>
      <c r="VAV140" s="235"/>
      <c r="VAW140" s="235"/>
      <c r="VAX140" s="235"/>
      <c r="VAY140" s="235"/>
      <c r="VAZ140" s="235"/>
      <c r="VBA140" s="235"/>
      <c r="VBB140" s="235"/>
      <c r="VBC140" s="235"/>
      <c r="VBD140" s="235"/>
      <c r="VBE140" s="235"/>
      <c r="VBF140" s="235"/>
      <c r="VBG140" s="235"/>
      <c r="VBH140" s="235"/>
      <c r="VBI140" s="235"/>
      <c r="VBJ140" s="235"/>
      <c r="VBK140" s="235"/>
      <c r="VBL140" s="235"/>
      <c r="VBM140" s="235"/>
      <c r="VBN140" s="235"/>
      <c r="VBO140" s="235"/>
      <c r="VBP140" s="235"/>
      <c r="VBQ140" s="235"/>
      <c r="VBR140" s="235"/>
      <c r="VBS140" s="235"/>
      <c r="VBT140" s="235"/>
      <c r="VBU140" s="235"/>
      <c r="VBV140" s="235"/>
      <c r="VBW140" s="235"/>
      <c r="VBX140" s="235"/>
      <c r="VBY140" s="235"/>
      <c r="VBZ140" s="235"/>
      <c r="VCA140" s="235"/>
      <c r="VCB140" s="235"/>
      <c r="VCC140" s="235"/>
      <c r="VCD140" s="235"/>
      <c r="VCE140" s="235"/>
      <c r="VCF140" s="235"/>
      <c r="VCG140" s="235"/>
      <c r="VCH140" s="235"/>
      <c r="VCI140" s="235"/>
      <c r="VCJ140" s="235"/>
      <c r="VCK140" s="235"/>
      <c r="VCL140" s="235"/>
      <c r="VCM140" s="235"/>
      <c r="VCN140" s="235"/>
      <c r="VCO140" s="235"/>
      <c r="VCP140" s="235"/>
      <c r="VCQ140" s="235"/>
      <c r="VCR140" s="235"/>
      <c r="VCS140" s="235"/>
      <c r="VCT140" s="235"/>
      <c r="VCU140" s="235"/>
      <c r="VCV140" s="235"/>
      <c r="VCW140" s="235"/>
      <c r="VCX140" s="235"/>
      <c r="VCY140" s="235"/>
      <c r="VCZ140" s="235"/>
      <c r="VDA140" s="235"/>
      <c r="VDB140" s="235"/>
      <c r="VDC140" s="235"/>
      <c r="VDD140" s="235"/>
      <c r="VDE140" s="235"/>
      <c r="VDF140" s="235"/>
      <c r="VDG140" s="235"/>
      <c r="VDH140" s="235"/>
      <c r="VDI140" s="235"/>
      <c r="VDJ140" s="235"/>
      <c r="VDK140" s="235"/>
      <c r="VDL140" s="235"/>
      <c r="VDM140" s="235"/>
      <c r="VDN140" s="235"/>
      <c r="VDO140" s="235"/>
      <c r="VDP140" s="235"/>
      <c r="VDQ140" s="235"/>
      <c r="VDR140" s="235"/>
      <c r="VDS140" s="235"/>
      <c r="VDT140" s="235"/>
      <c r="VDU140" s="235"/>
      <c r="VDV140" s="235"/>
      <c r="VDW140" s="235"/>
      <c r="VDX140" s="235"/>
      <c r="VDY140" s="235"/>
      <c r="VDZ140" s="235"/>
      <c r="VEA140" s="235"/>
      <c r="VEB140" s="235"/>
      <c r="VEC140" s="235"/>
      <c r="VED140" s="235"/>
      <c r="VEE140" s="235"/>
      <c r="VEF140" s="235"/>
      <c r="VEG140" s="235"/>
      <c r="VEH140" s="235"/>
      <c r="VEI140" s="235"/>
      <c r="VEJ140" s="235"/>
      <c r="VEK140" s="235"/>
      <c r="VEL140" s="235"/>
      <c r="VEM140" s="235"/>
      <c r="VEN140" s="235"/>
      <c r="VEO140" s="235"/>
      <c r="VEP140" s="235"/>
      <c r="VEQ140" s="235"/>
      <c r="VER140" s="235"/>
      <c r="VES140" s="235"/>
      <c r="VET140" s="235"/>
      <c r="VEU140" s="235"/>
      <c r="VEV140" s="235"/>
      <c r="VEW140" s="235"/>
      <c r="VEX140" s="235"/>
      <c r="VEY140" s="235"/>
      <c r="VEZ140" s="235"/>
      <c r="VFA140" s="235"/>
      <c r="VFB140" s="235"/>
      <c r="VFC140" s="235"/>
      <c r="VFD140" s="235"/>
      <c r="VFE140" s="235"/>
      <c r="VFF140" s="235"/>
      <c r="VFG140" s="235"/>
      <c r="VFH140" s="235"/>
      <c r="VFI140" s="235"/>
      <c r="VFJ140" s="235"/>
      <c r="VFK140" s="235"/>
      <c r="VFL140" s="235"/>
      <c r="VFM140" s="235"/>
      <c r="VFN140" s="235"/>
      <c r="VFO140" s="235"/>
      <c r="VFP140" s="235"/>
      <c r="VFQ140" s="235"/>
      <c r="VFR140" s="235"/>
      <c r="VFS140" s="235"/>
      <c r="VFT140" s="235"/>
      <c r="VFU140" s="235"/>
      <c r="VFV140" s="235"/>
      <c r="VFW140" s="235"/>
      <c r="VFX140" s="235"/>
      <c r="VFY140" s="235"/>
      <c r="VFZ140" s="235"/>
      <c r="VGA140" s="235"/>
      <c r="VGB140" s="235"/>
      <c r="VGC140" s="235"/>
      <c r="VGD140" s="235"/>
      <c r="VGE140" s="235"/>
      <c r="VGF140" s="235"/>
      <c r="VGG140" s="235"/>
      <c r="VGH140" s="235"/>
      <c r="VGI140" s="235"/>
      <c r="VGJ140" s="235"/>
      <c r="VGK140" s="235"/>
      <c r="VGL140" s="235"/>
      <c r="VGM140" s="235"/>
      <c r="VGN140" s="235"/>
      <c r="VGO140" s="235"/>
      <c r="VGP140" s="235"/>
      <c r="VGQ140" s="235"/>
      <c r="VGR140" s="235"/>
      <c r="VGS140" s="235"/>
      <c r="VGT140" s="235"/>
      <c r="VGU140" s="235"/>
      <c r="VGV140" s="235"/>
      <c r="VGW140" s="235"/>
      <c r="VGX140" s="235"/>
      <c r="VGY140" s="235"/>
      <c r="VGZ140" s="235"/>
      <c r="VHA140" s="235"/>
      <c r="VHB140" s="235"/>
      <c r="VHC140" s="235"/>
      <c r="VHD140" s="235"/>
      <c r="VHE140" s="235"/>
      <c r="VHF140" s="235"/>
      <c r="VHG140" s="235"/>
      <c r="VHH140" s="235"/>
      <c r="VHI140" s="235"/>
      <c r="VHJ140" s="235"/>
      <c r="VHK140" s="235"/>
      <c r="VHL140" s="235"/>
      <c r="VHM140" s="235"/>
      <c r="VHN140" s="235"/>
      <c r="VHO140" s="235"/>
      <c r="VHP140" s="235"/>
      <c r="VHQ140" s="235"/>
      <c r="VHR140" s="235"/>
      <c r="VHS140" s="235"/>
      <c r="VHT140" s="235"/>
      <c r="VHU140" s="235"/>
      <c r="VHV140" s="235"/>
      <c r="VHW140" s="235"/>
      <c r="VHX140" s="235"/>
      <c r="VHY140" s="235"/>
      <c r="VHZ140" s="235"/>
      <c r="VIA140" s="235"/>
      <c r="VIB140" s="235"/>
      <c r="VIC140" s="235"/>
      <c r="VID140" s="235"/>
      <c r="VIE140" s="235"/>
      <c r="VIF140" s="235"/>
      <c r="VIG140" s="235"/>
      <c r="VIH140" s="235"/>
      <c r="VII140" s="235"/>
      <c r="VIJ140" s="235"/>
      <c r="VIK140" s="235"/>
      <c r="VIL140" s="235"/>
      <c r="VIM140" s="235"/>
      <c r="VIN140" s="235"/>
      <c r="VIO140" s="235"/>
      <c r="VIP140" s="235"/>
      <c r="VIQ140" s="235"/>
      <c r="VIR140" s="235"/>
      <c r="VIS140" s="235"/>
      <c r="VIT140" s="235"/>
      <c r="VIU140" s="235"/>
      <c r="VIV140" s="235"/>
      <c r="VIW140" s="235"/>
      <c r="VIX140" s="235"/>
      <c r="VIY140" s="235"/>
      <c r="VIZ140" s="235"/>
      <c r="VJA140" s="235"/>
      <c r="VJB140" s="235"/>
      <c r="VJC140" s="235"/>
      <c r="VJD140" s="235"/>
      <c r="VJE140" s="235"/>
      <c r="VJF140" s="235"/>
      <c r="VJG140" s="235"/>
      <c r="VJH140" s="235"/>
      <c r="VJI140" s="235"/>
      <c r="VJJ140" s="235"/>
      <c r="VJK140" s="235"/>
      <c r="VJL140" s="235"/>
      <c r="VJM140" s="235"/>
      <c r="VJN140" s="235"/>
      <c r="VJO140" s="235"/>
      <c r="VJP140" s="235"/>
      <c r="VJQ140" s="235"/>
      <c r="VJR140" s="235"/>
      <c r="VJS140" s="235"/>
      <c r="VJT140" s="235"/>
      <c r="VJU140" s="235"/>
      <c r="VJV140" s="235"/>
      <c r="VJW140" s="235"/>
      <c r="VJX140" s="235"/>
      <c r="VJY140" s="235"/>
      <c r="VJZ140" s="235"/>
      <c r="VKA140" s="235"/>
      <c r="VKB140" s="235"/>
      <c r="VKC140" s="235"/>
      <c r="VKD140" s="235"/>
      <c r="VKE140" s="235"/>
      <c r="VKF140" s="235"/>
      <c r="VKG140" s="235"/>
      <c r="VKH140" s="235"/>
      <c r="VKI140" s="235"/>
      <c r="VKJ140" s="235"/>
      <c r="VKK140" s="235"/>
      <c r="VKL140" s="235"/>
      <c r="VKM140" s="235"/>
      <c r="VKN140" s="235"/>
      <c r="VKO140" s="235"/>
      <c r="VKP140" s="235"/>
      <c r="VKQ140" s="235"/>
      <c r="VKR140" s="235"/>
      <c r="VKS140" s="235"/>
      <c r="VKT140" s="235"/>
      <c r="VKU140" s="235"/>
      <c r="VKV140" s="235"/>
      <c r="VKW140" s="235"/>
      <c r="VKX140" s="235"/>
      <c r="VKY140" s="235"/>
      <c r="VKZ140" s="235"/>
      <c r="VLA140" s="235"/>
      <c r="VLB140" s="235"/>
      <c r="VLC140" s="235"/>
      <c r="VLD140" s="235"/>
      <c r="VLE140" s="235"/>
      <c r="VLF140" s="235"/>
      <c r="VLG140" s="235"/>
      <c r="VLH140" s="235"/>
      <c r="VLI140" s="235"/>
      <c r="VLJ140" s="235"/>
      <c r="VLK140" s="235"/>
      <c r="VLL140" s="235"/>
      <c r="VLM140" s="235"/>
      <c r="VLN140" s="235"/>
      <c r="VLO140" s="235"/>
      <c r="VLP140" s="235"/>
      <c r="VLQ140" s="235"/>
      <c r="VLR140" s="235"/>
      <c r="VLS140" s="235"/>
      <c r="VLT140" s="235"/>
      <c r="VLU140" s="235"/>
      <c r="VLV140" s="235"/>
      <c r="VLW140" s="235"/>
      <c r="VLX140" s="235"/>
      <c r="VLY140" s="235"/>
      <c r="VLZ140" s="235"/>
      <c r="VMA140" s="235"/>
      <c r="VMB140" s="235"/>
      <c r="VMC140" s="235"/>
      <c r="VMD140" s="235"/>
      <c r="VME140" s="235"/>
      <c r="VMF140" s="235"/>
      <c r="VMG140" s="235"/>
      <c r="VMH140" s="235"/>
      <c r="VMI140" s="235"/>
      <c r="VMJ140" s="235"/>
      <c r="VMK140" s="235"/>
      <c r="VML140" s="235"/>
      <c r="VMM140" s="235"/>
      <c r="VMN140" s="235"/>
      <c r="VMO140" s="235"/>
      <c r="VMP140" s="235"/>
      <c r="VMQ140" s="235"/>
      <c r="VMR140" s="235"/>
      <c r="VMS140" s="235"/>
      <c r="VMT140" s="235"/>
      <c r="VMU140" s="235"/>
      <c r="VMV140" s="235"/>
      <c r="VMW140" s="235"/>
      <c r="VMX140" s="235"/>
      <c r="VMY140" s="235"/>
      <c r="VMZ140" s="235"/>
      <c r="VNA140" s="235"/>
      <c r="VNB140" s="235"/>
      <c r="VNC140" s="235"/>
      <c r="VND140" s="235"/>
      <c r="VNE140" s="235"/>
      <c r="VNF140" s="235"/>
      <c r="VNG140" s="235"/>
      <c r="VNH140" s="235"/>
      <c r="VNI140" s="235"/>
      <c r="VNJ140" s="235"/>
      <c r="VNK140" s="235"/>
      <c r="VNL140" s="235"/>
      <c r="VNM140" s="235"/>
      <c r="VNN140" s="235"/>
      <c r="VNO140" s="235"/>
      <c r="VNP140" s="235"/>
      <c r="VNQ140" s="235"/>
      <c r="VNR140" s="235"/>
      <c r="VNS140" s="235"/>
      <c r="VNT140" s="235"/>
      <c r="VNU140" s="235"/>
      <c r="VNV140" s="235"/>
      <c r="VNW140" s="235"/>
      <c r="VNX140" s="235"/>
      <c r="VNY140" s="235"/>
      <c r="VNZ140" s="235"/>
      <c r="VOA140" s="235"/>
      <c r="VOB140" s="235"/>
      <c r="VOC140" s="235"/>
      <c r="VOD140" s="235"/>
      <c r="VOE140" s="235"/>
      <c r="VOF140" s="235"/>
      <c r="VOG140" s="235"/>
      <c r="VOH140" s="235"/>
      <c r="VOI140" s="235"/>
      <c r="VOJ140" s="235"/>
      <c r="VOK140" s="235"/>
      <c r="VOL140" s="235"/>
      <c r="VOM140" s="235"/>
      <c r="VON140" s="235"/>
      <c r="VOO140" s="235"/>
      <c r="VOP140" s="235"/>
      <c r="VOQ140" s="235"/>
      <c r="VOR140" s="235"/>
      <c r="VOS140" s="235"/>
      <c r="VOT140" s="235"/>
      <c r="VOU140" s="235"/>
      <c r="VOV140" s="235"/>
      <c r="VOW140" s="235"/>
      <c r="VOX140" s="235"/>
      <c r="VOY140" s="235"/>
      <c r="VOZ140" s="235"/>
      <c r="VPA140" s="235"/>
      <c r="VPB140" s="235"/>
      <c r="VPC140" s="235"/>
      <c r="VPD140" s="235"/>
      <c r="VPE140" s="235"/>
      <c r="VPF140" s="235"/>
      <c r="VPG140" s="235"/>
      <c r="VPH140" s="235"/>
      <c r="VPI140" s="235"/>
      <c r="VPJ140" s="235"/>
      <c r="VPK140" s="235"/>
      <c r="VPL140" s="235"/>
      <c r="VPM140" s="235"/>
      <c r="VPN140" s="235"/>
      <c r="VPO140" s="235"/>
      <c r="VPP140" s="235"/>
      <c r="VPQ140" s="235"/>
      <c r="VPR140" s="235"/>
      <c r="VPS140" s="235"/>
      <c r="VPT140" s="235"/>
      <c r="VPU140" s="235"/>
      <c r="VPV140" s="235"/>
      <c r="VPW140" s="235"/>
      <c r="VPX140" s="235"/>
      <c r="VPY140" s="235"/>
      <c r="VPZ140" s="235"/>
      <c r="VQA140" s="235"/>
      <c r="VQB140" s="235"/>
      <c r="VQC140" s="235"/>
      <c r="VQD140" s="235"/>
      <c r="VQE140" s="235"/>
      <c r="VQF140" s="235"/>
      <c r="VQG140" s="235"/>
      <c r="VQH140" s="235"/>
      <c r="VQI140" s="235"/>
      <c r="VQJ140" s="235"/>
      <c r="VQK140" s="235"/>
      <c r="VQL140" s="235"/>
      <c r="VQM140" s="235"/>
      <c r="VQN140" s="235"/>
      <c r="VQO140" s="235"/>
      <c r="VQP140" s="235"/>
      <c r="VQQ140" s="235"/>
      <c r="VQR140" s="235"/>
      <c r="VQS140" s="235"/>
      <c r="VQT140" s="235"/>
      <c r="VQU140" s="235"/>
      <c r="VQV140" s="235"/>
      <c r="VQW140" s="235"/>
      <c r="VQX140" s="235"/>
      <c r="VQY140" s="235"/>
      <c r="VQZ140" s="235"/>
      <c r="VRA140" s="235"/>
      <c r="VRB140" s="235"/>
      <c r="VRC140" s="235"/>
      <c r="VRD140" s="235"/>
      <c r="VRE140" s="235"/>
      <c r="VRF140" s="235"/>
      <c r="VRG140" s="235"/>
      <c r="VRH140" s="235"/>
      <c r="VRI140" s="235"/>
      <c r="VRJ140" s="235"/>
      <c r="VRK140" s="235"/>
      <c r="VRL140" s="235"/>
      <c r="VRM140" s="235"/>
      <c r="VRN140" s="235"/>
      <c r="VRO140" s="235"/>
      <c r="VRP140" s="235"/>
      <c r="VRQ140" s="235"/>
      <c r="VRR140" s="235"/>
      <c r="VRS140" s="235"/>
      <c r="VRT140" s="235"/>
      <c r="VRU140" s="235"/>
      <c r="VRV140" s="235"/>
      <c r="VRW140" s="235"/>
      <c r="VRX140" s="235"/>
      <c r="VRY140" s="235"/>
      <c r="VRZ140" s="235"/>
      <c r="VSA140" s="235"/>
      <c r="VSB140" s="235"/>
      <c r="VSC140" s="235"/>
      <c r="VSD140" s="235"/>
      <c r="VSE140" s="235"/>
      <c r="VSF140" s="235"/>
      <c r="VSG140" s="235"/>
      <c r="VSH140" s="235"/>
      <c r="VSI140" s="235"/>
      <c r="VSJ140" s="235"/>
      <c r="VSK140" s="235"/>
      <c r="VSL140" s="235"/>
      <c r="VSM140" s="235"/>
      <c r="VSN140" s="235"/>
      <c r="VSO140" s="235"/>
      <c r="VSP140" s="235"/>
      <c r="VSQ140" s="235"/>
      <c r="VSR140" s="235"/>
      <c r="VSS140" s="235"/>
      <c r="VST140" s="235"/>
      <c r="VSU140" s="235"/>
      <c r="VSV140" s="235"/>
      <c r="VSW140" s="235"/>
      <c r="VSX140" s="235"/>
      <c r="VSY140" s="235"/>
      <c r="VSZ140" s="235"/>
      <c r="VTA140" s="235"/>
      <c r="VTB140" s="235"/>
      <c r="VTC140" s="235"/>
      <c r="VTD140" s="235"/>
      <c r="VTE140" s="235"/>
      <c r="VTF140" s="235"/>
      <c r="VTG140" s="235"/>
      <c r="VTH140" s="235"/>
      <c r="VTI140" s="235"/>
      <c r="VTJ140" s="235"/>
      <c r="VTK140" s="235"/>
      <c r="VTL140" s="235"/>
      <c r="VTM140" s="235"/>
      <c r="VTN140" s="235"/>
      <c r="VTO140" s="235"/>
      <c r="VTP140" s="235"/>
      <c r="VTQ140" s="235"/>
      <c r="VTR140" s="235"/>
      <c r="VTS140" s="235"/>
      <c r="VTT140" s="235"/>
      <c r="VTU140" s="235"/>
      <c r="VTV140" s="235"/>
      <c r="VTW140" s="235"/>
      <c r="VTX140" s="235"/>
      <c r="VTY140" s="235"/>
      <c r="VTZ140" s="235"/>
      <c r="VUA140" s="235"/>
      <c r="VUB140" s="235"/>
      <c r="VUC140" s="235"/>
      <c r="VUD140" s="235"/>
      <c r="VUE140" s="235"/>
      <c r="VUF140" s="235"/>
      <c r="VUG140" s="235"/>
      <c r="VUH140" s="235"/>
      <c r="VUI140" s="235"/>
      <c r="VUJ140" s="235"/>
      <c r="VUK140" s="235"/>
      <c r="VUL140" s="235"/>
      <c r="VUM140" s="235"/>
      <c r="VUN140" s="235"/>
      <c r="VUO140" s="235"/>
      <c r="VUP140" s="235"/>
      <c r="VUQ140" s="235"/>
      <c r="VUR140" s="235"/>
      <c r="VUS140" s="235"/>
      <c r="VUT140" s="235"/>
      <c r="VUU140" s="235"/>
      <c r="VUV140" s="235"/>
      <c r="VUW140" s="235"/>
      <c r="VUX140" s="235"/>
      <c r="VUY140" s="235"/>
      <c r="VUZ140" s="235"/>
      <c r="VVA140" s="235"/>
      <c r="VVB140" s="235"/>
      <c r="VVC140" s="235"/>
      <c r="VVD140" s="235"/>
      <c r="VVE140" s="235"/>
      <c r="VVF140" s="235"/>
      <c r="VVG140" s="235"/>
      <c r="VVH140" s="235"/>
      <c r="VVI140" s="235"/>
      <c r="VVJ140" s="235"/>
      <c r="VVK140" s="235"/>
      <c r="VVL140" s="235"/>
      <c r="VVM140" s="235"/>
      <c r="VVN140" s="235"/>
      <c r="VVO140" s="235"/>
      <c r="VVP140" s="235"/>
      <c r="VVQ140" s="235"/>
      <c r="VVR140" s="235"/>
      <c r="VVS140" s="235"/>
      <c r="VVT140" s="235"/>
      <c r="VVU140" s="235"/>
      <c r="VVV140" s="235"/>
      <c r="VVW140" s="235"/>
      <c r="VVX140" s="235"/>
      <c r="VVY140" s="235"/>
      <c r="VVZ140" s="235"/>
      <c r="VWA140" s="235"/>
      <c r="VWB140" s="235"/>
      <c r="VWC140" s="235"/>
      <c r="VWD140" s="235"/>
      <c r="VWE140" s="235"/>
      <c r="VWF140" s="235"/>
      <c r="VWG140" s="235"/>
      <c r="VWH140" s="235"/>
      <c r="VWI140" s="235"/>
      <c r="VWJ140" s="235"/>
      <c r="VWK140" s="235"/>
      <c r="VWL140" s="235"/>
      <c r="VWM140" s="235"/>
      <c r="VWN140" s="235"/>
      <c r="VWO140" s="235"/>
      <c r="VWP140" s="235"/>
      <c r="VWQ140" s="235"/>
      <c r="VWR140" s="235"/>
      <c r="VWS140" s="235"/>
      <c r="VWT140" s="235"/>
      <c r="VWU140" s="235"/>
      <c r="VWV140" s="235"/>
      <c r="VWW140" s="235"/>
      <c r="VWX140" s="235"/>
      <c r="VWY140" s="235"/>
      <c r="VWZ140" s="235"/>
      <c r="VXA140" s="235"/>
      <c r="VXB140" s="235"/>
      <c r="VXC140" s="235"/>
      <c r="VXD140" s="235"/>
      <c r="VXE140" s="235"/>
      <c r="VXF140" s="235"/>
      <c r="VXG140" s="235"/>
      <c r="VXH140" s="235"/>
      <c r="VXI140" s="235"/>
      <c r="VXJ140" s="235"/>
      <c r="VXK140" s="235"/>
      <c r="VXL140" s="235"/>
      <c r="VXM140" s="235"/>
      <c r="VXN140" s="235"/>
      <c r="VXO140" s="235"/>
      <c r="VXP140" s="235"/>
      <c r="VXQ140" s="235"/>
      <c r="VXR140" s="235"/>
      <c r="VXS140" s="235"/>
      <c r="VXT140" s="235"/>
      <c r="VXU140" s="235"/>
      <c r="VXV140" s="235"/>
      <c r="VXW140" s="235"/>
      <c r="VXX140" s="235"/>
      <c r="VXY140" s="235"/>
      <c r="VXZ140" s="235"/>
      <c r="VYA140" s="235"/>
      <c r="VYB140" s="235"/>
      <c r="VYC140" s="235"/>
      <c r="VYD140" s="235"/>
      <c r="VYE140" s="235"/>
      <c r="VYF140" s="235"/>
      <c r="VYG140" s="235"/>
      <c r="VYH140" s="235"/>
      <c r="VYI140" s="235"/>
      <c r="VYJ140" s="235"/>
      <c r="VYK140" s="235"/>
      <c r="VYL140" s="235"/>
      <c r="VYM140" s="235"/>
      <c r="VYN140" s="235"/>
      <c r="VYO140" s="235"/>
      <c r="VYP140" s="235"/>
      <c r="VYQ140" s="235"/>
      <c r="VYR140" s="235"/>
      <c r="VYS140" s="235"/>
      <c r="VYT140" s="235"/>
      <c r="VYU140" s="235"/>
      <c r="VYV140" s="235"/>
      <c r="VYW140" s="235"/>
      <c r="VYX140" s="235"/>
      <c r="VYY140" s="235"/>
      <c r="VYZ140" s="235"/>
      <c r="VZA140" s="235"/>
      <c r="VZB140" s="235"/>
      <c r="VZC140" s="235"/>
      <c r="VZD140" s="235"/>
      <c r="VZE140" s="235"/>
      <c r="VZF140" s="235"/>
      <c r="VZG140" s="235"/>
      <c r="VZH140" s="235"/>
      <c r="VZI140" s="235"/>
      <c r="VZJ140" s="235"/>
      <c r="VZK140" s="235"/>
      <c r="VZL140" s="235"/>
      <c r="VZM140" s="235"/>
      <c r="VZN140" s="235"/>
      <c r="VZO140" s="235"/>
      <c r="VZP140" s="235"/>
      <c r="VZQ140" s="235"/>
      <c r="VZR140" s="235"/>
      <c r="VZS140" s="235"/>
      <c r="VZT140" s="235"/>
      <c r="VZU140" s="235"/>
      <c r="VZV140" s="235"/>
      <c r="VZW140" s="235"/>
      <c r="VZX140" s="235"/>
      <c r="VZY140" s="235"/>
      <c r="VZZ140" s="235"/>
      <c r="WAA140" s="235"/>
      <c r="WAB140" s="235"/>
      <c r="WAC140" s="235"/>
      <c r="WAD140" s="235"/>
      <c r="WAE140" s="235"/>
      <c r="WAF140" s="235"/>
      <c r="WAG140" s="235"/>
      <c r="WAH140" s="235"/>
      <c r="WAI140" s="235"/>
      <c r="WAJ140" s="235"/>
      <c r="WAK140" s="235"/>
      <c r="WAL140" s="235"/>
      <c r="WAM140" s="235"/>
      <c r="WAN140" s="235"/>
      <c r="WAO140" s="235"/>
      <c r="WAP140" s="235"/>
      <c r="WAQ140" s="235"/>
      <c r="WAR140" s="235"/>
      <c r="WAS140" s="235"/>
      <c r="WAT140" s="235"/>
      <c r="WAU140" s="235"/>
      <c r="WAV140" s="235"/>
      <c r="WAW140" s="235"/>
      <c r="WAX140" s="235"/>
      <c r="WAY140" s="235"/>
      <c r="WAZ140" s="235"/>
      <c r="WBA140" s="235"/>
      <c r="WBB140" s="235"/>
      <c r="WBC140" s="235"/>
      <c r="WBD140" s="235"/>
      <c r="WBE140" s="235"/>
      <c r="WBF140" s="235"/>
      <c r="WBG140" s="235"/>
      <c r="WBH140" s="235"/>
      <c r="WBI140" s="235"/>
      <c r="WBJ140" s="235"/>
      <c r="WBK140" s="235"/>
      <c r="WBL140" s="235"/>
      <c r="WBM140" s="235"/>
      <c r="WBN140" s="235"/>
      <c r="WBO140" s="235"/>
      <c r="WBP140" s="235"/>
      <c r="WBQ140" s="235"/>
      <c r="WBR140" s="235"/>
      <c r="WBS140" s="235"/>
      <c r="WBT140" s="235"/>
      <c r="WBU140" s="235"/>
      <c r="WBV140" s="235"/>
      <c r="WBW140" s="235"/>
      <c r="WBX140" s="235"/>
      <c r="WBY140" s="235"/>
      <c r="WBZ140" s="235"/>
      <c r="WCA140" s="235"/>
      <c r="WCB140" s="235"/>
      <c r="WCC140" s="235"/>
      <c r="WCD140" s="235"/>
      <c r="WCE140" s="235"/>
      <c r="WCF140" s="235"/>
      <c r="WCG140" s="235"/>
      <c r="WCH140" s="235"/>
      <c r="WCI140" s="235"/>
      <c r="WCJ140" s="235"/>
      <c r="WCK140" s="235"/>
      <c r="WCL140" s="235"/>
      <c r="WCM140" s="235"/>
      <c r="WCN140" s="235"/>
      <c r="WCO140" s="235"/>
      <c r="WCP140" s="235"/>
      <c r="WCQ140" s="235"/>
      <c r="WCR140" s="235"/>
      <c r="WCS140" s="235"/>
      <c r="WCT140" s="235"/>
      <c r="WCU140" s="235"/>
      <c r="WCV140" s="235"/>
      <c r="WCW140" s="235"/>
      <c r="WCX140" s="235"/>
      <c r="WCY140" s="235"/>
      <c r="WCZ140" s="235"/>
      <c r="WDA140" s="235"/>
      <c r="WDB140" s="235"/>
      <c r="WDC140" s="235"/>
      <c r="WDD140" s="235"/>
      <c r="WDE140" s="235"/>
      <c r="WDF140" s="235"/>
      <c r="WDG140" s="235"/>
      <c r="WDH140" s="235"/>
      <c r="WDI140" s="235"/>
      <c r="WDJ140" s="235"/>
      <c r="WDK140" s="235"/>
      <c r="WDL140" s="235"/>
      <c r="WDM140" s="235"/>
      <c r="WDN140" s="235"/>
      <c r="WDO140" s="235"/>
      <c r="WDP140" s="235"/>
      <c r="WDQ140" s="235"/>
      <c r="WDR140" s="235"/>
      <c r="WDS140" s="235"/>
      <c r="WDT140" s="235"/>
      <c r="WDU140" s="235"/>
      <c r="WDV140" s="235"/>
      <c r="WDW140" s="235"/>
      <c r="WDX140" s="235"/>
      <c r="WDY140" s="235"/>
      <c r="WDZ140" s="235"/>
      <c r="WEA140" s="235"/>
      <c r="WEB140" s="235"/>
      <c r="WEC140" s="235"/>
      <c r="WED140" s="235"/>
      <c r="WEE140" s="235"/>
      <c r="WEF140" s="235"/>
      <c r="WEG140" s="235"/>
      <c r="WEH140" s="235"/>
      <c r="WEI140" s="235"/>
      <c r="WEJ140" s="235"/>
      <c r="WEK140" s="235"/>
      <c r="WEL140" s="235"/>
      <c r="WEM140" s="235"/>
      <c r="WEN140" s="235"/>
      <c r="WEO140" s="235"/>
      <c r="WEP140" s="235"/>
      <c r="WEQ140" s="235"/>
      <c r="WER140" s="235"/>
      <c r="WES140" s="235"/>
      <c r="WET140" s="235"/>
      <c r="WEU140" s="235"/>
      <c r="WEV140" s="235"/>
      <c r="WEW140" s="235"/>
      <c r="WEX140" s="235"/>
      <c r="WEY140" s="235"/>
      <c r="WEZ140" s="235"/>
      <c r="WFA140" s="235"/>
      <c r="WFB140" s="235"/>
      <c r="WFC140" s="235"/>
      <c r="WFD140" s="235"/>
      <c r="WFE140" s="235"/>
      <c r="WFF140" s="235"/>
      <c r="WFG140" s="235"/>
      <c r="WFH140" s="235"/>
      <c r="WFI140" s="235"/>
      <c r="WFJ140" s="235"/>
      <c r="WFK140" s="235"/>
      <c r="WFL140" s="235"/>
      <c r="WFM140" s="235"/>
      <c r="WFN140" s="235"/>
      <c r="WFO140" s="235"/>
      <c r="WFP140" s="235"/>
      <c r="WFQ140" s="235"/>
      <c r="WFR140" s="235"/>
      <c r="WFS140" s="235"/>
      <c r="WFT140" s="235"/>
      <c r="WFU140" s="235"/>
      <c r="WFV140" s="235"/>
      <c r="WFW140" s="235"/>
      <c r="WFX140" s="235"/>
      <c r="WFY140" s="235"/>
      <c r="WFZ140" s="235"/>
      <c r="WGA140" s="235"/>
      <c r="WGB140" s="235"/>
      <c r="WGC140" s="235"/>
      <c r="WGD140" s="235"/>
      <c r="WGE140" s="235"/>
      <c r="WGF140" s="235"/>
      <c r="WGG140" s="235"/>
      <c r="WGH140" s="235"/>
      <c r="WGI140" s="235"/>
      <c r="WGJ140" s="235"/>
      <c r="WGK140" s="235"/>
      <c r="WGL140" s="235"/>
      <c r="WGM140" s="235"/>
      <c r="WGN140" s="235"/>
      <c r="WGO140" s="235"/>
      <c r="WGP140" s="235"/>
      <c r="WGQ140" s="235"/>
      <c r="WGR140" s="235"/>
      <c r="WGS140" s="235"/>
      <c r="WGT140" s="235"/>
      <c r="WGU140" s="235"/>
      <c r="WGV140" s="235"/>
      <c r="WGW140" s="235"/>
      <c r="WGX140" s="235"/>
      <c r="WGY140" s="235"/>
      <c r="WGZ140" s="235"/>
      <c r="WHA140" s="235"/>
      <c r="WHB140" s="235"/>
      <c r="WHC140" s="235"/>
      <c r="WHD140" s="235"/>
      <c r="WHE140" s="235"/>
      <c r="WHF140" s="235"/>
      <c r="WHG140" s="235"/>
      <c r="WHH140" s="235"/>
      <c r="WHI140" s="235"/>
      <c r="WHJ140" s="235"/>
      <c r="WHK140" s="235"/>
      <c r="WHL140" s="235"/>
      <c r="WHM140" s="235"/>
      <c r="WHN140" s="235"/>
      <c r="WHO140" s="235"/>
      <c r="WHP140" s="235"/>
      <c r="WHQ140" s="235"/>
      <c r="WHR140" s="235"/>
      <c r="WHS140" s="235"/>
      <c r="WHT140" s="235"/>
      <c r="WHU140" s="235"/>
      <c r="WHV140" s="235"/>
      <c r="WHW140" s="235"/>
      <c r="WHX140" s="235"/>
      <c r="WHY140" s="235"/>
      <c r="WHZ140" s="235"/>
      <c r="WIA140" s="235"/>
      <c r="WIB140" s="235"/>
      <c r="WIC140" s="235"/>
      <c r="WID140" s="235"/>
      <c r="WIE140" s="235"/>
      <c r="WIF140" s="235"/>
      <c r="WIG140" s="235"/>
      <c r="WIH140" s="235"/>
      <c r="WII140" s="235"/>
      <c r="WIJ140" s="235"/>
      <c r="WIK140" s="235"/>
      <c r="WIL140" s="235"/>
      <c r="WIM140" s="235"/>
      <c r="WIN140" s="235"/>
      <c r="WIO140" s="235"/>
      <c r="WIP140" s="235"/>
      <c r="WIQ140" s="235"/>
      <c r="WIR140" s="235"/>
      <c r="WIS140" s="235"/>
      <c r="WIT140" s="235"/>
      <c r="WIU140" s="235"/>
      <c r="WIV140" s="235"/>
      <c r="WIW140" s="235"/>
      <c r="WIX140" s="235"/>
      <c r="WIY140" s="235"/>
      <c r="WIZ140" s="235"/>
      <c r="WJA140" s="235"/>
      <c r="WJB140" s="235"/>
      <c r="WJC140" s="235"/>
      <c r="WJD140" s="235"/>
      <c r="WJE140" s="235"/>
      <c r="WJF140" s="235"/>
      <c r="WJG140" s="235"/>
      <c r="WJH140" s="235"/>
      <c r="WJI140" s="235"/>
      <c r="WJJ140" s="235"/>
      <c r="WJK140" s="235"/>
      <c r="WJL140" s="235"/>
      <c r="WJM140" s="235"/>
      <c r="WJN140" s="235"/>
      <c r="WJO140" s="235"/>
      <c r="WJP140" s="235"/>
      <c r="WJQ140" s="235"/>
      <c r="WJR140" s="235"/>
      <c r="WJS140" s="235"/>
      <c r="WJT140" s="235"/>
      <c r="WJU140" s="235"/>
      <c r="WJV140" s="235"/>
      <c r="WJW140" s="235"/>
      <c r="WJX140" s="235"/>
      <c r="WJY140" s="235"/>
      <c r="WJZ140" s="235"/>
      <c r="WKA140" s="235"/>
      <c r="WKB140" s="235"/>
      <c r="WKC140" s="235"/>
      <c r="WKD140" s="235"/>
      <c r="WKE140" s="235"/>
      <c r="WKF140" s="235"/>
      <c r="WKG140" s="235"/>
      <c r="WKH140" s="235"/>
      <c r="WKI140" s="235"/>
      <c r="WKJ140" s="235"/>
      <c r="WKK140" s="235"/>
      <c r="WKL140" s="235"/>
      <c r="WKM140" s="235"/>
      <c r="WKN140" s="235"/>
      <c r="WKO140" s="235"/>
      <c r="WKP140" s="235"/>
      <c r="WKQ140" s="235"/>
      <c r="WKR140" s="235"/>
      <c r="WKS140" s="235"/>
      <c r="WKT140" s="235"/>
      <c r="WKU140" s="235"/>
      <c r="WKV140" s="235"/>
      <c r="WKW140" s="235"/>
      <c r="WKX140" s="235"/>
      <c r="WKY140" s="235"/>
      <c r="WKZ140" s="235"/>
      <c r="WLA140" s="235"/>
      <c r="WLB140" s="235"/>
      <c r="WLC140" s="235"/>
      <c r="WLD140" s="235"/>
      <c r="WLE140" s="235"/>
      <c r="WLF140" s="235"/>
      <c r="WLG140" s="235"/>
      <c r="WLH140" s="235"/>
      <c r="WLI140" s="235"/>
      <c r="WLJ140" s="235"/>
      <c r="WLK140" s="235"/>
      <c r="WLL140" s="235"/>
      <c r="WLM140" s="235"/>
      <c r="WLN140" s="235"/>
      <c r="WLO140" s="235"/>
      <c r="WLP140" s="235"/>
      <c r="WLQ140" s="235"/>
      <c r="WLR140" s="235"/>
      <c r="WLS140" s="235"/>
      <c r="WLT140" s="235"/>
      <c r="WLU140" s="235"/>
      <c r="WLV140" s="235"/>
      <c r="WLW140" s="235"/>
      <c r="WLX140" s="235"/>
      <c r="WLY140" s="235"/>
      <c r="WLZ140" s="235"/>
      <c r="WMA140" s="235"/>
      <c r="WMB140" s="235"/>
      <c r="WMC140" s="235"/>
      <c r="WMD140" s="235"/>
      <c r="WME140" s="235"/>
      <c r="WMF140" s="235"/>
      <c r="WMG140" s="235"/>
      <c r="WMH140" s="235"/>
      <c r="WMI140" s="235"/>
      <c r="WMJ140" s="235"/>
      <c r="WMK140" s="235"/>
      <c r="WML140" s="235"/>
      <c r="WMM140" s="235"/>
      <c r="WMN140" s="235"/>
      <c r="WMO140" s="235"/>
      <c r="WMP140" s="235"/>
      <c r="WMQ140" s="235"/>
      <c r="WMR140" s="235"/>
      <c r="WMS140" s="235"/>
      <c r="WMT140" s="235"/>
      <c r="WMU140" s="235"/>
      <c r="WMV140" s="235"/>
      <c r="WMW140" s="235"/>
      <c r="WMX140" s="235"/>
      <c r="WMY140" s="235"/>
      <c r="WMZ140" s="235"/>
      <c r="WNA140" s="235"/>
      <c r="WNB140" s="235"/>
      <c r="WNC140" s="235"/>
      <c r="WND140" s="235"/>
      <c r="WNE140" s="235"/>
      <c r="WNF140" s="235"/>
      <c r="WNG140" s="235"/>
      <c r="WNH140" s="235"/>
      <c r="WNI140" s="235"/>
      <c r="WNJ140" s="235"/>
      <c r="WNK140" s="235"/>
      <c r="WNL140" s="235"/>
      <c r="WNM140" s="235"/>
      <c r="WNN140" s="235"/>
      <c r="WNO140" s="235"/>
      <c r="WNP140" s="235"/>
      <c r="WNQ140" s="235"/>
      <c r="WNR140" s="235"/>
      <c r="WNS140" s="235"/>
      <c r="WNT140" s="235"/>
      <c r="WNU140" s="235"/>
      <c r="WNV140" s="235"/>
      <c r="WNW140" s="235"/>
      <c r="WNX140" s="235"/>
      <c r="WNY140" s="235"/>
      <c r="WNZ140" s="235"/>
      <c r="WOA140" s="235"/>
      <c r="WOB140" s="235"/>
      <c r="WOC140" s="235"/>
      <c r="WOD140" s="235"/>
      <c r="WOE140" s="235"/>
      <c r="WOF140" s="235"/>
      <c r="WOG140" s="235"/>
      <c r="WOH140" s="235"/>
      <c r="WOI140" s="235"/>
      <c r="WOJ140" s="235"/>
      <c r="WOK140" s="235"/>
      <c r="WOL140" s="235"/>
      <c r="WOM140" s="235"/>
      <c r="WON140" s="235"/>
      <c r="WOO140" s="235"/>
      <c r="WOP140" s="235"/>
      <c r="WOQ140" s="235"/>
      <c r="WOR140" s="235"/>
      <c r="WOS140" s="235"/>
      <c r="WOT140" s="235"/>
      <c r="WOU140" s="235"/>
      <c r="WOV140" s="235"/>
      <c r="WOW140" s="235"/>
      <c r="WOX140" s="235"/>
      <c r="WOY140" s="235"/>
      <c r="WOZ140" s="235"/>
      <c r="WPA140" s="235"/>
      <c r="WPB140" s="235"/>
      <c r="WPC140" s="235"/>
      <c r="WPD140" s="235"/>
      <c r="WPE140" s="235"/>
      <c r="WPF140" s="235"/>
      <c r="WPG140" s="235"/>
      <c r="WPH140" s="235"/>
      <c r="WPI140" s="235"/>
      <c r="WPJ140" s="235"/>
      <c r="WPK140" s="235"/>
      <c r="WPL140" s="235"/>
      <c r="WPM140" s="235"/>
      <c r="WPN140" s="235"/>
      <c r="WPO140" s="235"/>
      <c r="WPP140" s="235"/>
      <c r="WPQ140" s="235"/>
      <c r="WPR140" s="235"/>
      <c r="WPS140" s="235"/>
      <c r="WPT140" s="235"/>
      <c r="WPU140" s="235"/>
      <c r="WPV140" s="235"/>
      <c r="WPW140" s="235"/>
      <c r="WPX140" s="235"/>
      <c r="WPY140" s="235"/>
      <c r="WPZ140" s="235"/>
      <c r="WQA140" s="235"/>
      <c r="WQB140" s="235"/>
      <c r="WQC140" s="235"/>
      <c r="WQD140" s="235"/>
      <c r="WQE140" s="235"/>
      <c r="WQF140" s="235"/>
      <c r="WQG140" s="235"/>
      <c r="WQH140" s="235"/>
      <c r="WQI140" s="235"/>
      <c r="WQJ140" s="235"/>
      <c r="WQK140" s="235"/>
      <c r="WQL140" s="235"/>
      <c r="WQM140" s="235"/>
      <c r="WQN140" s="235"/>
      <c r="WQO140" s="235"/>
      <c r="WQP140" s="235"/>
      <c r="WQQ140" s="235"/>
      <c r="WQR140" s="235"/>
      <c r="WQS140" s="235"/>
      <c r="WQT140" s="235"/>
      <c r="WQU140" s="235"/>
      <c r="WQV140" s="235"/>
      <c r="WQW140" s="235"/>
      <c r="WQX140" s="235"/>
      <c r="WQY140" s="235"/>
      <c r="WQZ140" s="235"/>
      <c r="WRA140" s="235"/>
      <c r="WRB140" s="235"/>
      <c r="WRC140" s="235"/>
      <c r="WRD140" s="235"/>
      <c r="WRE140" s="235"/>
      <c r="WRF140" s="235"/>
      <c r="WRG140" s="235"/>
      <c r="WRH140" s="235"/>
      <c r="WRI140" s="235"/>
      <c r="WRJ140" s="235"/>
      <c r="WRK140" s="235"/>
      <c r="WRL140" s="235"/>
      <c r="WRM140" s="235"/>
      <c r="WRN140" s="235"/>
      <c r="WRO140" s="235"/>
      <c r="WRP140" s="235"/>
      <c r="WRQ140" s="235"/>
      <c r="WRR140" s="235"/>
      <c r="WRS140" s="235"/>
      <c r="WRT140" s="235"/>
      <c r="WRU140" s="235"/>
      <c r="WRV140" s="235"/>
      <c r="WRW140" s="235"/>
      <c r="WRX140" s="235"/>
      <c r="WRY140" s="235"/>
      <c r="WRZ140" s="235"/>
      <c r="WSA140" s="235"/>
      <c r="WSB140" s="235"/>
      <c r="WSC140" s="235"/>
      <c r="WSD140" s="235"/>
      <c r="WSE140" s="235"/>
      <c r="WSF140" s="235"/>
      <c r="WSG140" s="235"/>
      <c r="WSH140" s="235"/>
      <c r="WSI140" s="235"/>
      <c r="WSJ140" s="235"/>
      <c r="WSK140" s="235"/>
      <c r="WSL140" s="235"/>
      <c r="WSM140" s="235"/>
      <c r="WSN140" s="235"/>
      <c r="WSO140" s="235"/>
      <c r="WSP140" s="235"/>
      <c r="WSQ140" s="235"/>
      <c r="WSR140" s="235"/>
      <c r="WSS140" s="235"/>
      <c r="WST140" s="235"/>
      <c r="WSU140" s="235"/>
      <c r="WSV140" s="235"/>
      <c r="WSW140" s="235"/>
      <c r="WSX140" s="235"/>
      <c r="WSY140" s="235"/>
      <c r="WSZ140" s="235"/>
      <c r="WTA140" s="235"/>
      <c r="WTB140" s="235"/>
      <c r="WTC140" s="235"/>
      <c r="WTD140" s="235"/>
      <c r="WTE140" s="235"/>
      <c r="WTF140" s="235"/>
      <c r="WTG140" s="235"/>
      <c r="WTH140" s="235"/>
      <c r="WTI140" s="235"/>
      <c r="WTJ140" s="235"/>
      <c r="WTK140" s="235"/>
      <c r="WTL140" s="235"/>
      <c r="WTM140" s="235"/>
      <c r="WTN140" s="235"/>
      <c r="WTO140" s="235"/>
      <c r="WTP140" s="235"/>
      <c r="WTQ140" s="235"/>
      <c r="WTR140" s="235"/>
      <c r="WTS140" s="235"/>
      <c r="WTT140" s="235"/>
      <c r="WTU140" s="235"/>
      <c r="WTV140" s="235"/>
      <c r="WTW140" s="235"/>
      <c r="WTX140" s="235"/>
      <c r="WTY140" s="235"/>
      <c r="WTZ140" s="235"/>
      <c r="WUA140" s="235"/>
      <c r="WUB140" s="235"/>
      <c r="WUC140" s="235"/>
      <c r="WUD140" s="235"/>
      <c r="WUE140" s="235"/>
      <c r="WUF140" s="235"/>
      <c r="WUG140" s="235"/>
      <c r="WUH140" s="235"/>
      <c r="WUI140" s="235"/>
      <c r="WUJ140" s="235"/>
      <c r="WUK140" s="235"/>
      <c r="WUL140" s="235"/>
      <c r="WUM140" s="235"/>
      <c r="WUN140" s="235"/>
      <c r="WUO140" s="235"/>
      <c r="WUP140" s="235"/>
      <c r="WUQ140" s="235"/>
      <c r="WUR140" s="235"/>
      <c r="WUS140" s="235"/>
      <c r="WUT140" s="235"/>
      <c r="WUU140" s="235"/>
      <c r="WUV140" s="235"/>
      <c r="WUW140" s="235"/>
      <c r="WUX140" s="235"/>
      <c r="WUY140" s="235"/>
      <c r="WUZ140" s="235"/>
      <c r="WVA140" s="235"/>
      <c r="WVB140" s="235"/>
      <c r="WVC140" s="235"/>
      <c r="WVD140" s="235"/>
      <c r="WVE140" s="235"/>
      <c r="WVF140" s="235"/>
      <c r="WVG140" s="235"/>
      <c r="WVH140" s="235"/>
      <c r="WVI140" s="235"/>
      <c r="WVJ140" s="235"/>
      <c r="WVK140" s="235"/>
      <c r="WVL140" s="235"/>
      <c r="WVM140" s="235"/>
      <c r="WVN140" s="235"/>
      <c r="WVO140" s="235"/>
      <c r="WVP140" s="235"/>
      <c r="WVQ140" s="235"/>
      <c r="WVR140" s="235"/>
      <c r="WVS140" s="235"/>
      <c r="WVT140" s="235"/>
      <c r="WVU140" s="235"/>
      <c r="WVV140" s="235"/>
      <c r="WVW140" s="235"/>
      <c r="WVX140" s="235"/>
      <c r="WVY140" s="235"/>
      <c r="WVZ140" s="235"/>
      <c r="WWA140" s="235"/>
      <c r="WWB140" s="235"/>
      <c r="WWC140" s="235"/>
      <c r="WWD140" s="235"/>
      <c r="WWE140" s="235"/>
      <c r="WWF140" s="235"/>
      <c r="WWG140" s="235"/>
      <c r="WWH140" s="235"/>
      <c r="WWI140" s="235"/>
      <c r="WWJ140" s="235"/>
      <c r="WWK140" s="235"/>
      <c r="WWL140" s="235"/>
      <c r="WWM140" s="235"/>
      <c r="WWN140" s="235"/>
      <c r="WWO140" s="235"/>
      <c r="WWP140" s="235"/>
      <c r="WWQ140" s="235"/>
      <c r="WWR140" s="235"/>
      <c r="WWS140" s="235"/>
      <c r="WWT140" s="235"/>
      <c r="WWU140" s="235"/>
      <c r="WWV140" s="235"/>
      <c r="WWW140" s="235"/>
      <c r="WWX140" s="235"/>
      <c r="WWY140" s="235"/>
      <c r="WWZ140" s="235"/>
      <c r="WXA140" s="235"/>
      <c r="WXB140" s="235"/>
      <c r="WXC140" s="235"/>
      <c r="WXD140" s="235"/>
      <c r="WXE140" s="235"/>
      <c r="WXF140" s="235"/>
      <c r="WXG140" s="235"/>
      <c r="WXH140" s="235"/>
      <c r="WXI140" s="235"/>
      <c r="WXJ140" s="235"/>
      <c r="WXK140" s="235"/>
      <c r="WXL140" s="235"/>
      <c r="WXM140" s="235"/>
      <c r="WXN140" s="235"/>
      <c r="WXO140" s="235"/>
      <c r="WXP140" s="235"/>
      <c r="WXQ140" s="235"/>
      <c r="WXR140" s="235"/>
      <c r="WXS140" s="235"/>
      <c r="WXT140" s="235"/>
      <c r="WXU140" s="235"/>
      <c r="WXV140" s="235"/>
      <c r="WXW140" s="235"/>
      <c r="WXX140" s="235"/>
      <c r="WXY140" s="235"/>
      <c r="WXZ140" s="235"/>
      <c r="WYA140" s="235"/>
      <c r="WYB140" s="235"/>
      <c r="WYC140" s="235"/>
      <c r="WYD140" s="235"/>
      <c r="WYE140" s="235"/>
      <c r="WYF140" s="235"/>
      <c r="WYG140" s="235"/>
      <c r="WYH140" s="235"/>
      <c r="WYI140" s="235"/>
      <c r="WYJ140" s="235"/>
      <c r="WYK140" s="235"/>
      <c r="WYL140" s="235"/>
      <c r="WYM140" s="235"/>
      <c r="WYN140" s="235"/>
      <c r="WYO140" s="235"/>
      <c r="WYP140" s="235"/>
      <c r="WYQ140" s="235"/>
      <c r="WYR140" s="235"/>
      <c r="WYS140" s="235"/>
      <c r="WYT140" s="235"/>
      <c r="WYU140" s="235"/>
      <c r="WYV140" s="235"/>
      <c r="WYW140" s="235"/>
      <c r="WYX140" s="235"/>
      <c r="WYY140" s="235"/>
      <c r="WYZ140" s="235"/>
      <c r="WZA140" s="235"/>
      <c r="WZB140" s="235"/>
      <c r="WZC140" s="235"/>
      <c r="WZD140" s="235"/>
      <c r="WZE140" s="235"/>
      <c r="WZF140" s="235"/>
      <c r="WZG140" s="235"/>
      <c r="WZH140" s="235"/>
      <c r="WZI140" s="235"/>
      <c r="WZJ140" s="235"/>
      <c r="WZK140" s="235"/>
      <c r="WZL140" s="235"/>
      <c r="WZM140" s="235"/>
      <c r="WZN140" s="235"/>
      <c r="WZO140" s="235"/>
      <c r="WZP140" s="235"/>
      <c r="WZQ140" s="235"/>
      <c r="WZR140" s="235"/>
      <c r="WZS140" s="235"/>
      <c r="WZT140" s="235"/>
      <c r="WZU140" s="235"/>
      <c r="WZV140" s="235"/>
      <c r="WZW140" s="235"/>
      <c r="WZX140" s="235"/>
      <c r="WZY140" s="235"/>
      <c r="WZZ140" s="235"/>
      <c r="XAA140" s="235"/>
      <c r="XAB140" s="235"/>
      <c r="XAC140" s="235"/>
      <c r="XAD140" s="235"/>
      <c r="XAE140" s="235"/>
      <c r="XAF140" s="235"/>
      <c r="XAG140" s="235"/>
      <c r="XAH140" s="235"/>
      <c r="XAI140" s="235"/>
      <c r="XAJ140" s="235"/>
      <c r="XAK140" s="235"/>
      <c r="XAL140" s="235"/>
      <c r="XAM140" s="235"/>
      <c r="XAN140" s="235"/>
      <c r="XAO140" s="235"/>
      <c r="XAP140" s="235"/>
      <c r="XAQ140" s="235"/>
      <c r="XAR140" s="235"/>
      <c r="XAS140" s="235"/>
      <c r="XAT140" s="235"/>
      <c r="XAU140" s="235"/>
      <c r="XAV140" s="235"/>
      <c r="XAW140" s="235"/>
      <c r="XAX140" s="235"/>
      <c r="XAY140" s="235"/>
      <c r="XAZ140" s="235"/>
      <c r="XBA140" s="235"/>
      <c r="XBB140" s="235"/>
      <c r="XBC140" s="235"/>
      <c r="XBD140" s="235"/>
      <c r="XBE140" s="235"/>
      <c r="XBF140" s="235"/>
      <c r="XBG140" s="235"/>
      <c r="XBH140" s="235"/>
      <c r="XBI140" s="235"/>
      <c r="XBJ140" s="235"/>
      <c r="XBK140" s="235"/>
      <c r="XBL140" s="235"/>
      <c r="XBM140" s="235"/>
      <c r="XBN140" s="235"/>
      <c r="XBO140" s="235"/>
      <c r="XBP140" s="235"/>
      <c r="XBQ140" s="235"/>
      <c r="XBR140" s="235"/>
      <c r="XBS140" s="235"/>
      <c r="XBT140" s="235"/>
      <c r="XBU140" s="235"/>
      <c r="XBV140" s="235"/>
      <c r="XBW140" s="235"/>
      <c r="XBX140" s="235"/>
      <c r="XBY140" s="235"/>
      <c r="XBZ140" s="235"/>
      <c r="XCA140" s="235"/>
      <c r="XCB140" s="235"/>
      <c r="XCC140" s="235"/>
      <c r="XCD140" s="235"/>
      <c r="XCE140" s="235"/>
      <c r="XCF140" s="235"/>
      <c r="XCG140" s="235"/>
      <c r="XCH140" s="235"/>
      <c r="XCI140" s="235"/>
      <c r="XCJ140" s="235"/>
      <c r="XCK140" s="235"/>
      <c r="XCL140" s="235"/>
      <c r="XCM140" s="235"/>
      <c r="XCN140" s="235"/>
      <c r="XCO140" s="235"/>
      <c r="XCP140" s="235"/>
      <c r="XCQ140" s="235"/>
      <c r="XCR140" s="235"/>
      <c r="XCS140" s="235"/>
      <c r="XCT140" s="235"/>
      <c r="XCU140" s="235"/>
      <c r="XCV140" s="235"/>
      <c r="XCW140" s="235"/>
      <c r="XCX140" s="235"/>
      <c r="XCY140" s="235"/>
      <c r="XCZ140" s="235"/>
      <c r="XDA140" s="235"/>
      <c r="XDB140" s="235"/>
      <c r="XDC140" s="235"/>
      <c r="XDD140" s="235"/>
      <c r="XDE140" s="235"/>
      <c r="XDF140" s="235"/>
      <c r="XDG140" s="235"/>
      <c r="XDH140" s="235"/>
      <c r="XDI140" s="235"/>
      <c r="XDJ140" s="235"/>
      <c r="XDK140" s="235"/>
      <c r="XDL140" s="235"/>
      <c r="XDM140" s="235"/>
      <c r="XDN140" s="235"/>
      <c r="XDO140" s="235"/>
      <c r="XDP140" s="235"/>
      <c r="XDQ140" s="235"/>
      <c r="XDR140" s="235"/>
      <c r="XDS140" s="235"/>
      <c r="XDT140" s="235"/>
      <c r="XDU140" s="235"/>
      <c r="XDV140" s="235"/>
      <c r="XDW140" s="235"/>
      <c r="XDX140" s="235"/>
      <c r="XDY140" s="235"/>
      <c r="XDZ140" s="235"/>
      <c r="XEA140" s="235"/>
      <c r="XEB140" s="235"/>
      <c r="XEC140" s="235"/>
      <c r="XED140" s="235"/>
      <c r="XEE140" s="235"/>
      <c r="XEF140" s="235"/>
      <c r="XEG140" s="235"/>
      <c r="XEH140" s="235"/>
      <c r="XEI140" s="235"/>
      <c r="XEJ140" s="235"/>
      <c r="XEK140" s="235"/>
      <c r="XEL140" s="235"/>
      <c r="XEM140" s="235"/>
      <c r="XEN140" s="235"/>
      <c r="XEO140" s="235"/>
      <c r="XEP140" s="235"/>
      <c r="XEQ140" s="235"/>
      <c r="XER140" s="235"/>
      <c r="XES140" s="235"/>
      <c r="XET140" s="235"/>
      <c r="XEU140" s="235"/>
      <c r="XEV140" s="235"/>
      <c r="XEW140" s="235"/>
      <c r="XEX140" s="235"/>
      <c r="XEY140" s="235"/>
      <c r="XEZ140" s="235"/>
      <c r="XFA140" s="235"/>
      <c r="XFB140" s="235"/>
    </row>
    <row r="141" spans="1:16382" s="235" customFormat="1" ht="13.5">
      <c r="A141" s="269">
        <v>6.2</v>
      </c>
      <c r="B141" s="241" t="s">
        <v>146</v>
      </c>
      <c r="C141" s="228" t="s">
        <v>111</v>
      </c>
      <c r="D141" s="244" t="str">
        <f>IF(OR(j_WEEKDAY(J_ADDDAY(VLOOKUP(I141,A:F,6,FALSE),H141,1),0)=6,SUMIFS(Holieday[ok],Holieday[date],J_ADDDAY(VLOOKUP(I141,A:F,6,FALSE),H141,1)))=FALSE(),J_ADDDAY(VLOOKUP(I141,A:F,6,FALSE),H141,1),IF(OR(j_WEEKDAY(J_ADDDAY(VLOOKUP(I141,A:F,6,FALSE),H141+1,1),0)=6,SUMIFS(Holieday[ok],Holieday[date],J_ADDDAY(VLOOKUP(I141,A:F,6,FALSE),H141+1,1)))=FALSE(),J_ADDDAY(VLOOKUP(I141,A:F,6,FALSE),H141+1,1),IF(OR(j_WEEKDAY(J_ADDDAY(VLOOKUP(I141,A:F,6,FALSE),H141+2,1),0)=6,SUMIFS(Holieday[ok],Holieday[date],J_ADDDAY(VLOOKUP(I141,A:F,6,FALSE),H141+2,1)))=FALSE(),J_ADDDAY(VLOOKUP(I141,A:F,6,FALSE),H141+2,1),IF(OR(j_WEEKDAY(J_ADDDAY(VLOOKUP(I141,A:F,6,FALSE),H141+3,1),0)=6,SUMIFS(Holieday[ok],Holieday[date],J_ADDDAY(VLOOKUP(I141,A:F,6,FALSE),H141+3,1)))=FALSE(),J_ADDDAY(VLOOKUP(I141,A:F,6,FALSE),H141+3,1),IF(OR(j_WEEKDAY(J_ADDDAY(VLOOKUP(I141,A:F,6,FALSE),H141+4,1),0)=6,SUMIFS(Holieday[ok],Holieday[date],J_ADDDAY(VLOOKUP(I141,A:F,6,FALSE),H141+4,1)))=FALSE(),J_ADDDAY(VLOOKUP(I141,A:F,6,FALSE),H141+4,1),J_ADDDAY(VLOOKUP(I141,A:F,6,FALSE),H141+5,1))))))</f>
        <v>1398/07/13</v>
      </c>
      <c r="E141" s="160">
        <f t="shared" si="42"/>
        <v>13980713</v>
      </c>
      <c r="F141" s="244" t="str">
        <f>IF(N141=0,J_SUBDAY(D141,1,1),IF((N141-NETWORKDAYS.INTL(J_GregorianDate(D141,1),J_GregorianDate(J_SUBDAY(J_ADDDAY(D141,N141,1),1,1),1),16,1)-SUMIFS(Holieday[ok],Holieday[date],CONCATENATE("&gt;","=",D141),Holieday[date],CONCATENATE("&lt;","=",J_SUBDAY(J_ADDDAY(D141,N141,1),1,1)))+SUMIFS(Holieday[Friday],Holieday[date],CONCATENATE("&gt;","=",D141),Holieday[date],CONCATENATE("&lt;","=",J_SUBDAY(J_ADDDAY(D141,N141,1),1,1))))=0,J_SUBDAY(J_ADDDAY(D141,N141,1),1,1),IF((N141-NETWORKDAYS.INTL(J_GregorianDate(D141,1),J_GregorianDate(J_SUBDAY(J_ADDDAY(D141,N141,1),1,1),1),16,1)-SUMIFS(Holieday[ok],Holieday[date],CONCATENATE("&gt;","=",D141),Holieday[date],CONCATENATE("&lt;","=",J_SUBDAY(J_ADDDAY(D141,N141,1),1,1)))+SUMIFS(Holieday[Friday],Holieday[date],CONCATENATE("&gt;","=",D141),Holieday[date],CONCATENATE("&lt;","=",J_SUBDAY(J_ADDDAY(D141,N141,1),1,1))))=1,J_SUBDAY(J_ADDDAY(D141,N141+1,1),1,1),IF((N141-NETWORKDAYS.INTL(J_GregorianDate(D141,1),J_GregorianDate(J_SUBDAY(J_ADDDAY(D141,N141,1),1,1),1),16,1)-SUMIFS(Holieday[ok],Holieday[date],CONCATENATE("&gt;","=",D141),Holieday[date],CONCATENATE("&lt;","=",J_SUBDAY(J_ADDDAY(D141,N141,1),1,1)))+SUMIFS(Holieday[Friday],Holieday[date],CONCATENATE("&gt;","=",D141),Holieday[date],CONCATENATE("&lt;","=",J_SUBDAY(J_ADDDAY(D141,N141,1),1,1))))=2,J_SUBDAY(J_ADDDAY(D141,N141+2,1),1,1),J_SUBDAY(J_ADDDAY(D141,N141+3,1),1,1)))))</f>
        <v>1398/07/21</v>
      </c>
      <c r="G141" s="163">
        <f t="shared" si="43"/>
        <v>13980721</v>
      </c>
      <c r="H141" s="230">
        <v>1</v>
      </c>
      <c r="I141" s="231">
        <v>6.1</v>
      </c>
      <c r="J141" s="229">
        <f>j_WEEKDAY(D141,2)</f>
        <v>0</v>
      </c>
      <c r="K141" s="173">
        <f t="shared" si="46"/>
        <v>0</v>
      </c>
      <c r="L141" s="270">
        <f t="shared" si="47"/>
        <v>9</v>
      </c>
      <c r="M141" s="271">
        <v>0</v>
      </c>
      <c r="N141" s="234">
        <v>8</v>
      </c>
      <c r="O141" s="175">
        <f t="shared" ref="O141:O160" si="48">ROUNDDOWN(M141*L141,0)</f>
        <v>0</v>
      </c>
      <c r="P141" s="175">
        <f>VALUE(J_normdate(J_ADDDAY($D141,$O141,1)))</f>
        <v>13980713</v>
      </c>
      <c r="Q141" s="171">
        <f t="shared" ref="Q141:Q160" si="49">L141-O141</f>
        <v>9</v>
      </c>
      <c r="IY141" s="247">
        <v>2</v>
      </c>
      <c r="IZ141" s="247">
        <f>(TEXT(K141,"[m]")/60)*VLOOKUP(IY141,'Income Person-hours'!A$2:C$5,3,FALSE)</f>
        <v>0</v>
      </c>
      <c r="JA141" s="228"/>
      <c r="JB141" s="277"/>
      <c r="JC141" s="274"/>
      <c r="JD141" s="275">
        <f>SUM((TEXT(JA141,"[M]")/60)*'Income Person-hours'!$D$3,(TEXT(JB141,"[M]")/60)*'Income Person-hours'!$D$4,(TEXT(JC141,"[M]")/60)*'Income Person-hours'!$D$5)</f>
        <v>0</v>
      </c>
    </row>
    <row r="142" spans="1:16382" s="235" customFormat="1" ht="13.5">
      <c r="A142" s="269">
        <v>6.3</v>
      </c>
      <c r="B142" s="241" t="s">
        <v>118</v>
      </c>
      <c r="C142" s="228" t="s">
        <v>111</v>
      </c>
      <c r="D142" s="244" t="str">
        <f>IF(OR(j_WEEKDAY(J_ADDDAY(VLOOKUP(I142,A:F,6,FALSE),H142,1),0)=6,SUMIFS(Holieday[ok],Holieday[date],J_ADDDAY(VLOOKUP(I142,A:F,6,FALSE),H142,1)))=FALSE(),J_ADDDAY(VLOOKUP(I142,A:F,6,FALSE),H142,1),IF(OR(j_WEEKDAY(J_ADDDAY(VLOOKUP(I142,A:F,6,FALSE),H142+1,1),0)=6,SUMIFS(Holieday[ok],Holieday[date],J_ADDDAY(VLOOKUP(I142,A:F,6,FALSE),H142+1,1)))=FALSE(),J_ADDDAY(VLOOKUP(I142,A:F,6,FALSE),H142+1,1),IF(OR(j_WEEKDAY(J_ADDDAY(VLOOKUP(I142,A:F,6,FALSE),H142+2,1),0)=6,SUMIFS(Holieday[ok],Holieday[date],J_ADDDAY(VLOOKUP(I142,A:F,6,FALSE),H142+2,1)))=FALSE(),J_ADDDAY(VLOOKUP(I142,A:F,6,FALSE),H142+2,1),IF(OR(j_WEEKDAY(J_ADDDAY(VLOOKUP(I142,A:F,6,FALSE),H142+3,1),0)=6,SUMIFS(Holieday[ok],Holieday[date],J_ADDDAY(VLOOKUP(I142,A:F,6,FALSE),H142+3,1)))=FALSE(),J_ADDDAY(VLOOKUP(I142,A:F,6,FALSE),H142+3,1),IF(OR(j_WEEKDAY(J_ADDDAY(VLOOKUP(I142,A:F,6,FALSE),H142+4,1),0)=6,SUMIFS(Holieday[ok],Holieday[date],J_ADDDAY(VLOOKUP(I142,A:F,6,FALSE),H142+4,1)))=FALSE(),J_ADDDAY(VLOOKUP(I142,A:F,6,FALSE),H142+4,1),J_ADDDAY(VLOOKUP(I142,A:F,6,FALSE),H142+5,1))))))</f>
        <v>1398/07/22</v>
      </c>
      <c r="E142" s="160">
        <f t="shared" si="42"/>
        <v>13980722</v>
      </c>
      <c r="F142" s="244" t="str">
        <f>IF(N142=0,J_SUBDAY(D142,1,1),IF((N142-NETWORKDAYS.INTL(J_GregorianDate(D142,1),J_GregorianDate(J_SUBDAY(J_ADDDAY(D142,N142,1),1,1),1),16,1)-SUMIFS(Holieday[ok],Holieday[date],CONCATENATE("&gt;","=",D142),Holieday[date],CONCATENATE("&lt;","=",J_SUBDAY(J_ADDDAY(D142,N142,1),1,1)))+SUMIFS(Holieday[Friday],Holieday[date],CONCATENATE("&gt;","=",D142),Holieday[date],CONCATENATE("&lt;","=",J_SUBDAY(J_ADDDAY(D142,N142,1),1,1))))=0,J_SUBDAY(J_ADDDAY(D142,N142,1),1,1),IF((N142-NETWORKDAYS.INTL(J_GregorianDate(D142,1),J_GregorianDate(J_SUBDAY(J_ADDDAY(D142,N142,1),1,1),1),16,1)-SUMIFS(Holieday[ok],Holieday[date],CONCATENATE("&gt;","=",D142),Holieday[date],CONCATENATE("&lt;","=",J_SUBDAY(J_ADDDAY(D142,N142,1),1,1)))+SUMIFS(Holieday[Friday],Holieday[date],CONCATENATE("&gt;","=",D142),Holieday[date],CONCATENATE("&lt;","=",J_SUBDAY(J_ADDDAY(D142,N142,1),1,1))))=1,J_SUBDAY(J_ADDDAY(D142,N142+1,1),1,1),IF((N142-NETWORKDAYS.INTL(J_GregorianDate(D142,1),J_GregorianDate(J_SUBDAY(J_ADDDAY(D142,N142,1),1,1),1),16,1)-SUMIFS(Holieday[ok],Holieday[date],CONCATENATE("&gt;","=",D142),Holieday[date],CONCATENATE("&lt;","=",J_SUBDAY(J_ADDDAY(D142,N142,1),1,1)))+SUMIFS(Holieday[Friday],Holieday[date],CONCATENATE("&gt;","=",D142),Holieday[date],CONCATENATE("&lt;","=",J_SUBDAY(J_ADDDAY(D142,N142,1),1,1))))=2,J_SUBDAY(J_ADDDAY(D142,N142+2,1),1,1),J_SUBDAY(J_ADDDAY(D142,N142+3,1),1,1)))))</f>
        <v>1398/07/29</v>
      </c>
      <c r="G142" s="163">
        <f t="shared" si="43"/>
        <v>13980729</v>
      </c>
      <c r="H142" s="230">
        <v>1</v>
      </c>
      <c r="I142" s="231">
        <v>6.2</v>
      </c>
      <c r="J142" s="229">
        <f>j_WEEKDAY(D142,2)</f>
        <v>2</v>
      </c>
      <c r="K142" s="173">
        <f t="shared" si="46"/>
        <v>0</v>
      </c>
      <c r="L142" s="270">
        <f t="shared" si="47"/>
        <v>8</v>
      </c>
      <c r="M142" s="271">
        <v>0</v>
      </c>
      <c r="N142" s="234">
        <v>8</v>
      </c>
      <c r="O142" s="175">
        <f t="shared" si="48"/>
        <v>0</v>
      </c>
      <c r="P142" s="175">
        <f>VALUE(J_normdate(J_ADDDAY($D142,$O142,1)))</f>
        <v>13980722</v>
      </c>
      <c r="Q142" s="171">
        <f t="shared" si="49"/>
        <v>8</v>
      </c>
      <c r="IY142" s="247">
        <v>3</v>
      </c>
      <c r="IZ142" s="247">
        <f>(TEXT(K142,"[m]")/60)*VLOOKUP(IY142,'Income Person-hours'!A$2:C$5,3,FALSE)</f>
        <v>0</v>
      </c>
      <c r="JA142" s="228"/>
      <c r="JB142" s="277"/>
      <c r="JC142" s="228"/>
      <c r="JD142" s="275">
        <f>SUM((TEXT(JA142,"[M]")/60)*'Income Person-hours'!$D$3,(TEXT(JB142,"[M]")/60)*'Income Person-hours'!$D$4,(TEXT(JC142,"[M]")/60)*'Income Person-hours'!$D$5)</f>
        <v>0</v>
      </c>
    </row>
    <row r="143" spans="1:16382" s="169" customFormat="1" ht="11.25" hidden="1">
      <c r="A143" s="209">
        <v>6.4</v>
      </c>
      <c r="B143" s="208"/>
      <c r="C143" s="107"/>
      <c r="D143" s="172" t="str">
        <f>IF(OR(j_WEEKDAY(J_ADDDAY(VLOOKUP(I143,A:F,6,FALSE),H143,1),0)=6,SUMIFS(Holieday[ok],Holieday[date],J_ADDDAY(VLOOKUP(I143,A:F,6,FALSE),H143,1)))=FALSE(),J_ADDDAY(VLOOKUP(I143,A:F,6,FALSE),H143,1),IF(OR(j_WEEKDAY(J_ADDDAY(VLOOKUP(I143,A:F,6,FALSE),H143+1,1),0)=6,SUMIFS(Holieday[ok],Holieday[date],J_ADDDAY(VLOOKUP(I143,A:F,6,FALSE),H143+1,1)))=FALSE(),J_ADDDAY(VLOOKUP(I143,A:F,6,FALSE),H143+1,1),IF(OR(j_WEEKDAY(J_ADDDAY(VLOOKUP(I143,A:F,6,FALSE),H143+2,1),0)=6,SUMIFS(Holieday[ok],Holieday[date],J_ADDDAY(VLOOKUP(I143,A:F,6,FALSE),H143+2,1)))=FALSE(),J_ADDDAY(VLOOKUP(I143,A:F,6,FALSE),H143+2,1),IF(OR(j_WEEKDAY(J_ADDDAY(VLOOKUP(I143,A:F,6,FALSE),H143+3,1),0)=6,SUMIFS(Holieday[ok],Holieday[date],J_ADDDAY(VLOOKUP(I143,A:F,6,FALSE),H143+3,1)))=FALSE(),J_ADDDAY(VLOOKUP(I143,A:F,6,FALSE),H143+3,1),IF(OR(j_WEEKDAY(J_ADDDAY(VLOOKUP(I143,A:F,6,FALSE),H143+4,1),0)=6,SUMIFS(Holieday[ok],Holieday[date],J_ADDDAY(VLOOKUP(I143,A:F,6,FALSE),H143+4,1)))=FALSE(),J_ADDDAY(VLOOKUP(I143,A:F,6,FALSE),H143+4,1),J_ADDDAY(VLOOKUP(I143,A:F,6,FALSE),H143+5,1))))))</f>
        <v>1398/07/22</v>
      </c>
      <c r="E143" s="160">
        <f t="shared" si="42"/>
        <v>13980722</v>
      </c>
      <c r="F143" s="172" t="str">
        <f>IF(N143=0,J_SUBDAY(D143,1,1),IF((N143-NETWORKDAYS.INTL(J_GregorianDate(D143,1),J_GregorianDate(J_SUBDAY(J_ADDDAY(D143,N143,1),1,1),1),16,1)-SUMIFS(Holieday[ok],Holieday[date],CONCATENATE("&gt;","=",D143),Holieday[date],CONCATENATE("&lt;","=",J_SUBDAY(J_ADDDAY(D143,N143,1),1,1)))+SUMIFS(Holieday[Friday],Holieday[date],CONCATENATE("&gt;","=",D143),Holieday[date],CONCATENATE("&lt;","=",J_SUBDAY(J_ADDDAY(D143,N143,1),1,1))))=0,J_SUBDAY(J_ADDDAY(D143,N143,1),1,1),IF((N143-NETWORKDAYS.INTL(J_GregorianDate(D143,1),J_GregorianDate(J_SUBDAY(J_ADDDAY(D143,N143,1),1,1),1),16,1)-SUMIFS(Holieday[ok],Holieday[date],CONCATENATE("&gt;","=",D143),Holieday[date],CONCATENATE("&lt;","=",J_SUBDAY(J_ADDDAY(D143,N143,1),1,1)))+SUMIFS(Holieday[Friday],Holieday[date],CONCATENATE("&gt;","=",D143),Holieday[date],CONCATENATE("&lt;","=",J_SUBDAY(J_ADDDAY(D143,N143,1),1,1))))=1,J_SUBDAY(J_ADDDAY(D143,N143+1,1),1,1),IF((N143-NETWORKDAYS.INTL(J_GregorianDate(D143,1),J_GregorianDate(J_SUBDAY(J_ADDDAY(D143,N143,1),1,1),1),16,1)-SUMIFS(Holieday[ok],Holieday[date],CONCATENATE("&gt;","=",D143),Holieday[date],CONCATENATE("&lt;","=",J_SUBDAY(J_ADDDAY(D143,N143,1),1,1)))+SUMIFS(Holieday[Friday],Holieday[date],CONCATENATE("&gt;","=",D143),Holieday[date],CONCATENATE("&lt;","=",J_SUBDAY(J_ADDDAY(D143,N143,1),1,1))))=2,J_SUBDAY(J_ADDDAY(D143,N143+2,1),1,1),J_SUBDAY(J_ADDDAY(D143,N143+3,1),1,1)))))</f>
        <v>1398/07/21</v>
      </c>
      <c r="G143" s="163">
        <f t="shared" si="43"/>
        <v>13980721</v>
      </c>
      <c r="H143" s="109">
        <v>1</v>
      </c>
      <c r="I143" s="110">
        <v>6.2</v>
      </c>
      <c r="J143" s="171">
        <f>j_WEEKDAY(D143,2)</f>
        <v>2</v>
      </c>
      <c r="K143" s="173">
        <f t="shared" si="46"/>
        <v>0</v>
      </c>
      <c r="L143" s="215">
        <f t="shared" si="47"/>
        <v>0</v>
      </c>
      <c r="M143" s="210">
        <v>0</v>
      </c>
      <c r="N143" s="108">
        <v>0</v>
      </c>
      <c r="O143" s="175">
        <f t="shared" si="48"/>
        <v>0</v>
      </c>
      <c r="P143" s="175">
        <f>VALUE(J_normdate(J_ADDDAY($D143,$O143,1)))</f>
        <v>13980722</v>
      </c>
      <c r="Q143" s="171">
        <f t="shared" si="49"/>
        <v>0</v>
      </c>
      <c r="IY143" s="7">
        <v>2</v>
      </c>
      <c r="IZ143" s="7">
        <f>(TEXT(K143,"[m]")/60)*VLOOKUP(IY143,'Income Person-hours'!A$2:C$5,3,FALSE)</f>
        <v>0</v>
      </c>
      <c r="JA143" s="107"/>
      <c r="JB143" s="213"/>
      <c r="JC143" s="211"/>
      <c r="JD143" s="212">
        <f>SUM((TEXT(JA143,"[M]")/60)*'Income Person-hours'!$D$3,(TEXT(JB143,"[M]")/60)*'Income Person-hours'!$D$4,(TEXT(JC143,"[M]")/60)*'Income Person-hours'!$D$5)</f>
        <v>0</v>
      </c>
    </row>
    <row r="144" spans="1:16382" s="169" customFormat="1" ht="11.25" hidden="1">
      <c r="A144" s="209">
        <v>6.5</v>
      </c>
      <c r="B144" s="106"/>
      <c r="C144" s="107"/>
      <c r="D144" s="172" t="str">
        <f>IF(OR(j_WEEKDAY(J_ADDDAY(VLOOKUP(I144,A:F,6,FALSE),H144,1),0)=6,SUMIFS(Holieday[ok],Holieday[date],J_ADDDAY(VLOOKUP(I144,A:F,6,FALSE),H144,1)))=FALSE(),J_ADDDAY(VLOOKUP(I144,A:F,6,FALSE),H144,1),IF(OR(j_WEEKDAY(J_ADDDAY(VLOOKUP(I144,A:F,6,FALSE),H144+1,1),0)=6,SUMIFS(Holieday[ok],Holieday[date],J_ADDDAY(VLOOKUP(I144,A:F,6,FALSE),H144+1,1)))=FALSE(),J_ADDDAY(VLOOKUP(I144,A:F,6,FALSE),H144+1,1),IF(OR(j_WEEKDAY(J_ADDDAY(VLOOKUP(I144,A:F,6,FALSE),H144+2,1),0)=6,SUMIFS(Holieday[ok],Holieday[date],J_ADDDAY(VLOOKUP(I144,A:F,6,FALSE),H144+2,1)))=FALSE(),J_ADDDAY(VLOOKUP(I144,A:F,6,FALSE),H144+2,1),IF(OR(j_WEEKDAY(J_ADDDAY(VLOOKUP(I144,A:F,6,FALSE),H144+3,1),0)=6,SUMIFS(Holieday[ok],Holieday[date],J_ADDDAY(VLOOKUP(I144,A:F,6,FALSE),H144+3,1)))=FALSE(),J_ADDDAY(VLOOKUP(I144,A:F,6,FALSE),H144+3,1),IF(OR(j_WEEKDAY(J_ADDDAY(VLOOKUP(I144,A:F,6,FALSE),H144+4,1),0)=6,SUMIFS(Holieday[ok],Holieday[date],J_ADDDAY(VLOOKUP(I144,A:F,6,FALSE),H144+4,1)))=FALSE(),J_ADDDAY(VLOOKUP(I144,A:F,6,FALSE),H144+4,1),J_ADDDAY(VLOOKUP(I144,A:F,6,FALSE),H144+5,1))))))</f>
        <v>1398/07/29</v>
      </c>
      <c r="E144" s="160">
        <f t="shared" si="42"/>
        <v>13980729</v>
      </c>
      <c r="F144" s="172" t="str">
        <f>IF(N144=0,J_SUBDAY(D144,1,1),IF((N144-NETWORKDAYS.INTL(J_GregorianDate(D144,1),J_GregorianDate(J_SUBDAY(J_ADDDAY(D144,N144,1),1,1),1),16,1)-SUMIFS(Holieday[ok],Holieday[date],CONCATENATE("&gt;","=",D144),Holieday[date],CONCATENATE("&lt;","=",J_SUBDAY(J_ADDDAY(D144,N144,1),1,1)))+SUMIFS(Holieday[Friday],Holieday[date],CONCATENATE("&gt;","=",D144),Holieday[date],CONCATENATE("&lt;","=",J_SUBDAY(J_ADDDAY(D144,N144,1),1,1))))=0,J_SUBDAY(J_ADDDAY(D144,N144,1),1,1),IF((N144-NETWORKDAYS.INTL(J_GregorianDate(D144,1),J_GregorianDate(J_SUBDAY(J_ADDDAY(D144,N144,1),1,1),1),16,1)-SUMIFS(Holieday[ok],Holieday[date],CONCATENATE("&gt;","=",D144),Holieday[date],CONCATENATE("&lt;","=",J_SUBDAY(J_ADDDAY(D144,N144,1),1,1)))+SUMIFS(Holieday[Friday],Holieday[date],CONCATENATE("&gt;","=",D144),Holieday[date],CONCATENATE("&lt;","=",J_SUBDAY(J_ADDDAY(D144,N144,1),1,1))))=1,J_SUBDAY(J_ADDDAY(D144,N144+1,1),1,1),IF((N144-NETWORKDAYS.INTL(J_GregorianDate(D144,1),J_GregorianDate(J_SUBDAY(J_ADDDAY(D144,N144,1),1,1),1),16,1)-SUMIFS(Holieday[ok],Holieday[date],CONCATENATE("&gt;","=",D144),Holieday[date],CONCATENATE("&lt;","=",J_SUBDAY(J_ADDDAY(D144,N144,1),1,1)))+SUMIFS(Holieday[Friday],Holieday[date],CONCATENATE("&gt;","=",D144),Holieday[date],CONCATENATE("&lt;","=",J_SUBDAY(J_ADDDAY(D144,N144,1),1,1))))=2,J_SUBDAY(J_ADDDAY(D144,N144+2,1),1,1),J_SUBDAY(J_ADDDAY(D144,N144+3,1),1,1)))))</f>
        <v>1398/07/28</v>
      </c>
      <c r="G144" s="163">
        <f t="shared" si="43"/>
        <v>13980728</v>
      </c>
      <c r="H144" s="109"/>
      <c r="I144" s="110">
        <v>6.3</v>
      </c>
      <c r="J144" s="171">
        <f>j_WEEKDAY(D144,2)</f>
        <v>2</v>
      </c>
      <c r="K144" s="173">
        <f t="shared" si="46"/>
        <v>0</v>
      </c>
      <c r="L144" s="215">
        <f t="shared" si="47"/>
        <v>0</v>
      </c>
      <c r="M144" s="210">
        <v>1</v>
      </c>
      <c r="N144" s="108">
        <v>0</v>
      </c>
      <c r="O144" s="175">
        <f t="shared" si="48"/>
        <v>0</v>
      </c>
      <c r="P144" s="175">
        <f>VALUE(J_normdate(J_ADDDAY($D144,$O144,1)))</f>
        <v>13980729</v>
      </c>
      <c r="Q144" s="171">
        <f t="shared" si="49"/>
        <v>0</v>
      </c>
      <c r="IY144" s="7">
        <v>1</v>
      </c>
      <c r="IZ144" s="7">
        <f>(TEXT(K144,"[m]")/60)*VLOOKUP(IY144,'Income Person-hours'!A$2:C$5,3,FALSE)</f>
        <v>0</v>
      </c>
      <c r="JA144" s="107"/>
      <c r="JB144" s="213"/>
      <c r="JC144" s="211"/>
      <c r="JD144" s="212">
        <f>SUM((TEXT(JA144,"[M]")/60)*'Income Person-hours'!$D$3,(TEXT(JB144,"[M]")/60)*'Income Person-hours'!$D$4,(TEXT(JC144,"[M]")/60)*'Income Person-hours'!$D$5)</f>
        <v>0</v>
      </c>
    </row>
    <row r="145" spans="1:264" s="11" customFormat="1" ht="11.25" hidden="1">
      <c r="A145" s="168">
        <v>6.6</v>
      </c>
      <c r="B145" s="106"/>
      <c r="C145" s="107"/>
      <c r="D145" s="12" t="str">
        <f>IF(OR(j_WEEKDAY(J_ADDDAY(VLOOKUP(I145,A:F,6,FALSE),H145,1),0)=6,SUMIFS(Holieday[ok],Holieday[date],J_ADDDAY(VLOOKUP(I145,A:F,6,FALSE),H145,1)))=FALSE(),J_ADDDAY(VLOOKUP(I145,A:F,6,FALSE),H145,1),IF(OR(j_WEEKDAY(J_ADDDAY(VLOOKUP(I145,A:F,6,FALSE),H145+1,1),0)=6,SUMIFS(Holieday[ok],Holieday[date],J_ADDDAY(VLOOKUP(I145,A:F,6,FALSE),H145+1,1)))=FALSE(),J_ADDDAY(VLOOKUP(I145,A:F,6,FALSE),H145+1,1),IF(OR(j_WEEKDAY(J_ADDDAY(VLOOKUP(I145,A:F,6,FALSE),H145+2,1),0)=6,SUMIFS(Holieday[ok],Holieday[date],J_ADDDAY(VLOOKUP(I145,A:F,6,FALSE),H145+2,1)))=FALSE(),J_ADDDAY(VLOOKUP(I145,A:F,6,FALSE),H145+2,1),IF(OR(j_WEEKDAY(J_ADDDAY(VLOOKUP(I145,A:F,6,FALSE),H145+3,1),0)=6,SUMIFS(Holieday[ok],Holieday[date],J_ADDDAY(VLOOKUP(I145,A:F,6,FALSE),H145+3,1)))=FALSE(),J_ADDDAY(VLOOKUP(I145,A:F,6,FALSE),H145+3,1),IF(OR(j_WEEKDAY(J_ADDDAY(VLOOKUP(I145,A:F,6,FALSE),H145+4,1),0)=6,SUMIFS(Holieday[ok],Holieday[date],J_ADDDAY(VLOOKUP(I145,A:F,6,FALSE),H145+4,1)))=FALSE(),J_ADDDAY(VLOOKUP(I145,A:F,6,FALSE),H145+4,1),J_ADDDAY(VLOOKUP(I145,A:F,6,FALSE),H145+5,1))))))</f>
        <v>1398/07/29</v>
      </c>
      <c r="E145" s="1">
        <f t="shared" si="42"/>
        <v>13980729</v>
      </c>
      <c r="F145" s="12" t="str">
        <f>IF(N145=0,J_SUBDAY(D145,1,1),IF((N145-NETWORKDAYS.INTL(J_GregorianDate(D145,1),J_GregorianDate(J_SUBDAY(J_ADDDAY(D145,N145,1),1,1),1),16,1)-SUMIFS(Holieday[ok],Holieday[date],CONCATENATE("&gt;","=",D145),Holieday[date],CONCATENATE("&lt;","=",J_SUBDAY(J_ADDDAY(D145,N145,1),1,1)))+SUMIFS(Holieday[Friday],Holieday[date],CONCATENATE("&gt;","=",D145),Holieday[date],CONCATENATE("&lt;","=",J_SUBDAY(J_ADDDAY(D145,N145,1),1,1))))=0,J_SUBDAY(J_ADDDAY(D145,N145,1),1,1),IF((N145-NETWORKDAYS.INTL(J_GregorianDate(D145,1),J_GregorianDate(J_SUBDAY(J_ADDDAY(D145,N145,1),1,1),1),16,1)-SUMIFS(Holieday[ok],Holieday[date],CONCATENATE("&gt;","=",D145),Holieday[date],CONCATENATE("&lt;","=",J_SUBDAY(J_ADDDAY(D145,N145,1),1,1)))+SUMIFS(Holieday[Friday],Holieday[date],CONCATENATE("&gt;","=",D145),Holieday[date],CONCATENATE("&lt;","=",J_SUBDAY(J_ADDDAY(D145,N145,1),1,1))))=1,J_SUBDAY(J_ADDDAY(D145,N145+1,1),1,1),IF((N145-NETWORKDAYS.INTL(J_GregorianDate(D145,1),J_GregorianDate(J_SUBDAY(J_ADDDAY(D145,N145,1),1,1),1),16,1)-SUMIFS(Holieday[ok],Holieday[date],CONCATENATE("&gt;","=",D145),Holieday[date],CONCATENATE("&lt;","=",J_SUBDAY(J_ADDDAY(D145,N145,1),1,1)))+SUMIFS(Holieday[Friday],Holieday[date],CONCATENATE("&gt;","=",D145),Holieday[date],CONCATENATE("&lt;","=",J_SUBDAY(J_ADDDAY(D145,N145,1),1,1))))=2,J_SUBDAY(J_ADDDAY(D145,N145+2,1),1,1),J_SUBDAY(J_ADDDAY(D145,N145+3,1),1,1)))))</f>
        <v>1398/07/28</v>
      </c>
      <c r="G145" s="2">
        <f t="shared" si="43"/>
        <v>13980728</v>
      </c>
      <c r="H145" s="109"/>
      <c r="I145" s="110">
        <v>6.3</v>
      </c>
      <c r="J145" s="9">
        <f>j_WEEKDAY(D145,2)</f>
        <v>2</v>
      </c>
      <c r="K145" s="21">
        <f t="shared" si="46"/>
        <v>0</v>
      </c>
      <c r="L145" s="8">
        <f t="shared" si="47"/>
        <v>0</v>
      </c>
      <c r="M145" s="111">
        <v>0</v>
      </c>
      <c r="N145" s="108">
        <v>0</v>
      </c>
      <c r="O145" s="10">
        <f t="shared" si="48"/>
        <v>0</v>
      </c>
      <c r="P145" s="10">
        <f>VALUE(J_normdate(J_ADDDAY($D145,$O145,1)))</f>
        <v>13980729</v>
      </c>
      <c r="Q145" s="9">
        <f t="shared" si="49"/>
        <v>0</v>
      </c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  <c r="DY145" s="7"/>
      <c r="DZ145" s="7"/>
      <c r="EA145" s="7"/>
      <c r="EB145" s="7"/>
      <c r="EC145" s="7"/>
      <c r="ED145" s="7"/>
      <c r="EE145" s="7"/>
      <c r="EF145" s="7"/>
      <c r="EG145" s="7"/>
      <c r="EH145" s="7"/>
      <c r="EI145" s="7"/>
      <c r="EJ145" s="7"/>
      <c r="EK145" s="7"/>
      <c r="EL145" s="7"/>
      <c r="EM145" s="7"/>
      <c r="EN145" s="7"/>
      <c r="EO145" s="7"/>
      <c r="EP145" s="7"/>
      <c r="EQ145" s="7"/>
      <c r="ER145" s="7"/>
      <c r="ES145" s="7"/>
      <c r="ET145" s="7"/>
      <c r="EU145" s="7"/>
      <c r="EV145" s="7"/>
      <c r="EW145" s="7"/>
      <c r="EX145" s="7"/>
      <c r="EY145" s="7"/>
      <c r="EZ145" s="7"/>
      <c r="FA145" s="7"/>
      <c r="FB145" s="7"/>
      <c r="FC145" s="7"/>
      <c r="FD145" s="7"/>
      <c r="FE145" s="7"/>
      <c r="FF145" s="7"/>
      <c r="FG145" s="7"/>
      <c r="FH145" s="7"/>
      <c r="FI145" s="7"/>
      <c r="FJ145" s="7"/>
      <c r="FK145" s="7"/>
      <c r="FL145" s="7"/>
      <c r="FM145" s="7"/>
      <c r="FN145" s="7"/>
      <c r="FO145" s="7"/>
      <c r="FP145" s="7"/>
      <c r="FQ145" s="7"/>
      <c r="FR145" s="7"/>
      <c r="FS145" s="7"/>
      <c r="FT145" s="7"/>
      <c r="FU145" s="7"/>
      <c r="FV145" s="7"/>
      <c r="FW145" s="7"/>
      <c r="FX145" s="7"/>
      <c r="FY145" s="7"/>
      <c r="FZ145" s="7"/>
      <c r="GA145" s="7"/>
      <c r="GB145" s="7"/>
      <c r="GC145" s="7"/>
      <c r="GD145" s="7"/>
      <c r="GE145" s="7"/>
      <c r="GF145" s="7"/>
      <c r="GG145" s="7"/>
      <c r="GH145" s="7"/>
      <c r="GI145" s="7"/>
      <c r="GJ145" s="7"/>
      <c r="GK145" s="7"/>
      <c r="GL145" s="7"/>
      <c r="GM145" s="7"/>
      <c r="GN145" s="7"/>
      <c r="GO145" s="7"/>
      <c r="GP145" s="7"/>
      <c r="GQ145" s="7"/>
      <c r="GR145" s="7"/>
      <c r="GS145" s="7"/>
      <c r="GT145" s="7"/>
      <c r="GU145" s="7"/>
      <c r="GV145" s="7"/>
      <c r="GW145" s="7"/>
      <c r="GX145" s="7"/>
      <c r="GY145" s="7"/>
      <c r="GZ145" s="7"/>
      <c r="HA145" s="7"/>
      <c r="HB145" s="7"/>
      <c r="HC145" s="7"/>
      <c r="HD145" s="7"/>
      <c r="HE145" s="7"/>
      <c r="HF145" s="7"/>
      <c r="HG145" s="7"/>
      <c r="HH145" s="7"/>
      <c r="HI145" s="7"/>
      <c r="HJ145" s="7"/>
      <c r="HK145" s="7"/>
      <c r="HL145" s="7"/>
      <c r="HM145" s="7"/>
      <c r="HN145" s="7"/>
      <c r="HO145" s="7"/>
      <c r="HP145" s="7"/>
      <c r="HQ145" s="7"/>
      <c r="HR145" s="7"/>
      <c r="HS145" s="7"/>
      <c r="HT145" s="7"/>
      <c r="HU145" s="7"/>
      <c r="HV145" s="7"/>
      <c r="HW145" s="7"/>
      <c r="HX145" s="7"/>
      <c r="HY145" s="7"/>
      <c r="HZ145" s="7"/>
      <c r="IA145" s="7"/>
      <c r="IB145" s="7"/>
      <c r="IC145" s="7"/>
      <c r="ID145" s="7"/>
      <c r="IE145" s="7"/>
      <c r="IF145" s="7"/>
      <c r="IG145" s="7"/>
      <c r="IH145" s="7"/>
      <c r="II145" s="7"/>
      <c r="IJ145" s="7"/>
      <c r="IK145" s="7"/>
      <c r="IL145" s="7"/>
      <c r="IM145" s="7"/>
      <c r="IN145" s="7"/>
      <c r="IO145" s="7"/>
      <c r="IP145" s="7"/>
      <c r="IQ145" s="7"/>
      <c r="IR145" s="7"/>
      <c r="IS145" s="7"/>
      <c r="IT145" s="7"/>
      <c r="IU145" s="7"/>
      <c r="IV145" s="7"/>
      <c r="IW145" s="7"/>
      <c r="IX145" s="7"/>
      <c r="IY145" s="11">
        <v>2</v>
      </c>
      <c r="IZ145" s="11">
        <f>(TEXT(K145,"[m]")/60)*VLOOKUP(IY145,'Income Person-hours'!A$2:C$5,3,FALSE)</f>
        <v>0</v>
      </c>
      <c r="JA145" s="113"/>
      <c r="JB145" s="113"/>
      <c r="JC145" s="113"/>
      <c r="JD145" s="66">
        <f>SUM((TEXT(JA145,"[M]")/60)*'Income Person-hours'!$D$3,(TEXT(JB145,"[M]")/60)*'Income Person-hours'!$D$4,(TEXT(JC145,"[M]")/60)*'Income Person-hours'!$D$5)</f>
        <v>0</v>
      </c>
    </row>
    <row r="146" spans="1:264" s="11" customFormat="1" ht="11.25" hidden="1">
      <c r="A146" s="168">
        <v>6.7</v>
      </c>
      <c r="B146" s="116"/>
      <c r="C146" s="107"/>
      <c r="D146" s="12" t="str">
        <f>IF(OR(j_WEEKDAY(J_ADDDAY(VLOOKUP(I146,A:F,6,FALSE),H146,1),0)=6,SUMIFS(Holieday[ok],Holieday[date],J_ADDDAY(VLOOKUP(I146,A:F,6,FALSE),H146,1)))=FALSE(),J_ADDDAY(VLOOKUP(I146,A:F,6,FALSE),H146,1),IF(OR(j_WEEKDAY(J_ADDDAY(VLOOKUP(I146,A:F,6,FALSE),H146+1,1),0)=6,SUMIFS(Holieday[ok],Holieday[date],J_ADDDAY(VLOOKUP(I146,A:F,6,FALSE),H146+1,1)))=FALSE(),J_ADDDAY(VLOOKUP(I146,A:F,6,FALSE),H146+1,1),IF(OR(j_WEEKDAY(J_ADDDAY(VLOOKUP(I146,A:F,6,FALSE),H146+2,1),0)=6,SUMIFS(Holieday[ok],Holieday[date],J_ADDDAY(VLOOKUP(I146,A:F,6,FALSE),H146+2,1)))=FALSE(),J_ADDDAY(VLOOKUP(I146,A:F,6,FALSE),H146+2,1),IF(OR(j_WEEKDAY(J_ADDDAY(VLOOKUP(I146,A:F,6,FALSE),H146+3,1),0)=6,SUMIFS(Holieday[ok],Holieday[date],J_ADDDAY(VLOOKUP(I146,A:F,6,FALSE),H146+3,1)))=FALSE(),J_ADDDAY(VLOOKUP(I146,A:F,6,FALSE),H146+3,1),IF(OR(j_WEEKDAY(J_ADDDAY(VLOOKUP(I146,A:F,6,FALSE),H146+4,1),0)=6,SUMIFS(Holieday[ok],Holieday[date],J_ADDDAY(VLOOKUP(I146,A:F,6,FALSE),H146+4,1)))=FALSE(),J_ADDDAY(VLOOKUP(I146,A:F,6,FALSE),H146+4,1),J_ADDDAY(VLOOKUP(I146,A:F,6,FALSE),H146+5,1))))))</f>
        <v>1398/07/29</v>
      </c>
      <c r="E146" s="1">
        <f t="shared" si="42"/>
        <v>13980729</v>
      </c>
      <c r="F146" s="12" t="str">
        <f>IF(N146=0,J_SUBDAY(D146,1,1),IF((N146-NETWORKDAYS.INTL(J_GregorianDate(D146,1),J_GregorianDate(J_SUBDAY(J_ADDDAY(D146,N146,1),1,1),1),16,1)-SUMIFS(Holieday[ok],Holieday[date],CONCATENATE("&gt;","=",D146),Holieday[date],CONCATENATE("&lt;","=",J_SUBDAY(J_ADDDAY(D146,N146,1),1,1)))+SUMIFS(Holieday[Friday],Holieday[date],CONCATENATE("&gt;","=",D146),Holieday[date],CONCATENATE("&lt;","=",J_SUBDAY(J_ADDDAY(D146,N146,1),1,1))))=0,J_SUBDAY(J_ADDDAY(D146,N146,1),1,1),IF((N146-NETWORKDAYS.INTL(J_GregorianDate(D146,1),J_GregorianDate(J_SUBDAY(J_ADDDAY(D146,N146,1),1,1),1),16,1)-SUMIFS(Holieday[ok],Holieday[date],CONCATENATE("&gt;","=",D146),Holieday[date],CONCATENATE("&lt;","=",J_SUBDAY(J_ADDDAY(D146,N146,1),1,1)))+SUMIFS(Holieday[Friday],Holieday[date],CONCATENATE("&gt;","=",D146),Holieday[date],CONCATENATE("&lt;","=",J_SUBDAY(J_ADDDAY(D146,N146,1),1,1))))=1,J_SUBDAY(J_ADDDAY(D146,N146+1,1),1,1),IF((N146-NETWORKDAYS.INTL(J_GregorianDate(D146,1),J_GregorianDate(J_SUBDAY(J_ADDDAY(D146,N146,1),1,1),1),16,1)-SUMIFS(Holieday[ok],Holieday[date],CONCATENATE("&gt;","=",D146),Holieday[date],CONCATENATE("&lt;","=",J_SUBDAY(J_ADDDAY(D146,N146,1),1,1)))+SUMIFS(Holieday[Friday],Holieday[date],CONCATENATE("&gt;","=",D146),Holieday[date],CONCATENATE("&lt;","=",J_SUBDAY(J_ADDDAY(D146,N146,1),1,1))))=2,J_SUBDAY(J_ADDDAY(D146,N146+2,1),1,1),J_SUBDAY(J_ADDDAY(D146,N146+3,1),1,1)))))</f>
        <v>1398/07/28</v>
      </c>
      <c r="G146" s="2">
        <f t="shared" si="43"/>
        <v>13980728</v>
      </c>
      <c r="H146" s="109"/>
      <c r="I146" s="110">
        <v>6.3</v>
      </c>
      <c r="J146" s="9">
        <f>j_WEEKDAY(D146,2)</f>
        <v>2</v>
      </c>
      <c r="K146" s="21">
        <f t="shared" si="46"/>
        <v>0</v>
      </c>
      <c r="L146" s="8">
        <f t="shared" si="47"/>
        <v>0</v>
      </c>
      <c r="M146" s="111">
        <v>0</v>
      </c>
      <c r="N146" s="108">
        <v>0</v>
      </c>
      <c r="O146" s="10">
        <f t="shared" si="48"/>
        <v>0</v>
      </c>
      <c r="P146" s="10">
        <f>VALUE(J_normdate(J_ADDDAY($D146,$O146,1)))</f>
        <v>13980729</v>
      </c>
      <c r="Q146" s="9">
        <f t="shared" si="49"/>
        <v>0</v>
      </c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/>
      <c r="CY146" s="7"/>
      <c r="CZ146" s="7"/>
      <c r="DA146" s="7"/>
      <c r="DB146" s="7"/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  <c r="DO146" s="7"/>
      <c r="DP146" s="7"/>
      <c r="DQ146" s="7"/>
      <c r="DR146" s="7"/>
      <c r="DS146" s="7"/>
      <c r="DT146" s="7"/>
      <c r="DU146" s="7"/>
      <c r="DV146" s="7"/>
      <c r="DW146" s="7"/>
      <c r="DX146" s="7"/>
      <c r="DY146" s="7"/>
      <c r="DZ146" s="7"/>
      <c r="EA146" s="7"/>
      <c r="EB146" s="7"/>
      <c r="EC146" s="7"/>
      <c r="ED146" s="7"/>
      <c r="EE146" s="7"/>
      <c r="EF146" s="7"/>
      <c r="EG146" s="7"/>
      <c r="EH146" s="7"/>
      <c r="EI146" s="7"/>
      <c r="EJ146" s="7"/>
      <c r="EK146" s="7"/>
      <c r="EL146" s="7"/>
      <c r="EM146" s="7"/>
      <c r="EN146" s="7"/>
      <c r="EO146" s="7"/>
      <c r="EP146" s="7"/>
      <c r="EQ146" s="7"/>
      <c r="ER146" s="7"/>
      <c r="ES146" s="7"/>
      <c r="ET146" s="7"/>
      <c r="EU146" s="7"/>
      <c r="EV146" s="7"/>
      <c r="EW146" s="7"/>
      <c r="EX146" s="7"/>
      <c r="EY146" s="7"/>
      <c r="EZ146" s="7"/>
      <c r="FA146" s="7"/>
      <c r="FB146" s="7"/>
      <c r="FC146" s="7"/>
      <c r="FD146" s="7"/>
      <c r="FE146" s="7"/>
      <c r="FF146" s="7"/>
      <c r="FG146" s="7"/>
      <c r="FH146" s="7"/>
      <c r="FI146" s="7"/>
      <c r="FJ146" s="7"/>
      <c r="FK146" s="7"/>
      <c r="FL146" s="7"/>
      <c r="FM146" s="7"/>
      <c r="FN146" s="7"/>
      <c r="FO146" s="7"/>
      <c r="FP146" s="7"/>
      <c r="FQ146" s="7"/>
      <c r="FR146" s="7"/>
      <c r="FS146" s="7"/>
      <c r="FT146" s="7"/>
      <c r="FU146" s="7"/>
      <c r="FV146" s="7"/>
      <c r="FW146" s="7"/>
      <c r="FX146" s="7"/>
      <c r="FY146" s="7"/>
      <c r="FZ146" s="7"/>
      <c r="GA146" s="7"/>
      <c r="GB146" s="7"/>
      <c r="GC146" s="7"/>
      <c r="GD146" s="7"/>
      <c r="GE146" s="7"/>
      <c r="GF146" s="7"/>
      <c r="GG146" s="7"/>
      <c r="GH146" s="7"/>
      <c r="GI146" s="7"/>
      <c r="GJ146" s="7"/>
      <c r="GK146" s="7"/>
      <c r="GL146" s="7"/>
      <c r="GM146" s="7"/>
      <c r="GN146" s="7"/>
      <c r="GO146" s="7"/>
      <c r="GP146" s="7"/>
      <c r="GQ146" s="7"/>
      <c r="GR146" s="7"/>
      <c r="GS146" s="7"/>
      <c r="GT146" s="7"/>
      <c r="GU146" s="7"/>
      <c r="GV146" s="7"/>
      <c r="GW146" s="7"/>
      <c r="GX146" s="7"/>
      <c r="GY146" s="7"/>
      <c r="GZ146" s="7"/>
      <c r="HA146" s="7"/>
      <c r="HB146" s="7"/>
      <c r="HC146" s="7"/>
      <c r="HD146" s="7"/>
      <c r="HE146" s="7"/>
      <c r="HF146" s="7"/>
      <c r="HG146" s="7"/>
      <c r="HH146" s="7"/>
      <c r="HI146" s="7"/>
      <c r="HJ146" s="7"/>
      <c r="HK146" s="7"/>
      <c r="HL146" s="7"/>
      <c r="HM146" s="7"/>
      <c r="HN146" s="7"/>
      <c r="HO146" s="7"/>
      <c r="HP146" s="7"/>
      <c r="HQ146" s="7"/>
      <c r="HR146" s="7"/>
      <c r="HS146" s="7"/>
      <c r="HT146" s="7"/>
      <c r="HU146" s="7"/>
      <c r="HV146" s="7"/>
      <c r="HW146" s="7"/>
      <c r="HX146" s="7"/>
      <c r="HY146" s="7"/>
      <c r="HZ146" s="7"/>
      <c r="IA146" s="7"/>
      <c r="IB146" s="7"/>
      <c r="IC146" s="7"/>
      <c r="ID146" s="7"/>
      <c r="IE146" s="7"/>
      <c r="IF146" s="7"/>
      <c r="IG146" s="7"/>
      <c r="IH146" s="7"/>
      <c r="II146" s="7"/>
      <c r="IJ146" s="7"/>
      <c r="IK146" s="7"/>
      <c r="IL146" s="7"/>
      <c r="IM146" s="7"/>
      <c r="IN146" s="7"/>
      <c r="IO146" s="7"/>
      <c r="IP146" s="7"/>
      <c r="IQ146" s="7"/>
      <c r="IR146" s="7"/>
      <c r="IS146" s="7"/>
      <c r="IT146" s="7"/>
      <c r="IU146" s="7"/>
      <c r="IV146" s="7"/>
      <c r="IW146" s="7"/>
      <c r="IX146" s="7"/>
      <c r="IY146" s="11">
        <v>1</v>
      </c>
      <c r="IZ146" s="11">
        <f>(TEXT(K146,"[m]")/60)*VLOOKUP(IY146,'Income Person-hours'!A$2:C$5,3,FALSE)</f>
        <v>0</v>
      </c>
      <c r="JA146" s="113"/>
      <c r="JB146" s="113"/>
      <c r="JC146" s="113"/>
      <c r="JD146" s="66">
        <f>SUM((TEXT(JA146,"[M]")/60)*'Income Person-hours'!$D$3,(TEXT(JB146,"[M]")/60)*'Income Person-hours'!$D$4,(TEXT(JC146,"[M]")/60)*'Income Person-hours'!$D$5)</f>
        <v>0</v>
      </c>
    </row>
    <row r="147" spans="1:264" s="11" customFormat="1" ht="11.25" hidden="1">
      <c r="A147" s="168">
        <v>6.8</v>
      </c>
      <c r="B147" s="116"/>
      <c r="C147" s="107"/>
      <c r="D147" s="12" t="str">
        <f>IF(OR(j_WEEKDAY(J_ADDDAY(VLOOKUP(I147,A:F,6,FALSE),H147,1),0)=6,SUMIFS(Holieday[ok],Holieday[date],J_ADDDAY(VLOOKUP(I147,A:F,6,FALSE),H147,1)))=FALSE(),J_ADDDAY(VLOOKUP(I147,A:F,6,FALSE),H147,1),IF(OR(j_WEEKDAY(J_ADDDAY(VLOOKUP(I147,A:F,6,FALSE),H147+1,1),0)=6,SUMIFS(Holieday[ok],Holieday[date],J_ADDDAY(VLOOKUP(I147,A:F,6,FALSE),H147+1,1)))=FALSE(),J_ADDDAY(VLOOKUP(I147,A:F,6,FALSE),H147+1,1),IF(OR(j_WEEKDAY(J_ADDDAY(VLOOKUP(I147,A:F,6,FALSE),H147+2,1),0)=6,SUMIFS(Holieday[ok],Holieday[date],J_ADDDAY(VLOOKUP(I147,A:F,6,FALSE),H147+2,1)))=FALSE(),J_ADDDAY(VLOOKUP(I147,A:F,6,FALSE),H147+2,1),IF(OR(j_WEEKDAY(J_ADDDAY(VLOOKUP(I147,A:F,6,FALSE),H147+3,1),0)=6,SUMIFS(Holieday[ok],Holieday[date],J_ADDDAY(VLOOKUP(I147,A:F,6,FALSE),H147+3,1)))=FALSE(),J_ADDDAY(VLOOKUP(I147,A:F,6,FALSE),H147+3,1),IF(OR(j_WEEKDAY(J_ADDDAY(VLOOKUP(I147,A:F,6,FALSE),H147+4,1),0)=6,SUMIFS(Holieday[ok],Holieday[date],J_ADDDAY(VLOOKUP(I147,A:F,6,FALSE),H147+4,1)))=FALSE(),J_ADDDAY(VLOOKUP(I147,A:F,6,FALSE),H147+4,1),J_ADDDAY(VLOOKUP(I147,A:F,6,FALSE),H147+5,1))))))</f>
        <v>1398/07/29</v>
      </c>
      <c r="E147" s="1">
        <f t="shared" si="42"/>
        <v>13980729</v>
      </c>
      <c r="F147" s="12" t="str">
        <f>IF(N147=0,J_SUBDAY(D147,1,1),IF((N147-NETWORKDAYS.INTL(J_GregorianDate(D147,1),J_GregorianDate(J_SUBDAY(J_ADDDAY(D147,N147,1),1,1),1),16,1)-SUMIFS(Holieday[ok],Holieday[date],CONCATENATE("&gt;","=",D147),Holieday[date],CONCATENATE("&lt;","=",J_SUBDAY(J_ADDDAY(D147,N147,1),1,1)))+SUMIFS(Holieday[Friday],Holieday[date],CONCATENATE("&gt;","=",D147),Holieday[date],CONCATENATE("&lt;","=",J_SUBDAY(J_ADDDAY(D147,N147,1),1,1))))=0,J_SUBDAY(J_ADDDAY(D147,N147,1),1,1),IF((N147-NETWORKDAYS.INTL(J_GregorianDate(D147,1),J_GregorianDate(J_SUBDAY(J_ADDDAY(D147,N147,1),1,1),1),16,1)-SUMIFS(Holieday[ok],Holieday[date],CONCATENATE("&gt;","=",D147),Holieday[date],CONCATENATE("&lt;","=",J_SUBDAY(J_ADDDAY(D147,N147,1),1,1)))+SUMIFS(Holieday[Friday],Holieday[date],CONCATENATE("&gt;","=",D147),Holieday[date],CONCATENATE("&lt;","=",J_SUBDAY(J_ADDDAY(D147,N147,1),1,1))))=1,J_SUBDAY(J_ADDDAY(D147,N147+1,1),1,1),IF((N147-NETWORKDAYS.INTL(J_GregorianDate(D147,1),J_GregorianDate(J_SUBDAY(J_ADDDAY(D147,N147,1),1,1),1),16,1)-SUMIFS(Holieday[ok],Holieday[date],CONCATENATE("&gt;","=",D147),Holieday[date],CONCATENATE("&lt;","=",J_SUBDAY(J_ADDDAY(D147,N147,1),1,1)))+SUMIFS(Holieday[Friday],Holieday[date],CONCATENATE("&gt;","=",D147),Holieday[date],CONCATENATE("&lt;","=",J_SUBDAY(J_ADDDAY(D147,N147,1),1,1))))=2,J_SUBDAY(J_ADDDAY(D147,N147+2,1),1,1),J_SUBDAY(J_ADDDAY(D147,N147+3,1),1,1)))))</f>
        <v>1398/07/28</v>
      </c>
      <c r="G147" s="2">
        <f t="shared" si="43"/>
        <v>13980728</v>
      </c>
      <c r="H147" s="109"/>
      <c r="I147" s="110">
        <v>6.3</v>
      </c>
      <c r="J147" s="9">
        <f>j_WEEKDAY(D147,2)</f>
        <v>2</v>
      </c>
      <c r="K147" s="21">
        <f t="shared" si="46"/>
        <v>0</v>
      </c>
      <c r="L147" s="8">
        <f t="shared" si="47"/>
        <v>0</v>
      </c>
      <c r="M147" s="111">
        <v>0</v>
      </c>
      <c r="N147" s="108">
        <v>0</v>
      </c>
      <c r="O147" s="10">
        <f t="shared" si="48"/>
        <v>0</v>
      </c>
      <c r="P147" s="10">
        <f>VALUE(J_normdate(J_ADDDAY($D147,$O147,1)))</f>
        <v>13980729</v>
      </c>
      <c r="Q147" s="9">
        <f t="shared" si="49"/>
        <v>0</v>
      </c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  <c r="DO147" s="7"/>
      <c r="DP147" s="7"/>
      <c r="DQ147" s="7"/>
      <c r="DR147" s="7"/>
      <c r="DS147" s="7"/>
      <c r="DT147" s="7"/>
      <c r="DU147" s="7"/>
      <c r="DV147" s="7"/>
      <c r="DW147" s="7"/>
      <c r="DX147" s="7"/>
      <c r="DY147" s="7"/>
      <c r="DZ147" s="7"/>
      <c r="EA147" s="7"/>
      <c r="EB147" s="7"/>
      <c r="EC147" s="7"/>
      <c r="ED147" s="7"/>
      <c r="EE147" s="7"/>
      <c r="EF147" s="7"/>
      <c r="EG147" s="7"/>
      <c r="EH147" s="7"/>
      <c r="EI147" s="7"/>
      <c r="EJ147" s="7"/>
      <c r="EK147" s="7"/>
      <c r="EL147" s="7"/>
      <c r="EM147" s="7"/>
      <c r="EN147" s="7"/>
      <c r="EO147" s="7"/>
      <c r="EP147" s="7"/>
      <c r="EQ147" s="7"/>
      <c r="ER147" s="7"/>
      <c r="ES147" s="7"/>
      <c r="ET147" s="7"/>
      <c r="EU147" s="7"/>
      <c r="EV147" s="7"/>
      <c r="EW147" s="7"/>
      <c r="EX147" s="7"/>
      <c r="EY147" s="7"/>
      <c r="EZ147" s="7"/>
      <c r="FA147" s="7"/>
      <c r="FB147" s="7"/>
      <c r="FC147" s="7"/>
      <c r="FD147" s="7"/>
      <c r="FE147" s="7"/>
      <c r="FF147" s="7"/>
      <c r="FG147" s="7"/>
      <c r="FH147" s="7"/>
      <c r="FI147" s="7"/>
      <c r="FJ147" s="7"/>
      <c r="FK147" s="7"/>
      <c r="FL147" s="7"/>
      <c r="FM147" s="7"/>
      <c r="FN147" s="7"/>
      <c r="FO147" s="7"/>
      <c r="FP147" s="7"/>
      <c r="FQ147" s="7"/>
      <c r="FR147" s="7"/>
      <c r="FS147" s="7"/>
      <c r="FT147" s="7"/>
      <c r="FU147" s="7"/>
      <c r="FV147" s="7"/>
      <c r="FW147" s="7"/>
      <c r="FX147" s="7"/>
      <c r="FY147" s="7"/>
      <c r="FZ147" s="7"/>
      <c r="GA147" s="7"/>
      <c r="GB147" s="7"/>
      <c r="GC147" s="7"/>
      <c r="GD147" s="7"/>
      <c r="GE147" s="7"/>
      <c r="GF147" s="7"/>
      <c r="GG147" s="7"/>
      <c r="GH147" s="7"/>
      <c r="GI147" s="7"/>
      <c r="GJ147" s="7"/>
      <c r="GK147" s="7"/>
      <c r="GL147" s="7"/>
      <c r="GM147" s="7"/>
      <c r="GN147" s="7"/>
      <c r="GO147" s="7"/>
      <c r="GP147" s="7"/>
      <c r="GQ147" s="7"/>
      <c r="GR147" s="7"/>
      <c r="GS147" s="7"/>
      <c r="GT147" s="7"/>
      <c r="GU147" s="7"/>
      <c r="GV147" s="7"/>
      <c r="GW147" s="7"/>
      <c r="GX147" s="7"/>
      <c r="GY147" s="7"/>
      <c r="GZ147" s="7"/>
      <c r="HA147" s="7"/>
      <c r="HB147" s="7"/>
      <c r="HC147" s="7"/>
      <c r="HD147" s="7"/>
      <c r="HE147" s="7"/>
      <c r="HF147" s="7"/>
      <c r="HG147" s="7"/>
      <c r="HH147" s="7"/>
      <c r="HI147" s="7"/>
      <c r="HJ147" s="7"/>
      <c r="HK147" s="7"/>
      <c r="HL147" s="7"/>
      <c r="HM147" s="7"/>
      <c r="HN147" s="7"/>
      <c r="HO147" s="7"/>
      <c r="HP147" s="7"/>
      <c r="HQ147" s="7"/>
      <c r="HR147" s="7"/>
      <c r="HS147" s="7"/>
      <c r="HT147" s="7"/>
      <c r="HU147" s="7"/>
      <c r="HV147" s="7"/>
      <c r="HW147" s="7"/>
      <c r="HX147" s="7"/>
      <c r="HY147" s="7"/>
      <c r="HZ147" s="7"/>
      <c r="IA147" s="7"/>
      <c r="IB147" s="7"/>
      <c r="IC147" s="7"/>
      <c r="ID147" s="7"/>
      <c r="IE147" s="7"/>
      <c r="IF147" s="7"/>
      <c r="IG147" s="7"/>
      <c r="IH147" s="7"/>
      <c r="II147" s="7"/>
      <c r="IJ147" s="7"/>
      <c r="IK147" s="7"/>
      <c r="IL147" s="7"/>
      <c r="IM147" s="7"/>
      <c r="IN147" s="7"/>
      <c r="IO147" s="7"/>
      <c r="IP147" s="7"/>
      <c r="IQ147" s="7"/>
      <c r="IR147" s="7"/>
      <c r="IS147" s="7"/>
      <c r="IT147" s="7"/>
      <c r="IU147" s="7"/>
      <c r="IV147" s="7"/>
      <c r="IW147" s="7"/>
      <c r="IX147" s="7"/>
      <c r="IY147" s="11">
        <v>2</v>
      </c>
      <c r="IZ147" s="11">
        <f>(TEXT(K147,"[m]")/60)*VLOOKUP(IY147,'Income Person-hours'!A$2:C$5,3,FALSE)</f>
        <v>0</v>
      </c>
      <c r="JA147" s="113"/>
      <c r="JB147" s="113"/>
      <c r="JC147" s="113"/>
      <c r="JD147" s="66">
        <f>SUM((TEXT(JA147,"[M]")/60)*'Income Person-hours'!$D$3,(TEXT(JB147,"[M]")/60)*'Income Person-hours'!$D$4,(TEXT(JC147,"[M]")/60)*'Income Person-hours'!$D$5)</f>
        <v>0</v>
      </c>
    </row>
    <row r="148" spans="1:264" s="11" customFormat="1" ht="11.25" hidden="1">
      <c r="A148" s="168">
        <v>6.9</v>
      </c>
      <c r="B148" s="116"/>
      <c r="C148" s="107"/>
      <c r="D148" s="12" t="str">
        <f>IF(OR(j_WEEKDAY(J_ADDDAY(VLOOKUP(I148,A:F,6,FALSE),H148,1),0)=6,SUMIFS(Holieday[ok],Holieday[date],J_ADDDAY(VLOOKUP(I148,A:F,6,FALSE),H148,1)))=FALSE(),J_ADDDAY(VLOOKUP(I148,A:F,6,FALSE),H148,1),IF(OR(j_WEEKDAY(J_ADDDAY(VLOOKUP(I148,A:F,6,FALSE),H148+1,1),0)=6,SUMIFS(Holieday[ok],Holieday[date],J_ADDDAY(VLOOKUP(I148,A:F,6,FALSE),H148+1,1)))=FALSE(),J_ADDDAY(VLOOKUP(I148,A:F,6,FALSE),H148+1,1),IF(OR(j_WEEKDAY(J_ADDDAY(VLOOKUP(I148,A:F,6,FALSE),H148+2,1),0)=6,SUMIFS(Holieday[ok],Holieday[date],J_ADDDAY(VLOOKUP(I148,A:F,6,FALSE),H148+2,1)))=FALSE(),J_ADDDAY(VLOOKUP(I148,A:F,6,FALSE),H148+2,1),IF(OR(j_WEEKDAY(J_ADDDAY(VLOOKUP(I148,A:F,6,FALSE),H148+3,1),0)=6,SUMIFS(Holieday[ok],Holieday[date],J_ADDDAY(VLOOKUP(I148,A:F,6,FALSE),H148+3,1)))=FALSE(),J_ADDDAY(VLOOKUP(I148,A:F,6,FALSE),H148+3,1),IF(OR(j_WEEKDAY(J_ADDDAY(VLOOKUP(I148,A:F,6,FALSE),H148+4,1),0)=6,SUMIFS(Holieday[ok],Holieday[date],J_ADDDAY(VLOOKUP(I148,A:F,6,FALSE),H148+4,1)))=FALSE(),J_ADDDAY(VLOOKUP(I148,A:F,6,FALSE),H148+4,1),J_ADDDAY(VLOOKUP(I148,A:F,6,FALSE),H148+5,1))))))</f>
        <v>1398/07/29</v>
      </c>
      <c r="E148" s="1">
        <f t="shared" si="42"/>
        <v>13980729</v>
      </c>
      <c r="F148" s="12" t="str">
        <f>IF(N148=0,J_SUBDAY(D148,1,1),IF((N148-NETWORKDAYS.INTL(J_GregorianDate(D148,1),J_GregorianDate(J_SUBDAY(J_ADDDAY(D148,N148,1),1,1),1),16,1)-SUMIFS(Holieday[ok],Holieday[date],CONCATENATE("&gt;","=",D148),Holieday[date],CONCATENATE("&lt;","=",J_SUBDAY(J_ADDDAY(D148,N148,1),1,1)))+SUMIFS(Holieday[Friday],Holieday[date],CONCATENATE("&gt;","=",D148),Holieday[date],CONCATENATE("&lt;","=",J_SUBDAY(J_ADDDAY(D148,N148,1),1,1))))=0,J_SUBDAY(J_ADDDAY(D148,N148,1),1,1),IF((N148-NETWORKDAYS.INTL(J_GregorianDate(D148,1),J_GregorianDate(J_SUBDAY(J_ADDDAY(D148,N148,1),1,1),1),16,1)-SUMIFS(Holieday[ok],Holieday[date],CONCATENATE("&gt;","=",D148),Holieday[date],CONCATENATE("&lt;","=",J_SUBDAY(J_ADDDAY(D148,N148,1),1,1)))+SUMIFS(Holieday[Friday],Holieday[date],CONCATENATE("&gt;","=",D148),Holieday[date],CONCATENATE("&lt;","=",J_SUBDAY(J_ADDDAY(D148,N148,1),1,1))))=1,J_SUBDAY(J_ADDDAY(D148,N148+1,1),1,1),IF((N148-NETWORKDAYS.INTL(J_GregorianDate(D148,1),J_GregorianDate(J_SUBDAY(J_ADDDAY(D148,N148,1),1,1),1),16,1)-SUMIFS(Holieday[ok],Holieday[date],CONCATENATE("&gt;","=",D148),Holieday[date],CONCATENATE("&lt;","=",J_SUBDAY(J_ADDDAY(D148,N148,1),1,1)))+SUMIFS(Holieday[Friday],Holieday[date],CONCATENATE("&gt;","=",D148),Holieday[date],CONCATENATE("&lt;","=",J_SUBDAY(J_ADDDAY(D148,N148,1),1,1))))=2,J_SUBDAY(J_ADDDAY(D148,N148+2,1),1,1),J_SUBDAY(J_ADDDAY(D148,N148+3,1),1,1)))))</f>
        <v>1398/07/28</v>
      </c>
      <c r="G148" s="2">
        <f t="shared" si="43"/>
        <v>13980728</v>
      </c>
      <c r="H148" s="109"/>
      <c r="I148" s="110">
        <v>6.3</v>
      </c>
      <c r="J148" s="9">
        <f>j_WEEKDAY(D148,2)</f>
        <v>2</v>
      </c>
      <c r="K148" s="21">
        <f t="shared" si="46"/>
        <v>0</v>
      </c>
      <c r="L148" s="8">
        <f t="shared" si="47"/>
        <v>0</v>
      </c>
      <c r="M148" s="111">
        <v>0</v>
      </c>
      <c r="N148" s="108">
        <v>0</v>
      </c>
      <c r="O148" s="10">
        <f t="shared" si="48"/>
        <v>0</v>
      </c>
      <c r="P148" s="10">
        <f>VALUE(J_normdate(J_ADDDAY($D148,$O148,1)))</f>
        <v>13980729</v>
      </c>
      <c r="Q148" s="9">
        <f t="shared" si="49"/>
        <v>0</v>
      </c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/>
      <c r="DK148" s="7"/>
      <c r="DL148" s="7"/>
      <c r="DM148" s="7"/>
      <c r="DN148" s="7"/>
      <c r="DO148" s="7"/>
      <c r="DP148" s="7"/>
      <c r="DQ148" s="7"/>
      <c r="DR148" s="7"/>
      <c r="DS148" s="7"/>
      <c r="DT148" s="7"/>
      <c r="DU148" s="7"/>
      <c r="DV148" s="7"/>
      <c r="DW148" s="7"/>
      <c r="DX148" s="7"/>
      <c r="DY148" s="7"/>
      <c r="DZ148" s="7"/>
      <c r="EA148" s="7"/>
      <c r="EB148" s="7"/>
      <c r="EC148" s="7"/>
      <c r="ED148" s="7"/>
      <c r="EE148" s="7"/>
      <c r="EF148" s="7"/>
      <c r="EG148" s="7"/>
      <c r="EH148" s="7"/>
      <c r="EI148" s="7"/>
      <c r="EJ148" s="7"/>
      <c r="EK148" s="7"/>
      <c r="EL148" s="7"/>
      <c r="EM148" s="7"/>
      <c r="EN148" s="7"/>
      <c r="EO148" s="7"/>
      <c r="EP148" s="7"/>
      <c r="EQ148" s="7"/>
      <c r="ER148" s="7"/>
      <c r="ES148" s="7"/>
      <c r="ET148" s="7"/>
      <c r="EU148" s="7"/>
      <c r="EV148" s="7"/>
      <c r="EW148" s="7"/>
      <c r="EX148" s="7"/>
      <c r="EY148" s="7"/>
      <c r="EZ148" s="7"/>
      <c r="FA148" s="7"/>
      <c r="FB148" s="7"/>
      <c r="FC148" s="7"/>
      <c r="FD148" s="7"/>
      <c r="FE148" s="7"/>
      <c r="FF148" s="7"/>
      <c r="FG148" s="7"/>
      <c r="FH148" s="7"/>
      <c r="FI148" s="7"/>
      <c r="FJ148" s="7"/>
      <c r="FK148" s="7"/>
      <c r="FL148" s="7"/>
      <c r="FM148" s="7"/>
      <c r="FN148" s="7"/>
      <c r="FO148" s="7"/>
      <c r="FP148" s="7"/>
      <c r="FQ148" s="7"/>
      <c r="FR148" s="7"/>
      <c r="FS148" s="7"/>
      <c r="FT148" s="7"/>
      <c r="FU148" s="7"/>
      <c r="FV148" s="7"/>
      <c r="FW148" s="7"/>
      <c r="FX148" s="7"/>
      <c r="FY148" s="7"/>
      <c r="FZ148" s="7"/>
      <c r="GA148" s="7"/>
      <c r="GB148" s="7"/>
      <c r="GC148" s="7"/>
      <c r="GD148" s="7"/>
      <c r="GE148" s="7"/>
      <c r="GF148" s="7"/>
      <c r="GG148" s="7"/>
      <c r="GH148" s="7"/>
      <c r="GI148" s="7"/>
      <c r="GJ148" s="7"/>
      <c r="GK148" s="7"/>
      <c r="GL148" s="7"/>
      <c r="GM148" s="7"/>
      <c r="GN148" s="7"/>
      <c r="GO148" s="7"/>
      <c r="GP148" s="7"/>
      <c r="GQ148" s="7"/>
      <c r="GR148" s="7"/>
      <c r="GS148" s="7"/>
      <c r="GT148" s="7"/>
      <c r="GU148" s="7"/>
      <c r="GV148" s="7"/>
      <c r="GW148" s="7"/>
      <c r="GX148" s="7"/>
      <c r="GY148" s="7"/>
      <c r="GZ148" s="7"/>
      <c r="HA148" s="7"/>
      <c r="HB148" s="7"/>
      <c r="HC148" s="7"/>
      <c r="HD148" s="7"/>
      <c r="HE148" s="7"/>
      <c r="HF148" s="7"/>
      <c r="HG148" s="7"/>
      <c r="HH148" s="7"/>
      <c r="HI148" s="7"/>
      <c r="HJ148" s="7"/>
      <c r="HK148" s="7"/>
      <c r="HL148" s="7"/>
      <c r="HM148" s="7"/>
      <c r="HN148" s="7"/>
      <c r="HO148" s="7"/>
      <c r="HP148" s="7"/>
      <c r="HQ148" s="7"/>
      <c r="HR148" s="7"/>
      <c r="HS148" s="7"/>
      <c r="HT148" s="7"/>
      <c r="HU148" s="7"/>
      <c r="HV148" s="7"/>
      <c r="HW148" s="7"/>
      <c r="HX148" s="7"/>
      <c r="HY148" s="7"/>
      <c r="HZ148" s="7"/>
      <c r="IA148" s="7"/>
      <c r="IB148" s="7"/>
      <c r="IC148" s="7"/>
      <c r="ID148" s="7"/>
      <c r="IE148" s="7"/>
      <c r="IF148" s="7"/>
      <c r="IG148" s="7"/>
      <c r="IH148" s="7"/>
      <c r="II148" s="7"/>
      <c r="IJ148" s="7"/>
      <c r="IK148" s="7"/>
      <c r="IL148" s="7"/>
      <c r="IM148" s="7"/>
      <c r="IN148" s="7"/>
      <c r="IO148" s="7"/>
      <c r="IP148" s="7"/>
      <c r="IQ148" s="7"/>
      <c r="IR148" s="7"/>
      <c r="IS148" s="7"/>
      <c r="IT148" s="7"/>
      <c r="IU148" s="7"/>
      <c r="IV148" s="7"/>
      <c r="IW148" s="7"/>
      <c r="IX148" s="7"/>
      <c r="JA148" s="113"/>
      <c r="JB148" s="113"/>
      <c r="JC148" s="113"/>
      <c r="JD148" s="66">
        <f>SUM((TEXT(JA148,"[M]")/60)*'Income Person-hours'!$D$3,(TEXT(JB148,"[M]")/60)*'Income Person-hours'!$D$4,(TEXT(JC148,"[M]")/60)*'Income Person-hours'!$D$5)</f>
        <v>0</v>
      </c>
    </row>
    <row r="149" spans="1:264" s="11" customFormat="1" ht="11.25" hidden="1">
      <c r="A149" s="30">
        <v>6.11</v>
      </c>
      <c r="B149" s="116"/>
      <c r="C149" s="107"/>
      <c r="D149" s="12" t="str">
        <f>IF(OR(j_WEEKDAY(J_ADDDAY(VLOOKUP(I149,A:F,6,FALSE),H149,1),0)=6,SUMIFS(Holieday[ok],Holieday[date],J_ADDDAY(VLOOKUP(I149,A:F,6,FALSE),H149,1)))=FALSE(),J_ADDDAY(VLOOKUP(I149,A:F,6,FALSE),H149,1),IF(OR(j_WEEKDAY(J_ADDDAY(VLOOKUP(I149,A:F,6,FALSE),H149+1,1),0)=6,SUMIFS(Holieday[ok],Holieday[date],J_ADDDAY(VLOOKUP(I149,A:F,6,FALSE),H149+1,1)))=FALSE(),J_ADDDAY(VLOOKUP(I149,A:F,6,FALSE),H149+1,1),IF(OR(j_WEEKDAY(J_ADDDAY(VLOOKUP(I149,A:F,6,FALSE),H149+2,1),0)=6,SUMIFS(Holieday[ok],Holieday[date],J_ADDDAY(VLOOKUP(I149,A:F,6,FALSE),H149+2,1)))=FALSE(),J_ADDDAY(VLOOKUP(I149,A:F,6,FALSE),H149+2,1),IF(OR(j_WEEKDAY(J_ADDDAY(VLOOKUP(I149,A:F,6,FALSE),H149+3,1),0)=6,SUMIFS(Holieday[ok],Holieday[date],J_ADDDAY(VLOOKUP(I149,A:F,6,FALSE),H149+3,1)))=FALSE(),J_ADDDAY(VLOOKUP(I149,A:F,6,FALSE),H149+3,1),IF(OR(j_WEEKDAY(J_ADDDAY(VLOOKUP(I149,A:F,6,FALSE),H149+4,1),0)=6,SUMIFS(Holieday[ok],Holieday[date],J_ADDDAY(VLOOKUP(I149,A:F,6,FALSE),H149+4,1)))=FALSE(),J_ADDDAY(VLOOKUP(I149,A:F,6,FALSE),H149+4,1),J_ADDDAY(VLOOKUP(I149,A:F,6,FALSE),H149+5,1))))))</f>
        <v>1398/07/29</v>
      </c>
      <c r="E149" s="1">
        <f t="shared" si="42"/>
        <v>13980729</v>
      </c>
      <c r="F149" s="12" t="str">
        <f>IF(N149=0,J_SUBDAY(D149,1,1),IF((N149-NETWORKDAYS.INTL(J_GregorianDate(D149,1),J_GregorianDate(J_SUBDAY(J_ADDDAY(D149,N149,1),1,1),1),16,1)-SUMIFS(Holieday[ok],Holieday[date],CONCATENATE("&gt;","=",D149),Holieday[date],CONCATENATE("&lt;","=",J_SUBDAY(J_ADDDAY(D149,N149,1),1,1)))+SUMIFS(Holieday[Friday],Holieday[date],CONCATENATE("&gt;","=",D149),Holieday[date],CONCATENATE("&lt;","=",J_SUBDAY(J_ADDDAY(D149,N149,1),1,1))))=0,J_SUBDAY(J_ADDDAY(D149,N149,1),1,1),IF((N149-NETWORKDAYS.INTL(J_GregorianDate(D149,1),J_GregorianDate(J_SUBDAY(J_ADDDAY(D149,N149,1),1,1),1),16,1)-SUMIFS(Holieday[ok],Holieday[date],CONCATENATE("&gt;","=",D149),Holieday[date],CONCATENATE("&lt;","=",J_SUBDAY(J_ADDDAY(D149,N149,1),1,1)))+SUMIFS(Holieday[Friday],Holieday[date],CONCATENATE("&gt;","=",D149),Holieday[date],CONCATENATE("&lt;","=",J_SUBDAY(J_ADDDAY(D149,N149,1),1,1))))=1,J_SUBDAY(J_ADDDAY(D149,N149+1,1),1,1),IF((N149-NETWORKDAYS.INTL(J_GregorianDate(D149,1),J_GregorianDate(J_SUBDAY(J_ADDDAY(D149,N149,1),1,1),1),16,1)-SUMIFS(Holieday[ok],Holieday[date],CONCATENATE("&gt;","=",D149),Holieday[date],CONCATENATE("&lt;","=",J_SUBDAY(J_ADDDAY(D149,N149,1),1,1)))+SUMIFS(Holieday[Friday],Holieday[date],CONCATENATE("&gt;","=",D149),Holieday[date],CONCATENATE("&lt;","=",J_SUBDAY(J_ADDDAY(D149,N149,1),1,1))))=2,J_SUBDAY(J_ADDDAY(D149,N149+2,1),1,1),J_SUBDAY(J_ADDDAY(D149,N149+3,1),1,1)))))</f>
        <v>1398/07/28</v>
      </c>
      <c r="G149" s="2">
        <f t="shared" si="43"/>
        <v>13980728</v>
      </c>
      <c r="H149" s="109"/>
      <c r="I149" s="110">
        <v>6.3</v>
      </c>
      <c r="J149" s="9">
        <f>j_WEEKDAY(D149,2)</f>
        <v>2</v>
      </c>
      <c r="K149" s="21">
        <f t="shared" si="46"/>
        <v>0</v>
      </c>
      <c r="L149" s="8">
        <f t="shared" si="47"/>
        <v>0</v>
      </c>
      <c r="M149" s="111">
        <v>0</v>
      </c>
      <c r="N149" s="108">
        <v>0</v>
      </c>
      <c r="O149" s="10">
        <f t="shared" si="48"/>
        <v>0</v>
      </c>
      <c r="P149" s="10">
        <f>VALUE(J_normdate(J_ADDDAY($D149,$O149,1)))</f>
        <v>13980729</v>
      </c>
      <c r="Q149" s="9">
        <f t="shared" si="49"/>
        <v>0</v>
      </c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  <c r="DO149" s="7"/>
      <c r="DP149" s="7"/>
      <c r="DQ149" s="7"/>
      <c r="DR149" s="7"/>
      <c r="DS149" s="7"/>
      <c r="DT149" s="7"/>
      <c r="DU149" s="7"/>
      <c r="DV149" s="7"/>
      <c r="DW149" s="7"/>
      <c r="DX149" s="7"/>
      <c r="DY149" s="7"/>
      <c r="DZ149" s="7"/>
      <c r="EA149" s="7"/>
      <c r="EB149" s="7"/>
      <c r="EC149" s="7"/>
      <c r="ED149" s="7"/>
      <c r="EE149" s="7"/>
      <c r="EF149" s="7"/>
      <c r="EG149" s="7"/>
      <c r="EH149" s="7"/>
      <c r="EI149" s="7"/>
      <c r="EJ149" s="7"/>
      <c r="EK149" s="7"/>
      <c r="EL149" s="7"/>
      <c r="EM149" s="7"/>
      <c r="EN149" s="7"/>
      <c r="EO149" s="7"/>
      <c r="EP149" s="7"/>
      <c r="EQ149" s="7"/>
      <c r="ER149" s="7"/>
      <c r="ES149" s="7"/>
      <c r="ET149" s="7"/>
      <c r="EU149" s="7"/>
      <c r="EV149" s="7"/>
      <c r="EW149" s="7"/>
      <c r="EX149" s="7"/>
      <c r="EY149" s="7"/>
      <c r="EZ149" s="7"/>
      <c r="FA149" s="7"/>
      <c r="FB149" s="7"/>
      <c r="FC149" s="7"/>
      <c r="FD149" s="7"/>
      <c r="FE149" s="7"/>
      <c r="FF149" s="7"/>
      <c r="FG149" s="7"/>
      <c r="FH149" s="7"/>
      <c r="FI149" s="7"/>
      <c r="FJ149" s="7"/>
      <c r="FK149" s="7"/>
      <c r="FL149" s="7"/>
      <c r="FM149" s="7"/>
      <c r="FN149" s="7"/>
      <c r="FO149" s="7"/>
      <c r="FP149" s="7"/>
      <c r="FQ149" s="7"/>
      <c r="FR149" s="7"/>
      <c r="FS149" s="7"/>
      <c r="FT149" s="7"/>
      <c r="FU149" s="7"/>
      <c r="FV149" s="7"/>
      <c r="FW149" s="7"/>
      <c r="FX149" s="7"/>
      <c r="FY149" s="7"/>
      <c r="FZ149" s="7"/>
      <c r="GA149" s="7"/>
      <c r="GB149" s="7"/>
      <c r="GC149" s="7"/>
      <c r="GD149" s="7"/>
      <c r="GE149" s="7"/>
      <c r="GF149" s="7"/>
      <c r="GG149" s="7"/>
      <c r="GH149" s="7"/>
      <c r="GI149" s="7"/>
      <c r="GJ149" s="7"/>
      <c r="GK149" s="7"/>
      <c r="GL149" s="7"/>
      <c r="GM149" s="7"/>
      <c r="GN149" s="7"/>
      <c r="GO149" s="7"/>
      <c r="GP149" s="7"/>
      <c r="GQ149" s="7"/>
      <c r="GR149" s="7"/>
      <c r="GS149" s="7"/>
      <c r="GT149" s="7"/>
      <c r="GU149" s="7"/>
      <c r="GV149" s="7"/>
      <c r="GW149" s="7"/>
      <c r="GX149" s="7"/>
      <c r="GY149" s="7"/>
      <c r="GZ149" s="7"/>
      <c r="HA149" s="7"/>
      <c r="HB149" s="7"/>
      <c r="HC149" s="7"/>
      <c r="HD149" s="7"/>
      <c r="HE149" s="7"/>
      <c r="HF149" s="7"/>
      <c r="HG149" s="7"/>
      <c r="HH149" s="7"/>
      <c r="HI149" s="7"/>
      <c r="HJ149" s="7"/>
      <c r="HK149" s="7"/>
      <c r="HL149" s="7"/>
      <c r="HM149" s="7"/>
      <c r="HN149" s="7"/>
      <c r="HO149" s="7"/>
      <c r="HP149" s="7"/>
      <c r="HQ149" s="7"/>
      <c r="HR149" s="7"/>
      <c r="HS149" s="7"/>
      <c r="HT149" s="7"/>
      <c r="HU149" s="7"/>
      <c r="HV149" s="7"/>
      <c r="HW149" s="7"/>
      <c r="HX149" s="7"/>
      <c r="HY149" s="7"/>
      <c r="HZ149" s="7"/>
      <c r="IA149" s="7"/>
      <c r="IB149" s="7"/>
      <c r="IC149" s="7"/>
      <c r="ID149" s="7"/>
      <c r="IE149" s="7"/>
      <c r="IF149" s="7"/>
      <c r="IG149" s="7"/>
      <c r="IH149" s="7"/>
      <c r="II149" s="7"/>
      <c r="IJ149" s="7"/>
      <c r="IK149" s="7"/>
      <c r="IL149" s="7"/>
      <c r="IM149" s="7"/>
      <c r="IN149" s="7"/>
      <c r="IO149" s="7"/>
      <c r="IP149" s="7"/>
      <c r="IQ149" s="7"/>
      <c r="IR149" s="7"/>
      <c r="IS149" s="7"/>
      <c r="IT149" s="7"/>
      <c r="IU149" s="7"/>
      <c r="IV149" s="7"/>
      <c r="IW149" s="7"/>
      <c r="IX149" s="7"/>
      <c r="JA149" s="113"/>
      <c r="JB149" s="113"/>
      <c r="JC149" s="113"/>
      <c r="JD149" s="66">
        <f>SUM((TEXT(JA149,"[M]")/60)*'Income Person-hours'!$D$3,(TEXT(JB149,"[M]")/60)*'Income Person-hours'!$D$4,(TEXT(JC149,"[M]")/60)*'Income Person-hours'!$D$5)</f>
        <v>0</v>
      </c>
    </row>
    <row r="150" spans="1:264" s="11" customFormat="1" ht="11.25" hidden="1">
      <c r="A150" s="30">
        <v>6.12</v>
      </c>
      <c r="B150" s="116"/>
      <c r="C150" s="107"/>
      <c r="D150" s="12" t="str">
        <f>IF(OR(j_WEEKDAY(J_ADDDAY(VLOOKUP(I150,A:F,6,FALSE),H150,1),0)=6,SUMIFS(Holieday[ok],Holieday[date],J_ADDDAY(VLOOKUP(I150,A:F,6,FALSE),H150,1)))=FALSE(),J_ADDDAY(VLOOKUP(I150,A:F,6,FALSE),H150,1),IF(OR(j_WEEKDAY(J_ADDDAY(VLOOKUP(I150,A:F,6,FALSE),H150+1,1),0)=6,SUMIFS(Holieday[ok],Holieday[date],J_ADDDAY(VLOOKUP(I150,A:F,6,FALSE),H150+1,1)))=FALSE(),J_ADDDAY(VLOOKUP(I150,A:F,6,FALSE),H150+1,1),IF(OR(j_WEEKDAY(J_ADDDAY(VLOOKUP(I150,A:F,6,FALSE),H150+2,1),0)=6,SUMIFS(Holieday[ok],Holieday[date],J_ADDDAY(VLOOKUP(I150,A:F,6,FALSE),H150+2,1)))=FALSE(),J_ADDDAY(VLOOKUP(I150,A:F,6,FALSE),H150+2,1),IF(OR(j_WEEKDAY(J_ADDDAY(VLOOKUP(I150,A:F,6,FALSE),H150+3,1),0)=6,SUMIFS(Holieday[ok],Holieday[date],J_ADDDAY(VLOOKUP(I150,A:F,6,FALSE),H150+3,1)))=FALSE(),J_ADDDAY(VLOOKUP(I150,A:F,6,FALSE),H150+3,1),IF(OR(j_WEEKDAY(J_ADDDAY(VLOOKUP(I150,A:F,6,FALSE),H150+4,1),0)=6,SUMIFS(Holieday[ok],Holieday[date],J_ADDDAY(VLOOKUP(I150,A:F,6,FALSE),H150+4,1)))=FALSE(),J_ADDDAY(VLOOKUP(I150,A:F,6,FALSE),H150+4,1),J_ADDDAY(VLOOKUP(I150,A:F,6,FALSE),H150+5,1))))))</f>
        <v>1398/07/29</v>
      </c>
      <c r="E150" s="1">
        <f t="shared" si="42"/>
        <v>13980729</v>
      </c>
      <c r="F150" s="12" t="str">
        <f>IF(N150=0,J_SUBDAY(D150,1,1),IF((N150-NETWORKDAYS.INTL(J_GregorianDate(D150,1),J_GregorianDate(J_SUBDAY(J_ADDDAY(D150,N150,1),1,1),1),16,1)-SUMIFS(Holieday[ok],Holieday[date],CONCATENATE("&gt;","=",D150),Holieday[date],CONCATENATE("&lt;","=",J_SUBDAY(J_ADDDAY(D150,N150,1),1,1)))+SUMIFS(Holieday[Friday],Holieday[date],CONCATENATE("&gt;","=",D150),Holieday[date],CONCATENATE("&lt;","=",J_SUBDAY(J_ADDDAY(D150,N150,1),1,1))))=0,J_SUBDAY(J_ADDDAY(D150,N150,1),1,1),IF((N150-NETWORKDAYS.INTL(J_GregorianDate(D150,1),J_GregorianDate(J_SUBDAY(J_ADDDAY(D150,N150,1),1,1),1),16,1)-SUMIFS(Holieday[ok],Holieday[date],CONCATENATE("&gt;","=",D150),Holieday[date],CONCATENATE("&lt;","=",J_SUBDAY(J_ADDDAY(D150,N150,1),1,1)))+SUMIFS(Holieday[Friday],Holieday[date],CONCATENATE("&gt;","=",D150),Holieday[date],CONCATENATE("&lt;","=",J_SUBDAY(J_ADDDAY(D150,N150,1),1,1))))=1,J_SUBDAY(J_ADDDAY(D150,N150+1,1),1,1),IF((N150-NETWORKDAYS.INTL(J_GregorianDate(D150,1),J_GregorianDate(J_SUBDAY(J_ADDDAY(D150,N150,1),1,1),1),16,1)-SUMIFS(Holieday[ok],Holieday[date],CONCATENATE("&gt;","=",D150),Holieday[date],CONCATENATE("&lt;","=",J_SUBDAY(J_ADDDAY(D150,N150,1),1,1)))+SUMIFS(Holieday[Friday],Holieday[date],CONCATENATE("&gt;","=",D150),Holieday[date],CONCATENATE("&lt;","=",J_SUBDAY(J_ADDDAY(D150,N150,1),1,1))))=2,J_SUBDAY(J_ADDDAY(D150,N150+2,1),1,1),J_SUBDAY(J_ADDDAY(D150,N150+3,1),1,1)))))</f>
        <v>1398/07/28</v>
      </c>
      <c r="G150" s="2">
        <f t="shared" si="43"/>
        <v>13980728</v>
      </c>
      <c r="H150" s="109"/>
      <c r="I150" s="110">
        <v>6.3</v>
      </c>
      <c r="J150" s="9">
        <f>j_WEEKDAY(D150,2)</f>
        <v>2</v>
      </c>
      <c r="K150" s="21">
        <f t="shared" si="46"/>
        <v>0</v>
      </c>
      <c r="L150" s="8">
        <f t="shared" si="47"/>
        <v>0</v>
      </c>
      <c r="M150" s="111">
        <v>0</v>
      </c>
      <c r="N150" s="108">
        <v>0</v>
      </c>
      <c r="O150" s="10">
        <f t="shared" si="48"/>
        <v>0</v>
      </c>
      <c r="P150" s="10">
        <f>VALUE(J_normdate(J_ADDDAY($D150,$O150,1)))</f>
        <v>13980729</v>
      </c>
      <c r="Q150" s="9">
        <f t="shared" si="49"/>
        <v>0</v>
      </c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  <c r="DO150" s="7"/>
      <c r="DP150" s="7"/>
      <c r="DQ150" s="7"/>
      <c r="DR150" s="7"/>
      <c r="DS150" s="7"/>
      <c r="DT150" s="7"/>
      <c r="DU150" s="7"/>
      <c r="DV150" s="7"/>
      <c r="DW150" s="7"/>
      <c r="DX150" s="7"/>
      <c r="DY150" s="7"/>
      <c r="DZ150" s="7"/>
      <c r="EA150" s="7"/>
      <c r="EB150" s="7"/>
      <c r="EC150" s="7"/>
      <c r="ED150" s="7"/>
      <c r="EE150" s="7"/>
      <c r="EF150" s="7"/>
      <c r="EG150" s="7"/>
      <c r="EH150" s="7"/>
      <c r="EI150" s="7"/>
      <c r="EJ150" s="7"/>
      <c r="EK150" s="7"/>
      <c r="EL150" s="7"/>
      <c r="EM150" s="7"/>
      <c r="EN150" s="7"/>
      <c r="EO150" s="7"/>
      <c r="EP150" s="7"/>
      <c r="EQ150" s="7"/>
      <c r="ER150" s="7"/>
      <c r="ES150" s="7"/>
      <c r="ET150" s="7"/>
      <c r="EU150" s="7"/>
      <c r="EV150" s="7"/>
      <c r="EW150" s="7"/>
      <c r="EX150" s="7"/>
      <c r="EY150" s="7"/>
      <c r="EZ150" s="7"/>
      <c r="FA150" s="7"/>
      <c r="FB150" s="7"/>
      <c r="FC150" s="7"/>
      <c r="FD150" s="7"/>
      <c r="FE150" s="7"/>
      <c r="FF150" s="7"/>
      <c r="FG150" s="7"/>
      <c r="FH150" s="7"/>
      <c r="FI150" s="7"/>
      <c r="FJ150" s="7"/>
      <c r="FK150" s="7"/>
      <c r="FL150" s="7"/>
      <c r="FM150" s="7"/>
      <c r="FN150" s="7"/>
      <c r="FO150" s="7"/>
      <c r="FP150" s="7"/>
      <c r="FQ150" s="7"/>
      <c r="FR150" s="7"/>
      <c r="FS150" s="7"/>
      <c r="FT150" s="7"/>
      <c r="FU150" s="7"/>
      <c r="FV150" s="7"/>
      <c r="FW150" s="7"/>
      <c r="FX150" s="7"/>
      <c r="FY150" s="7"/>
      <c r="FZ150" s="7"/>
      <c r="GA150" s="7"/>
      <c r="GB150" s="7"/>
      <c r="GC150" s="7"/>
      <c r="GD150" s="7"/>
      <c r="GE150" s="7"/>
      <c r="GF150" s="7"/>
      <c r="GG150" s="7"/>
      <c r="GH150" s="7"/>
      <c r="GI150" s="7"/>
      <c r="GJ150" s="7"/>
      <c r="GK150" s="7"/>
      <c r="GL150" s="7"/>
      <c r="GM150" s="7"/>
      <c r="GN150" s="7"/>
      <c r="GO150" s="7"/>
      <c r="GP150" s="7"/>
      <c r="GQ150" s="7"/>
      <c r="GR150" s="7"/>
      <c r="GS150" s="7"/>
      <c r="GT150" s="7"/>
      <c r="GU150" s="7"/>
      <c r="GV150" s="7"/>
      <c r="GW150" s="7"/>
      <c r="GX150" s="7"/>
      <c r="GY150" s="7"/>
      <c r="GZ150" s="7"/>
      <c r="HA150" s="7"/>
      <c r="HB150" s="7"/>
      <c r="HC150" s="7"/>
      <c r="HD150" s="7"/>
      <c r="HE150" s="7"/>
      <c r="HF150" s="7"/>
      <c r="HG150" s="7"/>
      <c r="HH150" s="7"/>
      <c r="HI150" s="7"/>
      <c r="HJ150" s="7"/>
      <c r="HK150" s="7"/>
      <c r="HL150" s="7"/>
      <c r="HM150" s="7"/>
      <c r="HN150" s="7"/>
      <c r="HO150" s="7"/>
      <c r="HP150" s="7"/>
      <c r="HQ150" s="7"/>
      <c r="HR150" s="7"/>
      <c r="HS150" s="7"/>
      <c r="HT150" s="7"/>
      <c r="HU150" s="7"/>
      <c r="HV150" s="7"/>
      <c r="HW150" s="7"/>
      <c r="HX150" s="7"/>
      <c r="HY150" s="7"/>
      <c r="HZ150" s="7"/>
      <c r="IA150" s="7"/>
      <c r="IB150" s="7"/>
      <c r="IC150" s="7"/>
      <c r="ID150" s="7"/>
      <c r="IE150" s="7"/>
      <c r="IF150" s="7"/>
      <c r="IG150" s="7"/>
      <c r="IH150" s="7"/>
      <c r="II150" s="7"/>
      <c r="IJ150" s="7"/>
      <c r="IK150" s="7"/>
      <c r="IL150" s="7"/>
      <c r="IM150" s="7"/>
      <c r="IN150" s="7"/>
      <c r="IO150" s="7"/>
      <c r="IP150" s="7"/>
      <c r="IQ150" s="7"/>
      <c r="IR150" s="7"/>
      <c r="IS150" s="7"/>
      <c r="IT150" s="7"/>
      <c r="IU150" s="7"/>
      <c r="IV150" s="7"/>
      <c r="IW150" s="7"/>
      <c r="IX150" s="7"/>
      <c r="JA150" s="113"/>
      <c r="JB150" s="113"/>
      <c r="JC150" s="113"/>
      <c r="JD150" s="66">
        <f>SUM((TEXT(JA150,"[M]")/60)*'Income Person-hours'!$D$3,(TEXT(JB150,"[M]")/60)*'Income Person-hours'!$D$4,(TEXT(JC150,"[M]")/60)*'Income Person-hours'!$D$5)</f>
        <v>0</v>
      </c>
    </row>
    <row r="151" spans="1:264" s="11" customFormat="1" ht="11.25" hidden="1">
      <c r="A151" s="30">
        <v>6.13</v>
      </c>
      <c r="B151" s="116"/>
      <c r="C151" s="107"/>
      <c r="D151" s="12" t="str">
        <f>IF(OR(j_WEEKDAY(J_ADDDAY(VLOOKUP(I151,A:F,6,FALSE),H151,1),0)=6,SUMIFS(Holieday[ok],Holieday[date],J_ADDDAY(VLOOKUP(I151,A:F,6,FALSE),H151,1)))=FALSE(),J_ADDDAY(VLOOKUP(I151,A:F,6,FALSE),H151,1),IF(OR(j_WEEKDAY(J_ADDDAY(VLOOKUP(I151,A:F,6,FALSE),H151+1,1),0)=6,SUMIFS(Holieday[ok],Holieday[date],J_ADDDAY(VLOOKUP(I151,A:F,6,FALSE),H151+1,1)))=FALSE(),J_ADDDAY(VLOOKUP(I151,A:F,6,FALSE),H151+1,1),IF(OR(j_WEEKDAY(J_ADDDAY(VLOOKUP(I151,A:F,6,FALSE),H151+2,1),0)=6,SUMIFS(Holieday[ok],Holieday[date],J_ADDDAY(VLOOKUP(I151,A:F,6,FALSE),H151+2,1)))=FALSE(),J_ADDDAY(VLOOKUP(I151,A:F,6,FALSE),H151+2,1),IF(OR(j_WEEKDAY(J_ADDDAY(VLOOKUP(I151,A:F,6,FALSE),H151+3,1),0)=6,SUMIFS(Holieday[ok],Holieday[date],J_ADDDAY(VLOOKUP(I151,A:F,6,FALSE),H151+3,1)))=FALSE(),J_ADDDAY(VLOOKUP(I151,A:F,6,FALSE),H151+3,1),IF(OR(j_WEEKDAY(J_ADDDAY(VLOOKUP(I151,A:F,6,FALSE),H151+4,1),0)=6,SUMIFS(Holieday[ok],Holieday[date],J_ADDDAY(VLOOKUP(I151,A:F,6,FALSE),H151+4,1)))=FALSE(),J_ADDDAY(VLOOKUP(I151,A:F,6,FALSE),H151+4,1),J_ADDDAY(VLOOKUP(I151,A:F,6,FALSE),H151+5,1))))))</f>
        <v>1398/07/29</v>
      </c>
      <c r="E151" s="1">
        <f t="shared" si="42"/>
        <v>13980729</v>
      </c>
      <c r="F151" s="12" t="str">
        <f>IF(N151=0,J_SUBDAY(D151,1,1),IF((N151-NETWORKDAYS.INTL(J_GregorianDate(D151,1),J_GregorianDate(J_SUBDAY(J_ADDDAY(D151,N151,1),1,1),1),16,1)-SUMIFS(Holieday[ok],Holieday[date],CONCATENATE("&gt;","=",D151),Holieday[date],CONCATENATE("&lt;","=",J_SUBDAY(J_ADDDAY(D151,N151,1),1,1)))+SUMIFS(Holieday[Friday],Holieday[date],CONCATENATE("&gt;","=",D151),Holieday[date],CONCATENATE("&lt;","=",J_SUBDAY(J_ADDDAY(D151,N151,1),1,1))))=0,J_SUBDAY(J_ADDDAY(D151,N151,1),1,1),IF((N151-NETWORKDAYS.INTL(J_GregorianDate(D151,1),J_GregorianDate(J_SUBDAY(J_ADDDAY(D151,N151,1),1,1),1),16,1)-SUMIFS(Holieday[ok],Holieday[date],CONCATENATE("&gt;","=",D151),Holieday[date],CONCATENATE("&lt;","=",J_SUBDAY(J_ADDDAY(D151,N151,1),1,1)))+SUMIFS(Holieday[Friday],Holieday[date],CONCATENATE("&gt;","=",D151),Holieday[date],CONCATENATE("&lt;","=",J_SUBDAY(J_ADDDAY(D151,N151,1),1,1))))=1,J_SUBDAY(J_ADDDAY(D151,N151+1,1),1,1),IF((N151-NETWORKDAYS.INTL(J_GregorianDate(D151,1),J_GregorianDate(J_SUBDAY(J_ADDDAY(D151,N151,1),1,1),1),16,1)-SUMIFS(Holieday[ok],Holieday[date],CONCATENATE("&gt;","=",D151),Holieday[date],CONCATENATE("&lt;","=",J_SUBDAY(J_ADDDAY(D151,N151,1),1,1)))+SUMIFS(Holieday[Friday],Holieday[date],CONCATENATE("&gt;","=",D151),Holieday[date],CONCATENATE("&lt;","=",J_SUBDAY(J_ADDDAY(D151,N151,1),1,1))))=2,J_SUBDAY(J_ADDDAY(D151,N151+2,1),1,1),J_SUBDAY(J_ADDDAY(D151,N151+3,1),1,1)))))</f>
        <v>1398/07/28</v>
      </c>
      <c r="G151" s="2">
        <f t="shared" si="43"/>
        <v>13980728</v>
      </c>
      <c r="H151" s="109"/>
      <c r="I151" s="110">
        <v>6.3</v>
      </c>
      <c r="J151" s="9">
        <f>j_WEEKDAY(D151,2)</f>
        <v>2</v>
      </c>
      <c r="K151" s="21">
        <f t="shared" si="46"/>
        <v>0</v>
      </c>
      <c r="L151" s="8">
        <f t="shared" si="47"/>
        <v>0</v>
      </c>
      <c r="M151" s="111">
        <v>0</v>
      </c>
      <c r="N151" s="108">
        <v>0</v>
      </c>
      <c r="O151" s="10">
        <f t="shared" si="48"/>
        <v>0</v>
      </c>
      <c r="P151" s="10">
        <f>VALUE(J_normdate(J_ADDDAY($D151,$O151,1)))</f>
        <v>13980729</v>
      </c>
      <c r="Q151" s="9">
        <f t="shared" si="49"/>
        <v>0</v>
      </c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  <c r="DO151" s="7"/>
      <c r="DP151" s="7"/>
      <c r="DQ151" s="7"/>
      <c r="DR151" s="7"/>
      <c r="DS151" s="7"/>
      <c r="DT151" s="7"/>
      <c r="DU151" s="7"/>
      <c r="DV151" s="7"/>
      <c r="DW151" s="7"/>
      <c r="DX151" s="7"/>
      <c r="DY151" s="7"/>
      <c r="DZ151" s="7"/>
      <c r="EA151" s="7"/>
      <c r="EB151" s="7"/>
      <c r="EC151" s="7"/>
      <c r="ED151" s="7"/>
      <c r="EE151" s="7"/>
      <c r="EF151" s="7"/>
      <c r="EG151" s="7"/>
      <c r="EH151" s="7"/>
      <c r="EI151" s="7"/>
      <c r="EJ151" s="7"/>
      <c r="EK151" s="7"/>
      <c r="EL151" s="7"/>
      <c r="EM151" s="7"/>
      <c r="EN151" s="7"/>
      <c r="EO151" s="7"/>
      <c r="EP151" s="7"/>
      <c r="EQ151" s="7"/>
      <c r="ER151" s="7"/>
      <c r="ES151" s="7"/>
      <c r="ET151" s="7"/>
      <c r="EU151" s="7"/>
      <c r="EV151" s="7"/>
      <c r="EW151" s="7"/>
      <c r="EX151" s="7"/>
      <c r="EY151" s="7"/>
      <c r="EZ151" s="7"/>
      <c r="FA151" s="7"/>
      <c r="FB151" s="7"/>
      <c r="FC151" s="7"/>
      <c r="FD151" s="7"/>
      <c r="FE151" s="7"/>
      <c r="FF151" s="7"/>
      <c r="FG151" s="7"/>
      <c r="FH151" s="7"/>
      <c r="FI151" s="7"/>
      <c r="FJ151" s="7"/>
      <c r="FK151" s="7"/>
      <c r="FL151" s="7"/>
      <c r="FM151" s="7"/>
      <c r="FN151" s="7"/>
      <c r="FO151" s="7"/>
      <c r="FP151" s="7"/>
      <c r="FQ151" s="7"/>
      <c r="FR151" s="7"/>
      <c r="FS151" s="7"/>
      <c r="FT151" s="7"/>
      <c r="FU151" s="7"/>
      <c r="FV151" s="7"/>
      <c r="FW151" s="7"/>
      <c r="FX151" s="7"/>
      <c r="FY151" s="7"/>
      <c r="FZ151" s="7"/>
      <c r="GA151" s="7"/>
      <c r="GB151" s="7"/>
      <c r="GC151" s="7"/>
      <c r="GD151" s="7"/>
      <c r="GE151" s="7"/>
      <c r="GF151" s="7"/>
      <c r="GG151" s="7"/>
      <c r="GH151" s="7"/>
      <c r="GI151" s="7"/>
      <c r="GJ151" s="7"/>
      <c r="GK151" s="7"/>
      <c r="GL151" s="7"/>
      <c r="GM151" s="7"/>
      <c r="GN151" s="7"/>
      <c r="GO151" s="7"/>
      <c r="GP151" s="7"/>
      <c r="GQ151" s="7"/>
      <c r="GR151" s="7"/>
      <c r="GS151" s="7"/>
      <c r="GT151" s="7"/>
      <c r="GU151" s="7"/>
      <c r="GV151" s="7"/>
      <c r="GW151" s="7"/>
      <c r="GX151" s="7"/>
      <c r="GY151" s="7"/>
      <c r="GZ151" s="7"/>
      <c r="HA151" s="7"/>
      <c r="HB151" s="7"/>
      <c r="HC151" s="7"/>
      <c r="HD151" s="7"/>
      <c r="HE151" s="7"/>
      <c r="HF151" s="7"/>
      <c r="HG151" s="7"/>
      <c r="HH151" s="7"/>
      <c r="HI151" s="7"/>
      <c r="HJ151" s="7"/>
      <c r="HK151" s="7"/>
      <c r="HL151" s="7"/>
      <c r="HM151" s="7"/>
      <c r="HN151" s="7"/>
      <c r="HO151" s="7"/>
      <c r="HP151" s="7"/>
      <c r="HQ151" s="7"/>
      <c r="HR151" s="7"/>
      <c r="HS151" s="7"/>
      <c r="HT151" s="7"/>
      <c r="HU151" s="7"/>
      <c r="HV151" s="7"/>
      <c r="HW151" s="7"/>
      <c r="HX151" s="7"/>
      <c r="HY151" s="7"/>
      <c r="HZ151" s="7"/>
      <c r="IA151" s="7"/>
      <c r="IB151" s="7"/>
      <c r="IC151" s="7"/>
      <c r="ID151" s="7"/>
      <c r="IE151" s="7"/>
      <c r="IF151" s="7"/>
      <c r="IG151" s="7"/>
      <c r="IH151" s="7"/>
      <c r="II151" s="7"/>
      <c r="IJ151" s="7"/>
      <c r="IK151" s="7"/>
      <c r="IL151" s="7"/>
      <c r="IM151" s="7"/>
      <c r="IN151" s="7"/>
      <c r="IO151" s="7"/>
      <c r="IP151" s="7"/>
      <c r="IQ151" s="7"/>
      <c r="IR151" s="7"/>
      <c r="IS151" s="7"/>
      <c r="IT151" s="7"/>
      <c r="IU151" s="7"/>
      <c r="IV151" s="7"/>
      <c r="IW151" s="7"/>
      <c r="IX151" s="7"/>
      <c r="JA151" s="113"/>
      <c r="JB151" s="113"/>
      <c r="JC151" s="113"/>
      <c r="JD151" s="66">
        <f>SUM((TEXT(JA151,"[M]")/60)*'Income Person-hours'!$D$3,(TEXT(JB151,"[M]")/60)*'Income Person-hours'!$D$4,(TEXT(JC151,"[M]")/60)*'Income Person-hours'!$D$5)</f>
        <v>0</v>
      </c>
    </row>
    <row r="152" spans="1:264" s="11" customFormat="1" ht="11.25" hidden="1">
      <c r="A152" s="30">
        <v>6.14</v>
      </c>
      <c r="B152" s="116"/>
      <c r="C152" s="107"/>
      <c r="D152" s="12" t="str">
        <f>IF(OR(j_WEEKDAY(J_ADDDAY(VLOOKUP(I152,A:F,6,FALSE),H152,1),0)=6,SUMIFS(Holieday[ok],Holieday[date],J_ADDDAY(VLOOKUP(I152,A:F,6,FALSE),H152,1)))=FALSE(),J_ADDDAY(VLOOKUP(I152,A:F,6,FALSE),H152,1),IF(OR(j_WEEKDAY(J_ADDDAY(VLOOKUP(I152,A:F,6,FALSE),H152+1,1),0)=6,SUMIFS(Holieday[ok],Holieday[date],J_ADDDAY(VLOOKUP(I152,A:F,6,FALSE),H152+1,1)))=FALSE(),J_ADDDAY(VLOOKUP(I152,A:F,6,FALSE),H152+1,1),IF(OR(j_WEEKDAY(J_ADDDAY(VLOOKUP(I152,A:F,6,FALSE),H152+2,1),0)=6,SUMIFS(Holieday[ok],Holieday[date],J_ADDDAY(VLOOKUP(I152,A:F,6,FALSE),H152+2,1)))=FALSE(),J_ADDDAY(VLOOKUP(I152,A:F,6,FALSE),H152+2,1),IF(OR(j_WEEKDAY(J_ADDDAY(VLOOKUP(I152,A:F,6,FALSE),H152+3,1),0)=6,SUMIFS(Holieday[ok],Holieday[date],J_ADDDAY(VLOOKUP(I152,A:F,6,FALSE),H152+3,1)))=FALSE(),J_ADDDAY(VLOOKUP(I152,A:F,6,FALSE),H152+3,1),IF(OR(j_WEEKDAY(J_ADDDAY(VLOOKUP(I152,A:F,6,FALSE),H152+4,1),0)=6,SUMIFS(Holieday[ok],Holieday[date],J_ADDDAY(VLOOKUP(I152,A:F,6,FALSE),H152+4,1)))=FALSE(),J_ADDDAY(VLOOKUP(I152,A:F,6,FALSE),H152+4,1),J_ADDDAY(VLOOKUP(I152,A:F,6,FALSE),H152+5,1))))))</f>
        <v>1398/07/29</v>
      </c>
      <c r="E152" s="1">
        <f t="shared" si="42"/>
        <v>13980729</v>
      </c>
      <c r="F152" s="12" t="str">
        <f>IF(N152=0,J_SUBDAY(D152,1,1),IF((N152-NETWORKDAYS.INTL(J_GregorianDate(D152,1),J_GregorianDate(J_SUBDAY(J_ADDDAY(D152,N152,1),1,1),1),16,1)-SUMIFS(Holieday[ok],Holieday[date],CONCATENATE("&gt;","=",D152),Holieday[date],CONCATENATE("&lt;","=",J_SUBDAY(J_ADDDAY(D152,N152,1),1,1)))+SUMIFS(Holieday[Friday],Holieday[date],CONCATENATE("&gt;","=",D152),Holieday[date],CONCATENATE("&lt;","=",J_SUBDAY(J_ADDDAY(D152,N152,1),1,1))))=0,J_SUBDAY(J_ADDDAY(D152,N152,1),1,1),IF((N152-NETWORKDAYS.INTL(J_GregorianDate(D152,1),J_GregorianDate(J_SUBDAY(J_ADDDAY(D152,N152,1),1,1),1),16,1)-SUMIFS(Holieday[ok],Holieday[date],CONCATENATE("&gt;","=",D152),Holieday[date],CONCATENATE("&lt;","=",J_SUBDAY(J_ADDDAY(D152,N152,1),1,1)))+SUMIFS(Holieday[Friday],Holieday[date],CONCATENATE("&gt;","=",D152),Holieday[date],CONCATENATE("&lt;","=",J_SUBDAY(J_ADDDAY(D152,N152,1),1,1))))=1,J_SUBDAY(J_ADDDAY(D152,N152+1,1),1,1),IF((N152-NETWORKDAYS.INTL(J_GregorianDate(D152,1),J_GregorianDate(J_SUBDAY(J_ADDDAY(D152,N152,1),1,1),1),16,1)-SUMIFS(Holieday[ok],Holieday[date],CONCATENATE("&gt;","=",D152),Holieday[date],CONCATENATE("&lt;","=",J_SUBDAY(J_ADDDAY(D152,N152,1),1,1)))+SUMIFS(Holieday[Friday],Holieday[date],CONCATENATE("&gt;","=",D152),Holieday[date],CONCATENATE("&lt;","=",J_SUBDAY(J_ADDDAY(D152,N152,1),1,1))))=2,J_SUBDAY(J_ADDDAY(D152,N152+2,1),1,1),J_SUBDAY(J_ADDDAY(D152,N152+3,1),1,1)))))</f>
        <v>1398/07/28</v>
      </c>
      <c r="G152" s="2">
        <f t="shared" si="43"/>
        <v>13980728</v>
      </c>
      <c r="H152" s="109"/>
      <c r="I152" s="110">
        <v>6.3</v>
      </c>
      <c r="J152" s="9">
        <f>j_WEEKDAY(D152,2)</f>
        <v>2</v>
      </c>
      <c r="K152" s="21">
        <f t="shared" si="46"/>
        <v>0</v>
      </c>
      <c r="L152" s="8">
        <f t="shared" si="47"/>
        <v>0</v>
      </c>
      <c r="M152" s="111">
        <v>0</v>
      </c>
      <c r="N152" s="108">
        <v>0</v>
      </c>
      <c r="O152" s="10">
        <f t="shared" si="48"/>
        <v>0</v>
      </c>
      <c r="P152" s="10">
        <f>VALUE(J_normdate(J_ADDDAY($D152,$O152,1)))</f>
        <v>13980729</v>
      </c>
      <c r="Q152" s="9">
        <f t="shared" si="49"/>
        <v>0</v>
      </c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  <c r="DO152" s="7"/>
      <c r="DP152" s="7"/>
      <c r="DQ152" s="7"/>
      <c r="DR152" s="7"/>
      <c r="DS152" s="7"/>
      <c r="DT152" s="7"/>
      <c r="DU152" s="7"/>
      <c r="DV152" s="7"/>
      <c r="DW152" s="7"/>
      <c r="DX152" s="7"/>
      <c r="DY152" s="7"/>
      <c r="DZ152" s="7"/>
      <c r="EA152" s="7"/>
      <c r="EB152" s="7"/>
      <c r="EC152" s="7"/>
      <c r="ED152" s="7"/>
      <c r="EE152" s="7"/>
      <c r="EF152" s="7"/>
      <c r="EG152" s="7"/>
      <c r="EH152" s="7"/>
      <c r="EI152" s="7"/>
      <c r="EJ152" s="7"/>
      <c r="EK152" s="7"/>
      <c r="EL152" s="7"/>
      <c r="EM152" s="7"/>
      <c r="EN152" s="7"/>
      <c r="EO152" s="7"/>
      <c r="EP152" s="7"/>
      <c r="EQ152" s="7"/>
      <c r="ER152" s="7"/>
      <c r="ES152" s="7"/>
      <c r="ET152" s="7"/>
      <c r="EU152" s="7"/>
      <c r="EV152" s="7"/>
      <c r="EW152" s="7"/>
      <c r="EX152" s="7"/>
      <c r="EY152" s="7"/>
      <c r="EZ152" s="7"/>
      <c r="FA152" s="7"/>
      <c r="FB152" s="7"/>
      <c r="FC152" s="7"/>
      <c r="FD152" s="7"/>
      <c r="FE152" s="7"/>
      <c r="FF152" s="7"/>
      <c r="FG152" s="7"/>
      <c r="FH152" s="7"/>
      <c r="FI152" s="7"/>
      <c r="FJ152" s="7"/>
      <c r="FK152" s="7"/>
      <c r="FL152" s="7"/>
      <c r="FM152" s="7"/>
      <c r="FN152" s="7"/>
      <c r="FO152" s="7"/>
      <c r="FP152" s="7"/>
      <c r="FQ152" s="7"/>
      <c r="FR152" s="7"/>
      <c r="FS152" s="7"/>
      <c r="FT152" s="7"/>
      <c r="FU152" s="7"/>
      <c r="FV152" s="7"/>
      <c r="FW152" s="7"/>
      <c r="FX152" s="7"/>
      <c r="FY152" s="7"/>
      <c r="FZ152" s="7"/>
      <c r="GA152" s="7"/>
      <c r="GB152" s="7"/>
      <c r="GC152" s="7"/>
      <c r="GD152" s="7"/>
      <c r="GE152" s="7"/>
      <c r="GF152" s="7"/>
      <c r="GG152" s="7"/>
      <c r="GH152" s="7"/>
      <c r="GI152" s="7"/>
      <c r="GJ152" s="7"/>
      <c r="GK152" s="7"/>
      <c r="GL152" s="7"/>
      <c r="GM152" s="7"/>
      <c r="GN152" s="7"/>
      <c r="GO152" s="7"/>
      <c r="GP152" s="7"/>
      <c r="GQ152" s="7"/>
      <c r="GR152" s="7"/>
      <c r="GS152" s="7"/>
      <c r="GT152" s="7"/>
      <c r="GU152" s="7"/>
      <c r="GV152" s="7"/>
      <c r="GW152" s="7"/>
      <c r="GX152" s="7"/>
      <c r="GY152" s="7"/>
      <c r="GZ152" s="7"/>
      <c r="HA152" s="7"/>
      <c r="HB152" s="7"/>
      <c r="HC152" s="7"/>
      <c r="HD152" s="7"/>
      <c r="HE152" s="7"/>
      <c r="HF152" s="7"/>
      <c r="HG152" s="7"/>
      <c r="HH152" s="7"/>
      <c r="HI152" s="7"/>
      <c r="HJ152" s="7"/>
      <c r="HK152" s="7"/>
      <c r="HL152" s="7"/>
      <c r="HM152" s="7"/>
      <c r="HN152" s="7"/>
      <c r="HO152" s="7"/>
      <c r="HP152" s="7"/>
      <c r="HQ152" s="7"/>
      <c r="HR152" s="7"/>
      <c r="HS152" s="7"/>
      <c r="HT152" s="7"/>
      <c r="HU152" s="7"/>
      <c r="HV152" s="7"/>
      <c r="HW152" s="7"/>
      <c r="HX152" s="7"/>
      <c r="HY152" s="7"/>
      <c r="HZ152" s="7"/>
      <c r="IA152" s="7"/>
      <c r="IB152" s="7"/>
      <c r="IC152" s="7"/>
      <c r="ID152" s="7"/>
      <c r="IE152" s="7"/>
      <c r="IF152" s="7"/>
      <c r="IG152" s="7"/>
      <c r="IH152" s="7"/>
      <c r="II152" s="7"/>
      <c r="IJ152" s="7"/>
      <c r="IK152" s="7"/>
      <c r="IL152" s="7"/>
      <c r="IM152" s="7"/>
      <c r="IN152" s="7"/>
      <c r="IO152" s="7"/>
      <c r="IP152" s="7"/>
      <c r="IQ152" s="7"/>
      <c r="IR152" s="7"/>
      <c r="IS152" s="7"/>
      <c r="IT152" s="7"/>
      <c r="IU152" s="7"/>
      <c r="IV152" s="7"/>
      <c r="IW152" s="7"/>
      <c r="IX152" s="7"/>
      <c r="JA152" s="113"/>
      <c r="JB152" s="113"/>
      <c r="JC152" s="113"/>
      <c r="JD152" s="66">
        <f>SUM((TEXT(JA152,"[M]")/60)*'Income Person-hours'!$D$3,(TEXT(JB152,"[M]")/60)*'Income Person-hours'!$D$4,(TEXT(JC152,"[M]")/60)*'Income Person-hours'!$D$5)</f>
        <v>0</v>
      </c>
    </row>
    <row r="153" spans="1:264" s="11" customFormat="1" ht="11.25" hidden="1">
      <c r="A153" s="30">
        <v>6.15</v>
      </c>
      <c r="B153" s="116"/>
      <c r="C153" s="107"/>
      <c r="D153" s="12" t="str">
        <f>IF(OR(j_WEEKDAY(J_ADDDAY(VLOOKUP(I153,A:F,6,FALSE),H153,1),0)=6,SUMIFS(Holieday[ok],Holieday[date],J_ADDDAY(VLOOKUP(I153,A:F,6,FALSE),H153,1)))=FALSE(),J_ADDDAY(VLOOKUP(I153,A:F,6,FALSE),H153,1),IF(OR(j_WEEKDAY(J_ADDDAY(VLOOKUP(I153,A:F,6,FALSE),H153+1,1),0)=6,SUMIFS(Holieday[ok],Holieday[date],J_ADDDAY(VLOOKUP(I153,A:F,6,FALSE),H153+1,1)))=FALSE(),J_ADDDAY(VLOOKUP(I153,A:F,6,FALSE),H153+1,1),IF(OR(j_WEEKDAY(J_ADDDAY(VLOOKUP(I153,A:F,6,FALSE),H153+2,1),0)=6,SUMIFS(Holieday[ok],Holieday[date],J_ADDDAY(VLOOKUP(I153,A:F,6,FALSE),H153+2,1)))=FALSE(),J_ADDDAY(VLOOKUP(I153,A:F,6,FALSE),H153+2,1),IF(OR(j_WEEKDAY(J_ADDDAY(VLOOKUP(I153,A:F,6,FALSE),H153+3,1),0)=6,SUMIFS(Holieday[ok],Holieday[date],J_ADDDAY(VLOOKUP(I153,A:F,6,FALSE),H153+3,1)))=FALSE(),J_ADDDAY(VLOOKUP(I153,A:F,6,FALSE),H153+3,1),IF(OR(j_WEEKDAY(J_ADDDAY(VLOOKUP(I153,A:F,6,FALSE),H153+4,1),0)=6,SUMIFS(Holieday[ok],Holieday[date],J_ADDDAY(VLOOKUP(I153,A:F,6,FALSE),H153+4,1)))=FALSE(),J_ADDDAY(VLOOKUP(I153,A:F,6,FALSE),H153+4,1),J_ADDDAY(VLOOKUP(I153,A:F,6,FALSE),H153+5,1))))))</f>
        <v>1398/07/29</v>
      </c>
      <c r="E153" s="1">
        <f t="shared" si="42"/>
        <v>13980729</v>
      </c>
      <c r="F153" s="12" t="str">
        <f>IF(N153=0,J_SUBDAY(D153,1,1),IF((N153-NETWORKDAYS.INTL(J_GregorianDate(D153,1),J_GregorianDate(J_SUBDAY(J_ADDDAY(D153,N153,1),1,1),1),16,1)-SUMIFS(Holieday[ok],Holieday[date],CONCATENATE("&gt;","=",D153),Holieday[date],CONCATENATE("&lt;","=",J_SUBDAY(J_ADDDAY(D153,N153,1),1,1)))+SUMIFS(Holieday[Friday],Holieday[date],CONCATENATE("&gt;","=",D153),Holieday[date],CONCATENATE("&lt;","=",J_SUBDAY(J_ADDDAY(D153,N153,1),1,1))))=0,J_SUBDAY(J_ADDDAY(D153,N153,1),1,1),IF((N153-NETWORKDAYS.INTL(J_GregorianDate(D153,1),J_GregorianDate(J_SUBDAY(J_ADDDAY(D153,N153,1),1,1),1),16,1)-SUMIFS(Holieday[ok],Holieday[date],CONCATENATE("&gt;","=",D153),Holieday[date],CONCATENATE("&lt;","=",J_SUBDAY(J_ADDDAY(D153,N153,1),1,1)))+SUMIFS(Holieday[Friday],Holieday[date],CONCATENATE("&gt;","=",D153),Holieday[date],CONCATENATE("&lt;","=",J_SUBDAY(J_ADDDAY(D153,N153,1),1,1))))=1,J_SUBDAY(J_ADDDAY(D153,N153+1,1),1,1),IF((N153-NETWORKDAYS.INTL(J_GregorianDate(D153,1),J_GregorianDate(J_SUBDAY(J_ADDDAY(D153,N153,1),1,1),1),16,1)-SUMIFS(Holieday[ok],Holieday[date],CONCATENATE("&gt;","=",D153),Holieday[date],CONCATENATE("&lt;","=",J_SUBDAY(J_ADDDAY(D153,N153,1),1,1)))+SUMIFS(Holieday[Friday],Holieday[date],CONCATENATE("&gt;","=",D153),Holieday[date],CONCATENATE("&lt;","=",J_SUBDAY(J_ADDDAY(D153,N153,1),1,1))))=2,J_SUBDAY(J_ADDDAY(D153,N153+2,1),1,1),J_SUBDAY(J_ADDDAY(D153,N153+3,1),1,1)))))</f>
        <v>1398/07/28</v>
      </c>
      <c r="G153" s="2">
        <f t="shared" si="43"/>
        <v>13980728</v>
      </c>
      <c r="H153" s="109"/>
      <c r="I153" s="110">
        <v>6.3</v>
      </c>
      <c r="J153" s="9">
        <f>j_WEEKDAY(D153,2)</f>
        <v>2</v>
      </c>
      <c r="K153" s="21">
        <f t="shared" si="46"/>
        <v>0</v>
      </c>
      <c r="L153" s="8">
        <f t="shared" si="47"/>
        <v>0</v>
      </c>
      <c r="M153" s="111">
        <v>0</v>
      </c>
      <c r="N153" s="108">
        <v>0</v>
      </c>
      <c r="O153" s="10">
        <f t="shared" si="48"/>
        <v>0</v>
      </c>
      <c r="P153" s="10">
        <f>VALUE(J_normdate(J_ADDDAY($D153,$O153,1)))</f>
        <v>13980729</v>
      </c>
      <c r="Q153" s="9">
        <f t="shared" si="49"/>
        <v>0</v>
      </c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  <c r="DO153" s="7"/>
      <c r="DP153" s="7"/>
      <c r="DQ153" s="7"/>
      <c r="DR153" s="7"/>
      <c r="DS153" s="7"/>
      <c r="DT153" s="7"/>
      <c r="DU153" s="7"/>
      <c r="DV153" s="7"/>
      <c r="DW153" s="7"/>
      <c r="DX153" s="7"/>
      <c r="DY153" s="7"/>
      <c r="DZ153" s="7"/>
      <c r="EA153" s="7"/>
      <c r="EB153" s="7"/>
      <c r="EC153" s="7"/>
      <c r="ED153" s="7"/>
      <c r="EE153" s="7"/>
      <c r="EF153" s="7"/>
      <c r="EG153" s="7"/>
      <c r="EH153" s="7"/>
      <c r="EI153" s="7"/>
      <c r="EJ153" s="7"/>
      <c r="EK153" s="7"/>
      <c r="EL153" s="7"/>
      <c r="EM153" s="7"/>
      <c r="EN153" s="7"/>
      <c r="EO153" s="7"/>
      <c r="EP153" s="7"/>
      <c r="EQ153" s="7"/>
      <c r="ER153" s="7"/>
      <c r="ES153" s="7"/>
      <c r="ET153" s="7"/>
      <c r="EU153" s="7"/>
      <c r="EV153" s="7"/>
      <c r="EW153" s="7"/>
      <c r="EX153" s="7"/>
      <c r="EY153" s="7"/>
      <c r="EZ153" s="7"/>
      <c r="FA153" s="7"/>
      <c r="FB153" s="7"/>
      <c r="FC153" s="7"/>
      <c r="FD153" s="7"/>
      <c r="FE153" s="7"/>
      <c r="FF153" s="7"/>
      <c r="FG153" s="7"/>
      <c r="FH153" s="7"/>
      <c r="FI153" s="7"/>
      <c r="FJ153" s="7"/>
      <c r="FK153" s="7"/>
      <c r="FL153" s="7"/>
      <c r="FM153" s="7"/>
      <c r="FN153" s="7"/>
      <c r="FO153" s="7"/>
      <c r="FP153" s="7"/>
      <c r="FQ153" s="7"/>
      <c r="FR153" s="7"/>
      <c r="FS153" s="7"/>
      <c r="FT153" s="7"/>
      <c r="FU153" s="7"/>
      <c r="FV153" s="7"/>
      <c r="FW153" s="7"/>
      <c r="FX153" s="7"/>
      <c r="FY153" s="7"/>
      <c r="FZ153" s="7"/>
      <c r="GA153" s="7"/>
      <c r="GB153" s="7"/>
      <c r="GC153" s="7"/>
      <c r="GD153" s="7"/>
      <c r="GE153" s="7"/>
      <c r="GF153" s="7"/>
      <c r="GG153" s="7"/>
      <c r="GH153" s="7"/>
      <c r="GI153" s="7"/>
      <c r="GJ153" s="7"/>
      <c r="GK153" s="7"/>
      <c r="GL153" s="7"/>
      <c r="GM153" s="7"/>
      <c r="GN153" s="7"/>
      <c r="GO153" s="7"/>
      <c r="GP153" s="7"/>
      <c r="GQ153" s="7"/>
      <c r="GR153" s="7"/>
      <c r="GS153" s="7"/>
      <c r="GT153" s="7"/>
      <c r="GU153" s="7"/>
      <c r="GV153" s="7"/>
      <c r="GW153" s="7"/>
      <c r="GX153" s="7"/>
      <c r="GY153" s="7"/>
      <c r="GZ153" s="7"/>
      <c r="HA153" s="7"/>
      <c r="HB153" s="7"/>
      <c r="HC153" s="7"/>
      <c r="HD153" s="7"/>
      <c r="HE153" s="7"/>
      <c r="HF153" s="7"/>
      <c r="HG153" s="7"/>
      <c r="HH153" s="7"/>
      <c r="HI153" s="7"/>
      <c r="HJ153" s="7"/>
      <c r="HK153" s="7"/>
      <c r="HL153" s="7"/>
      <c r="HM153" s="7"/>
      <c r="HN153" s="7"/>
      <c r="HO153" s="7"/>
      <c r="HP153" s="7"/>
      <c r="HQ153" s="7"/>
      <c r="HR153" s="7"/>
      <c r="HS153" s="7"/>
      <c r="HT153" s="7"/>
      <c r="HU153" s="7"/>
      <c r="HV153" s="7"/>
      <c r="HW153" s="7"/>
      <c r="HX153" s="7"/>
      <c r="HY153" s="7"/>
      <c r="HZ153" s="7"/>
      <c r="IA153" s="7"/>
      <c r="IB153" s="7"/>
      <c r="IC153" s="7"/>
      <c r="ID153" s="7"/>
      <c r="IE153" s="7"/>
      <c r="IF153" s="7"/>
      <c r="IG153" s="7"/>
      <c r="IH153" s="7"/>
      <c r="II153" s="7"/>
      <c r="IJ153" s="7"/>
      <c r="IK153" s="7"/>
      <c r="IL153" s="7"/>
      <c r="IM153" s="7"/>
      <c r="IN153" s="7"/>
      <c r="IO153" s="7"/>
      <c r="IP153" s="7"/>
      <c r="IQ153" s="7"/>
      <c r="IR153" s="7"/>
      <c r="IS153" s="7"/>
      <c r="IT153" s="7"/>
      <c r="IU153" s="7"/>
      <c r="IV153" s="7"/>
      <c r="IW153" s="7"/>
      <c r="IX153" s="7"/>
      <c r="JA153" s="113"/>
      <c r="JB153" s="113"/>
      <c r="JC153" s="113"/>
      <c r="JD153" s="66">
        <f>SUM((TEXT(JA153,"[M]")/60)*'Income Person-hours'!$D$3,(TEXT(JB153,"[M]")/60)*'Income Person-hours'!$D$4,(TEXT(JC153,"[M]")/60)*'Income Person-hours'!$D$5)</f>
        <v>0</v>
      </c>
    </row>
    <row r="154" spans="1:264" s="11" customFormat="1" ht="11.25" hidden="1">
      <c r="A154" s="30">
        <v>6.16</v>
      </c>
      <c r="B154" s="116"/>
      <c r="C154" s="107"/>
      <c r="D154" s="12" t="str">
        <f>IF(OR(j_WEEKDAY(J_ADDDAY(VLOOKUP(I154,A:F,6,FALSE),H154,1),0)=6,SUMIFS(Holieday[ok],Holieday[date],J_ADDDAY(VLOOKUP(I154,A:F,6,FALSE),H154,1)))=FALSE(),J_ADDDAY(VLOOKUP(I154,A:F,6,FALSE),H154,1),IF(OR(j_WEEKDAY(J_ADDDAY(VLOOKUP(I154,A:F,6,FALSE),H154+1,1),0)=6,SUMIFS(Holieday[ok],Holieday[date],J_ADDDAY(VLOOKUP(I154,A:F,6,FALSE),H154+1,1)))=FALSE(),J_ADDDAY(VLOOKUP(I154,A:F,6,FALSE),H154+1,1),IF(OR(j_WEEKDAY(J_ADDDAY(VLOOKUP(I154,A:F,6,FALSE),H154+2,1),0)=6,SUMIFS(Holieday[ok],Holieday[date],J_ADDDAY(VLOOKUP(I154,A:F,6,FALSE),H154+2,1)))=FALSE(),J_ADDDAY(VLOOKUP(I154,A:F,6,FALSE),H154+2,1),IF(OR(j_WEEKDAY(J_ADDDAY(VLOOKUP(I154,A:F,6,FALSE),H154+3,1),0)=6,SUMIFS(Holieday[ok],Holieday[date],J_ADDDAY(VLOOKUP(I154,A:F,6,FALSE),H154+3,1)))=FALSE(),J_ADDDAY(VLOOKUP(I154,A:F,6,FALSE),H154+3,1),IF(OR(j_WEEKDAY(J_ADDDAY(VLOOKUP(I154,A:F,6,FALSE),H154+4,1),0)=6,SUMIFS(Holieday[ok],Holieday[date],J_ADDDAY(VLOOKUP(I154,A:F,6,FALSE),H154+4,1)))=FALSE(),J_ADDDAY(VLOOKUP(I154,A:F,6,FALSE),H154+4,1),J_ADDDAY(VLOOKUP(I154,A:F,6,FALSE),H154+5,1))))))</f>
        <v>1398/07/29</v>
      </c>
      <c r="E154" s="1">
        <f t="shared" si="42"/>
        <v>13980729</v>
      </c>
      <c r="F154" s="12" t="str">
        <f>IF(N154=0,J_SUBDAY(D154,1,1),IF((N154-NETWORKDAYS.INTL(J_GregorianDate(D154,1),J_GregorianDate(J_SUBDAY(J_ADDDAY(D154,N154,1),1,1),1),16,1)-SUMIFS(Holieday[ok],Holieday[date],CONCATENATE("&gt;","=",D154),Holieday[date],CONCATENATE("&lt;","=",J_SUBDAY(J_ADDDAY(D154,N154,1),1,1)))+SUMIFS(Holieday[Friday],Holieday[date],CONCATENATE("&gt;","=",D154),Holieday[date],CONCATENATE("&lt;","=",J_SUBDAY(J_ADDDAY(D154,N154,1),1,1))))=0,J_SUBDAY(J_ADDDAY(D154,N154,1),1,1),IF((N154-NETWORKDAYS.INTL(J_GregorianDate(D154,1),J_GregorianDate(J_SUBDAY(J_ADDDAY(D154,N154,1),1,1),1),16,1)-SUMIFS(Holieday[ok],Holieday[date],CONCATENATE("&gt;","=",D154),Holieday[date],CONCATENATE("&lt;","=",J_SUBDAY(J_ADDDAY(D154,N154,1),1,1)))+SUMIFS(Holieday[Friday],Holieday[date],CONCATENATE("&gt;","=",D154),Holieday[date],CONCATENATE("&lt;","=",J_SUBDAY(J_ADDDAY(D154,N154,1),1,1))))=1,J_SUBDAY(J_ADDDAY(D154,N154+1,1),1,1),IF((N154-NETWORKDAYS.INTL(J_GregorianDate(D154,1),J_GregorianDate(J_SUBDAY(J_ADDDAY(D154,N154,1),1,1),1),16,1)-SUMIFS(Holieday[ok],Holieday[date],CONCATENATE("&gt;","=",D154),Holieday[date],CONCATENATE("&lt;","=",J_SUBDAY(J_ADDDAY(D154,N154,1),1,1)))+SUMIFS(Holieday[Friday],Holieday[date],CONCATENATE("&gt;","=",D154),Holieday[date],CONCATENATE("&lt;","=",J_SUBDAY(J_ADDDAY(D154,N154,1),1,1))))=2,J_SUBDAY(J_ADDDAY(D154,N154+2,1),1,1),J_SUBDAY(J_ADDDAY(D154,N154+3,1),1,1)))))</f>
        <v>1398/07/28</v>
      </c>
      <c r="G154" s="2">
        <f t="shared" si="43"/>
        <v>13980728</v>
      </c>
      <c r="H154" s="109"/>
      <c r="I154" s="110">
        <v>6.3</v>
      </c>
      <c r="J154" s="9">
        <f>j_WEEKDAY(D154,2)</f>
        <v>2</v>
      </c>
      <c r="K154" s="21">
        <f t="shared" si="46"/>
        <v>0</v>
      </c>
      <c r="L154" s="8">
        <f t="shared" si="47"/>
        <v>0</v>
      </c>
      <c r="M154" s="111">
        <v>0</v>
      </c>
      <c r="N154" s="108">
        <v>0</v>
      </c>
      <c r="O154" s="10">
        <f t="shared" si="48"/>
        <v>0</v>
      </c>
      <c r="P154" s="10">
        <f>VALUE(J_normdate(J_ADDDAY($D154,$O154,1)))</f>
        <v>13980729</v>
      </c>
      <c r="Q154" s="9">
        <f t="shared" si="49"/>
        <v>0</v>
      </c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  <c r="DO154" s="7"/>
      <c r="DP154" s="7"/>
      <c r="DQ154" s="7"/>
      <c r="DR154" s="7"/>
      <c r="DS154" s="7"/>
      <c r="DT154" s="7"/>
      <c r="DU154" s="7"/>
      <c r="DV154" s="7"/>
      <c r="DW154" s="7"/>
      <c r="DX154" s="7"/>
      <c r="DY154" s="7"/>
      <c r="DZ154" s="7"/>
      <c r="EA154" s="7"/>
      <c r="EB154" s="7"/>
      <c r="EC154" s="7"/>
      <c r="ED154" s="7"/>
      <c r="EE154" s="7"/>
      <c r="EF154" s="7"/>
      <c r="EG154" s="7"/>
      <c r="EH154" s="7"/>
      <c r="EI154" s="7"/>
      <c r="EJ154" s="7"/>
      <c r="EK154" s="7"/>
      <c r="EL154" s="7"/>
      <c r="EM154" s="7"/>
      <c r="EN154" s="7"/>
      <c r="EO154" s="7"/>
      <c r="EP154" s="7"/>
      <c r="EQ154" s="7"/>
      <c r="ER154" s="7"/>
      <c r="ES154" s="7"/>
      <c r="ET154" s="7"/>
      <c r="EU154" s="7"/>
      <c r="EV154" s="7"/>
      <c r="EW154" s="7"/>
      <c r="EX154" s="7"/>
      <c r="EY154" s="7"/>
      <c r="EZ154" s="7"/>
      <c r="FA154" s="7"/>
      <c r="FB154" s="7"/>
      <c r="FC154" s="7"/>
      <c r="FD154" s="7"/>
      <c r="FE154" s="7"/>
      <c r="FF154" s="7"/>
      <c r="FG154" s="7"/>
      <c r="FH154" s="7"/>
      <c r="FI154" s="7"/>
      <c r="FJ154" s="7"/>
      <c r="FK154" s="7"/>
      <c r="FL154" s="7"/>
      <c r="FM154" s="7"/>
      <c r="FN154" s="7"/>
      <c r="FO154" s="7"/>
      <c r="FP154" s="7"/>
      <c r="FQ154" s="7"/>
      <c r="FR154" s="7"/>
      <c r="FS154" s="7"/>
      <c r="FT154" s="7"/>
      <c r="FU154" s="7"/>
      <c r="FV154" s="7"/>
      <c r="FW154" s="7"/>
      <c r="FX154" s="7"/>
      <c r="FY154" s="7"/>
      <c r="FZ154" s="7"/>
      <c r="GA154" s="7"/>
      <c r="GB154" s="7"/>
      <c r="GC154" s="7"/>
      <c r="GD154" s="7"/>
      <c r="GE154" s="7"/>
      <c r="GF154" s="7"/>
      <c r="GG154" s="7"/>
      <c r="GH154" s="7"/>
      <c r="GI154" s="7"/>
      <c r="GJ154" s="7"/>
      <c r="GK154" s="7"/>
      <c r="GL154" s="7"/>
      <c r="GM154" s="7"/>
      <c r="GN154" s="7"/>
      <c r="GO154" s="7"/>
      <c r="GP154" s="7"/>
      <c r="GQ154" s="7"/>
      <c r="GR154" s="7"/>
      <c r="GS154" s="7"/>
      <c r="GT154" s="7"/>
      <c r="GU154" s="7"/>
      <c r="GV154" s="7"/>
      <c r="GW154" s="7"/>
      <c r="GX154" s="7"/>
      <c r="GY154" s="7"/>
      <c r="GZ154" s="7"/>
      <c r="HA154" s="7"/>
      <c r="HB154" s="7"/>
      <c r="HC154" s="7"/>
      <c r="HD154" s="7"/>
      <c r="HE154" s="7"/>
      <c r="HF154" s="7"/>
      <c r="HG154" s="7"/>
      <c r="HH154" s="7"/>
      <c r="HI154" s="7"/>
      <c r="HJ154" s="7"/>
      <c r="HK154" s="7"/>
      <c r="HL154" s="7"/>
      <c r="HM154" s="7"/>
      <c r="HN154" s="7"/>
      <c r="HO154" s="7"/>
      <c r="HP154" s="7"/>
      <c r="HQ154" s="7"/>
      <c r="HR154" s="7"/>
      <c r="HS154" s="7"/>
      <c r="HT154" s="7"/>
      <c r="HU154" s="7"/>
      <c r="HV154" s="7"/>
      <c r="HW154" s="7"/>
      <c r="HX154" s="7"/>
      <c r="HY154" s="7"/>
      <c r="HZ154" s="7"/>
      <c r="IA154" s="7"/>
      <c r="IB154" s="7"/>
      <c r="IC154" s="7"/>
      <c r="ID154" s="7"/>
      <c r="IE154" s="7"/>
      <c r="IF154" s="7"/>
      <c r="IG154" s="7"/>
      <c r="IH154" s="7"/>
      <c r="II154" s="7"/>
      <c r="IJ154" s="7"/>
      <c r="IK154" s="7"/>
      <c r="IL154" s="7"/>
      <c r="IM154" s="7"/>
      <c r="IN154" s="7"/>
      <c r="IO154" s="7"/>
      <c r="IP154" s="7"/>
      <c r="IQ154" s="7"/>
      <c r="IR154" s="7"/>
      <c r="IS154" s="7"/>
      <c r="IT154" s="7"/>
      <c r="IU154" s="7"/>
      <c r="IV154" s="7"/>
      <c r="IW154" s="7"/>
      <c r="IX154" s="7"/>
      <c r="JA154" s="113"/>
      <c r="JB154" s="113"/>
      <c r="JC154" s="113"/>
      <c r="JD154" s="66">
        <f>SUM((TEXT(JA154,"[M]")/60)*'Income Person-hours'!$D$3,(TEXT(JB154,"[M]")/60)*'Income Person-hours'!$D$4,(TEXT(JC154,"[M]")/60)*'Income Person-hours'!$D$5)</f>
        <v>0</v>
      </c>
    </row>
    <row r="155" spans="1:264" s="11" customFormat="1" ht="11.25" hidden="1">
      <c r="A155" s="30">
        <v>6.17</v>
      </c>
      <c r="B155" s="116"/>
      <c r="C155" s="107"/>
      <c r="D155" s="12" t="str">
        <f>IF(OR(j_WEEKDAY(J_ADDDAY(VLOOKUP(I155,A:F,6,FALSE),H155,1),0)=6,SUMIFS(Holieday[ok],Holieday[date],J_ADDDAY(VLOOKUP(I155,A:F,6,FALSE),H155,1)))=FALSE(),J_ADDDAY(VLOOKUP(I155,A:F,6,FALSE),H155,1),IF(OR(j_WEEKDAY(J_ADDDAY(VLOOKUP(I155,A:F,6,FALSE),H155+1,1),0)=6,SUMIFS(Holieday[ok],Holieday[date],J_ADDDAY(VLOOKUP(I155,A:F,6,FALSE),H155+1,1)))=FALSE(),J_ADDDAY(VLOOKUP(I155,A:F,6,FALSE),H155+1,1),IF(OR(j_WEEKDAY(J_ADDDAY(VLOOKUP(I155,A:F,6,FALSE),H155+2,1),0)=6,SUMIFS(Holieday[ok],Holieday[date],J_ADDDAY(VLOOKUP(I155,A:F,6,FALSE),H155+2,1)))=FALSE(),J_ADDDAY(VLOOKUP(I155,A:F,6,FALSE),H155+2,1),IF(OR(j_WEEKDAY(J_ADDDAY(VLOOKUP(I155,A:F,6,FALSE),H155+3,1),0)=6,SUMIFS(Holieday[ok],Holieday[date],J_ADDDAY(VLOOKUP(I155,A:F,6,FALSE),H155+3,1)))=FALSE(),J_ADDDAY(VLOOKUP(I155,A:F,6,FALSE),H155+3,1),IF(OR(j_WEEKDAY(J_ADDDAY(VLOOKUP(I155,A:F,6,FALSE),H155+4,1),0)=6,SUMIFS(Holieday[ok],Holieday[date],J_ADDDAY(VLOOKUP(I155,A:F,6,FALSE),H155+4,1)))=FALSE(),J_ADDDAY(VLOOKUP(I155,A:F,6,FALSE),H155+4,1),J_ADDDAY(VLOOKUP(I155,A:F,6,FALSE),H155+5,1))))))</f>
        <v>1398/07/29</v>
      </c>
      <c r="E155" s="1">
        <f t="shared" si="42"/>
        <v>13980729</v>
      </c>
      <c r="F155" s="12" t="str">
        <f>IF(N155=0,J_SUBDAY(D155,1,1),IF((N155-NETWORKDAYS.INTL(J_GregorianDate(D155,1),J_GregorianDate(J_SUBDAY(J_ADDDAY(D155,N155,1),1,1),1),16,1)-SUMIFS(Holieday[ok],Holieday[date],CONCATENATE("&gt;","=",D155),Holieday[date],CONCATENATE("&lt;","=",J_SUBDAY(J_ADDDAY(D155,N155,1),1,1)))+SUMIFS(Holieday[Friday],Holieday[date],CONCATENATE("&gt;","=",D155),Holieday[date],CONCATENATE("&lt;","=",J_SUBDAY(J_ADDDAY(D155,N155,1),1,1))))=0,J_SUBDAY(J_ADDDAY(D155,N155,1),1,1),IF((N155-NETWORKDAYS.INTL(J_GregorianDate(D155,1),J_GregorianDate(J_SUBDAY(J_ADDDAY(D155,N155,1),1,1),1),16,1)-SUMIFS(Holieday[ok],Holieday[date],CONCATENATE("&gt;","=",D155),Holieday[date],CONCATENATE("&lt;","=",J_SUBDAY(J_ADDDAY(D155,N155,1),1,1)))+SUMIFS(Holieday[Friday],Holieday[date],CONCATENATE("&gt;","=",D155),Holieday[date],CONCATENATE("&lt;","=",J_SUBDAY(J_ADDDAY(D155,N155,1),1,1))))=1,J_SUBDAY(J_ADDDAY(D155,N155+1,1),1,1),IF((N155-NETWORKDAYS.INTL(J_GregorianDate(D155,1),J_GregorianDate(J_SUBDAY(J_ADDDAY(D155,N155,1),1,1),1),16,1)-SUMIFS(Holieday[ok],Holieday[date],CONCATENATE("&gt;","=",D155),Holieday[date],CONCATENATE("&lt;","=",J_SUBDAY(J_ADDDAY(D155,N155,1),1,1)))+SUMIFS(Holieday[Friday],Holieday[date],CONCATENATE("&gt;","=",D155),Holieday[date],CONCATENATE("&lt;","=",J_SUBDAY(J_ADDDAY(D155,N155,1),1,1))))=2,J_SUBDAY(J_ADDDAY(D155,N155+2,1),1,1),J_SUBDAY(J_ADDDAY(D155,N155+3,1),1,1)))))</f>
        <v>1398/07/28</v>
      </c>
      <c r="G155" s="2">
        <f t="shared" si="43"/>
        <v>13980728</v>
      </c>
      <c r="H155" s="109"/>
      <c r="I155" s="110">
        <v>6.3</v>
      </c>
      <c r="J155" s="9">
        <f>j_WEEKDAY(D155,2)</f>
        <v>2</v>
      </c>
      <c r="K155" s="21">
        <f t="shared" si="46"/>
        <v>0</v>
      </c>
      <c r="L155" s="8">
        <f t="shared" si="47"/>
        <v>0</v>
      </c>
      <c r="M155" s="111">
        <v>0</v>
      </c>
      <c r="N155" s="108">
        <v>0</v>
      </c>
      <c r="O155" s="10">
        <f t="shared" si="48"/>
        <v>0</v>
      </c>
      <c r="P155" s="10">
        <f>VALUE(J_normdate(J_ADDDAY($D155,$O155,1)))</f>
        <v>13980729</v>
      </c>
      <c r="Q155" s="9">
        <f t="shared" si="49"/>
        <v>0</v>
      </c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  <c r="DO155" s="7"/>
      <c r="DP155" s="7"/>
      <c r="DQ155" s="7"/>
      <c r="DR155" s="7"/>
      <c r="DS155" s="7"/>
      <c r="DT155" s="7"/>
      <c r="DU155" s="7"/>
      <c r="DV155" s="7"/>
      <c r="DW155" s="7"/>
      <c r="DX155" s="7"/>
      <c r="DY155" s="7"/>
      <c r="DZ155" s="7"/>
      <c r="EA155" s="7"/>
      <c r="EB155" s="7"/>
      <c r="EC155" s="7"/>
      <c r="ED155" s="7"/>
      <c r="EE155" s="7"/>
      <c r="EF155" s="7"/>
      <c r="EG155" s="7"/>
      <c r="EH155" s="7"/>
      <c r="EI155" s="7"/>
      <c r="EJ155" s="7"/>
      <c r="EK155" s="7"/>
      <c r="EL155" s="7"/>
      <c r="EM155" s="7"/>
      <c r="EN155" s="7"/>
      <c r="EO155" s="7"/>
      <c r="EP155" s="7"/>
      <c r="EQ155" s="7"/>
      <c r="ER155" s="7"/>
      <c r="ES155" s="7"/>
      <c r="ET155" s="7"/>
      <c r="EU155" s="7"/>
      <c r="EV155" s="7"/>
      <c r="EW155" s="7"/>
      <c r="EX155" s="7"/>
      <c r="EY155" s="7"/>
      <c r="EZ155" s="7"/>
      <c r="FA155" s="7"/>
      <c r="FB155" s="7"/>
      <c r="FC155" s="7"/>
      <c r="FD155" s="7"/>
      <c r="FE155" s="7"/>
      <c r="FF155" s="7"/>
      <c r="FG155" s="7"/>
      <c r="FH155" s="7"/>
      <c r="FI155" s="7"/>
      <c r="FJ155" s="7"/>
      <c r="FK155" s="7"/>
      <c r="FL155" s="7"/>
      <c r="FM155" s="7"/>
      <c r="FN155" s="7"/>
      <c r="FO155" s="7"/>
      <c r="FP155" s="7"/>
      <c r="FQ155" s="7"/>
      <c r="FR155" s="7"/>
      <c r="FS155" s="7"/>
      <c r="FT155" s="7"/>
      <c r="FU155" s="7"/>
      <c r="FV155" s="7"/>
      <c r="FW155" s="7"/>
      <c r="FX155" s="7"/>
      <c r="FY155" s="7"/>
      <c r="FZ155" s="7"/>
      <c r="GA155" s="7"/>
      <c r="GB155" s="7"/>
      <c r="GC155" s="7"/>
      <c r="GD155" s="7"/>
      <c r="GE155" s="7"/>
      <c r="GF155" s="7"/>
      <c r="GG155" s="7"/>
      <c r="GH155" s="7"/>
      <c r="GI155" s="7"/>
      <c r="GJ155" s="7"/>
      <c r="GK155" s="7"/>
      <c r="GL155" s="7"/>
      <c r="GM155" s="7"/>
      <c r="GN155" s="7"/>
      <c r="GO155" s="7"/>
      <c r="GP155" s="7"/>
      <c r="GQ155" s="7"/>
      <c r="GR155" s="7"/>
      <c r="GS155" s="7"/>
      <c r="GT155" s="7"/>
      <c r="GU155" s="7"/>
      <c r="GV155" s="7"/>
      <c r="GW155" s="7"/>
      <c r="GX155" s="7"/>
      <c r="GY155" s="7"/>
      <c r="GZ155" s="7"/>
      <c r="HA155" s="7"/>
      <c r="HB155" s="7"/>
      <c r="HC155" s="7"/>
      <c r="HD155" s="7"/>
      <c r="HE155" s="7"/>
      <c r="HF155" s="7"/>
      <c r="HG155" s="7"/>
      <c r="HH155" s="7"/>
      <c r="HI155" s="7"/>
      <c r="HJ155" s="7"/>
      <c r="HK155" s="7"/>
      <c r="HL155" s="7"/>
      <c r="HM155" s="7"/>
      <c r="HN155" s="7"/>
      <c r="HO155" s="7"/>
      <c r="HP155" s="7"/>
      <c r="HQ155" s="7"/>
      <c r="HR155" s="7"/>
      <c r="HS155" s="7"/>
      <c r="HT155" s="7"/>
      <c r="HU155" s="7"/>
      <c r="HV155" s="7"/>
      <c r="HW155" s="7"/>
      <c r="HX155" s="7"/>
      <c r="HY155" s="7"/>
      <c r="HZ155" s="7"/>
      <c r="IA155" s="7"/>
      <c r="IB155" s="7"/>
      <c r="IC155" s="7"/>
      <c r="ID155" s="7"/>
      <c r="IE155" s="7"/>
      <c r="IF155" s="7"/>
      <c r="IG155" s="7"/>
      <c r="IH155" s="7"/>
      <c r="II155" s="7"/>
      <c r="IJ155" s="7"/>
      <c r="IK155" s="7"/>
      <c r="IL155" s="7"/>
      <c r="IM155" s="7"/>
      <c r="IN155" s="7"/>
      <c r="IO155" s="7"/>
      <c r="IP155" s="7"/>
      <c r="IQ155" s="7"/>
      <c r="IR155" s="7"/>
      <c r="IS155" s="7"/>
      <c r="IT155" s="7"/>
      <c r="IU155" s="7"/>
      <c r="IV155" s="7"/>
      <c r="IW155" s="7"/>
      <c r="IX155" s="7"/>
      <c r="JA155" s="113"/>
      <c r="JB155" s="113"/>
      <c r="JC155" s="113"/>
      <c r="JD155" s="66">
        <f>SUM((TEXT(JA155,"[M]")/60)*'Income Person-hours'!$D$3,(TEXT(JB155,"[M]")/60)*'Income Person-hours'!$D$4,(TEXT(JC155,"[M]")/60)*'Income Person-hours'!$D$5)</f>
        <v>0</v>
      </c>
    </row>
    <row r="156" spans="1:264" s="11" customFormat="1" ht="11.25" hidden="1">
      <c r="A156" s="30">
        <v>6.18</v>
      </c>
      <c r="B156" s="116"/>
      <c r="C156" s="107"/>
      <c r="D156" s="12" t="str">
        <f>IF(OR(j_WEEKDAY(J_ADDDAY(VLOOKUP(I156,A:F,6,FALSE),H156,1),0)=6,SUMIFS(Holieday[ok],Holieday[date],J_ADDDAY(VLOOKUP(I156,A:F,6,FALSE),H156,1)))=FALSE(),J_ADDDAY(VLOOKUP(I156,A:F,6,FALSE),H156,1),IF(OR(j_WEEKDAY(J_ADDDAY(VLOOKUP(I156,A:F,6,FALSE),H156+1,1),0)=6,SUMIFS(Holieday[ok],Holieday[date],J_ADDDAY(VLOOKUP(I156,A:F,6,FALSE),H156+1,1)))=FALSE(),J_ADDDAY(VLOOKUP(I156,A:F,6,FALSE),H156+1,1),IF(OR(j_WEEKDAY(J_ADDDAY(VLOOKUP(I156,A:F,6,FALSE),H156+2,1),0)=6,SUMIFS(Holieday[ok],Holieday[date],J_ADDDAY(VLOOKUP(I156,A:F,6,FALSE),H156+2,1)))=FALSE(),J_ADDDAY(VLOOKUP(I156,A:F,6,FALSE),H156+2,1),IF(OR(j_WEEKDAY(J_ADDDAY(VLOOKUP(I156,A:F,6,FALSE),H156+3,1),0)=6,SUMIFS(Holieday[ok],Holieday[date],J_ADDDAY(VLOOKUP(I156,A:F,6,FALSE),H156+3,1)))=FALSE(),J_ADDDAY(VLOOKUP(I156,A:F,6,FALSE),H156+3,1),IF(OR(j_WEEKDAY(J_ADDDAY(VLOOKUP(I156,A:F,6,FALSE),H156+4,1),0)=6,SUMIFS(Holieday[ok],Holieday[date],J_ADDDAY(VLOOKUP(I156,A:F,6,FALSE),H156+4,1)))=FALSE(),J_ADDDAY(VLOOKUP(I156,A:F,6,FALSE),H156+4,1),J_ADDDAY(VLOOKUP(I156,A:F,6,FALSE),H156+5,1))))))</f>
        <v>1398/07/29</v>
      </c>
      <c r="E156" s="1">
        <f t="shared" si="42"/>
        <v>13980729</v>
      </c>
      <c r="F156" s="12" t="str">
        <f>IF(N156=0,J_SUBDAY(D156,1,1),IF((N156-NETWORKDAYS.INTL(J_GregorianDate(D156,1),J_GregorianDate(J_SUBDAY(J_ADDDAY(D156,N156,1),1,1),1),16,1)-SUMIFS(Holieday[ok],Holieday[date],CONCATENATE("&gt;","=",D156),Holieday[date],CONCATENATE("&lt;","=",J_SUBDAY(J_ADDDAY(D156,N156,1),1,1)))+SUMIFS(Holieday[Friday],Holieday[date],CONCATENATE("&gt;","=",D156),Holieday[date],CONCATENATE("&lt;","=",J_SUBDAY(J_ADDDAY(D156,N156,1),1,1))))=0,J_SUBDAY(J_ADDDAY(D156,N156,1),1,1),IF((N156-NETWORKDAYS.INTL(J_GregorianDate(D156,1),J_GregorianDate(J_SUBDAY(J_ADDDAY(D156,N156,1),1,1),1),16,1)-SUMIFS(Holieday[ok],Holieday[date],CONCATENATE("&gt;","=",D156),Holieday[date],CONCATENATE("&lt;","=",J_SUBDAY(J_ADDDAY(D156,N156,1),1,1)))+SUMIFS(Holieday[Friday],Holieday[date],CONCATENATE("&gt;","=",D156),Holieday[date],CONCATENATE("&lt;","=",J_SUBDAY(J_ADDDAY(D156,N156,1),1,1))))=1,J_SUBDAY(J_ADDDAY(D156,N156+1,1),1,1),IF((N156-NETWORKDAYS.INTL(J_GregorianDate(D156,1),J_GregorianDate(J_SUBDAY(J_ADDDAY(D156,N156,1),1,1),1),16,1)-SUMIFS(Holieday[ok],Holieday[date],CONCATENATE("&gt;","=",D156),Holieday[date],CONCATENATE("&lt;","=",J_SUBDAY(J_ADDDAY(D156,N156,1),1,1)))+SUMIFS(Holieday[Friday],Holieday[date],CONCATENATE("&gt;","=",D156),Holieday[date],CONCATENATE("&lt;","=",J_SUBDAY(J_ADDDAY(D156,N156,1),1,1))))=2,J_SUBDAY(J_ADDDAY(D156,N156+2,1),1,1),J_SUBDAY(J_ADDDAY(D156,N156+3,1),1,1)))))</f>
        <v>1398/07/28</v>
      </c>
      <c r="G156" s="2">
        <f t="shared" si="43"/>
        <v>13980728</v>
      </c>
      <c r="H156" s="109"/>
      <c r="I156" s="110">
        <v>6.3</v>
      </c>
      <c r="J156" s="9">
        <f>j_WEEKDAY(D156,2)</f>
        <v>2</v>
      </c>
      <c r="K156" s="21">
        <f t="shared" si="46"/>
        <v>0</v>
      </c>
      <c r="L156" s="8">
        <f t="shared" si="47"/>
        <v>0</v>
      </c>
      <c r="M156" s="111">
        <v>0</v>
      </c>
      <c r="N156" s="108">
        <v>0</v>
      </c>
      <c r="O156" s="10">
        <f t="shared" si="48"/>
        <v>0</v>
      </c>
      <c r="P156" s="10">
        <f>VALUE(J_normdate(J_ADDDAY($D156,$O156,1)))</f>
        <v>13980729</v>
      </c>
      <c r="Q156" s="9">
        <f t="shared" si="49"/>
        <v>0</v>
      </c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  <c r="DO156" s="7"/>
      <c r="DP156" s="7"/>
      <c r="DQ156" s="7"/>
      <c r="DR156" s="7"/>
      <c r="DS156" s="7"/>
      <c r="DT156" s="7"/>
      <c r="DU156" s="7"/>
      <c r="DV156" s="7"/>
      <c r="DW156" s="7"/>
      <c r="DX156" s="7"/>
      <c r="DY156" s="7"/>
      <c r="DZ156" s="7"/>
      <c r="EA156" s="7"/>
      <c r="EB156" s="7"/>
      <c r="EC156" s="7"/>
      <c r="ED156" s="7"/>
      <c r="EE156" s="7"/>
      <c r="EF156" s="7"/>
      <c r="EG156" s="7"/>
      <c r="EH156" s="7"/>
      <c r="EI156" s="7"/>
      <c r="EJ156" s="7"/>
      <c r="EK156" s="7"/>
      <c r="EL156" s="7"/>
      <c r="EM156" s="7"/>
      <c r="EN156" s="7"/>
      <c r="EO156" s="7"/>
      <c r="EP156" s="7"/>
      <c r="EQ156" s="7"/>
      <c r="ER156" s="7"/>
      <c r="ES156" s="7"/>
      <c r="ET156" s="7"/>
      <c r="EU156" s="7"/>
      <c r="EV156" s="7"/>
      <c r="EW156" s="7"/>
      <c r="EX156" s="7"/>
      <c r="EY156" s="7"/>
      <c r="EZ156" s="7"/>
      <c r="FA156" s="7"/>
      <c r="FB156" s="7"/>
      <c r="FC156" s="7"/>
      <c r="FD156" s="7"/>
      <c r="FE156" s="7"/>
      <c r="FF156" s="7"/>
      <c r="FG156" s="7"/>
      <c r="FH156" s="7"/>
      <c r="FI156" s="7"/>
      <c r="FJ156" s="7"/>
      <c r="FK156" s="7"/>
      <c r="FL156" s="7"/>
      <c r="FM156" s="7"/>
      <c r="FN156" s="7"/>
      <c r="FO156" s="7"/>
      <c r="FP156" s="7"/>
      <c r="FQ156" s="7"/>
      <c r="FR156" s="7"/>
      <c r="FS156" s="7"/>
      <c r="FT156" s="7"/>
      <c r="FU156" s="7"/>
      <c r="FV156" s="7"/>
      <c r="FW156" s="7"/>
      <c r="FX156" s="7"/>
      <c r="FY156" s="7"/>
      <c r="FZ156" s="7"/>
      <c r="GA156" s="7"/>
      <c r="GB156" s="7"/>
      <c r="GC156" s="7"/>
      <c r="GD156" s="7"/>
      <c r="GE156" s="7"/>
      <c r="GF156" s="7"/>
      <c r="GG156" s="7"/>
      <c r="GH156" s="7"/>
      <c r="GI156" s="7"/>
      <c r="GJ156" s="7"/>
      <c r="GK156" s="7"/>
      <c r="GL156" s="7"/>
      <c r="GM156" s="7"/>
      <c r="GN156" s="7"/>
      <c r="GO156" s="7"/>
      <c r="GP156" s="7"/>
      <c r="GQ156" s="7"/>
      <c r="GR156" s="7"/>
      <c r="GS156" s="7"/>
      <c r="GT156" s="7"/>
      <c r="GU156" s="7"/>
      <c r="GV156" s="7"/>
      <c r="GW156" s="7"/>
      <c r="GX156" s="7"/>
      <c r="GY156" s="7"/>
      <c r="GZ156" s="7"/>
      <c r="HA156" s="7"/>
      <c r="HB156" s="7"/>
      <c r="HC156" s="7"/>
      <c r="HD156" s="7"/>
      <c r="HE156" s="7"/>
      <c r="HF156" s="7"/>
      <c r="HG156" s="7"/>
      <c r="HH156" s="7"/>
      <c r="HI156" s="7"/>
      <c r="HJ156" s="7"/>
      <c r="HK156" s="7"/>
      <c r="HL156" s="7"/>
      <c r="HM156" s="7"/>
      <c r="HN156" s="7"/>
      <c r="HO156" s="7"/>
      <c r="HP156" s="7"/>
      <c r="HQ156" s="7"/>
      <c r="HR156" s="7"/>
      <c r="HS156" s="7"/>
      <c r="HT156" s="7"/>
      <c r="HU156" s="7"/>
      <c r="HV156" s="7"/>
      <c r="HW156" s="7"/>
      <c r="HX156" s="7"/>
      <c r="HY156" s="7"/>
      <c r="HZ156" s="7"/>
      <c r="IA156" s="7"/>
      <c r="IB156" s="7"/>
      <c r="IC156" s="7"/>
      <c r="ID156" s="7"/>
      <c r="IE156" s="7"/>
      <c r="IF156" s="7"/>
      <c r="IG156" s="7"/>
      <c r="IH156" s="7"/>
      <c r="II156" s="7"/>
      <c r="IJ156" s="7"/>
      <c r="IK156" s="7"/>
      <c r="IL156" s="7"/>
      <c r="IM156" s="7"/>
      <c r="IN156" s="7"/>
      <c r="IO156" s="7"/>
      <c r="IP156" s="7"/>
      <c r="IQ156" s="7"/>
      <c r="IR156" s="7"/>
      <c r="IS156" s="7"/>
      <c r="IT156" s="7"/>
      <c r="IU156" s="7"/>
      <c r="IV156" s="7"/>
      <c r="IW156" s="7"/>
      <c r="IX156" s="7"/>
      <c r="JA156" s="113"/>
      <c r="JB156" s="113"/>
      <c r="JC156" s="113"/>
      <c r="JD156" s="66">
        <f>SUM((TEXT(JA156,"[M]")/60)*'Income Person-hours'!$D$3,(TEXT(JB156,"[M]")/60)*'Income Person-hours'!$D$4,(TEXT(JC156,"[M]")/60)*'Income Person-hours'!$D$5)</f>
        <v>0</v>
      </c>
    </row>
    <row r="157" spans="1:264" s="11" customFormat="1" ht="11.25" hidden="1">
      <c r="A157" s="30">
        <v>6.19</v>
      </c>
      <c r="B157" s="116"/>
      <c r="C157" s="107"/>
      <c r="D157" s="12" t="str">
        <f>IF(OR(j_WEEKDAY(J_ADDDAY(VLOOKUP(I157,A:F,6,FALSE),H157,1),0)=6,SUMIFS(Holieday[ok],Holieday[date],J_ADDDAY(VLOOKUP(I157,A:F,6,FALSE),H157,1)))=FALSE(),J_ADDDAY(VLOOKUP(I157,A:F,6,FALSE),H157,1),IF(OR(j_WEEKDAY(J_ADDDAY(VLOOKUP(I157,A:F,6,FALSE),H157+1,1),0)=6,SUMIFS(Holieday[ok],Holieday[date],J_ADDDAY(VLOOKUP(I157,A:F,6,FALSE),H157+1,1)))=FALSE(),J_ADDDAY(VLOOKUP(I157,A:F,6,FALSE),H157+1,1),IF(OR(j_WEEKDAY(J_ADDDAY(VLOOKUP(I157,A:F,6,FALSE),H157+2,1),0)=6,SUMIFS(Holieday[ok],Holieday[date],J_ADDDAY(VLOOKUP(I157,A:F,6,FALSE),H157+2,1)))=FALSE(),J_ADDDAY(VLOOKUP(I157,A:F,6,FALSE),H157+2,1),IF(OR(j_WEEKDAY(J_ADDDAY(VLOOKUP(I157,A:F,6,FALSE),H157+3,1),0)=6,SUMIFS(Holieday[ok],Holieday[date],J_ADDDAY(VLOOKUP(I157,A:F,6,FALSE),H157+3,1)))=FALSE(),J_ADDDAY(VLOOKUP(I157,A:F,6,FALSE),H157+3,1),IF(OR(j_WEEKDAY(J_ADDDAY(VLOOKUP(I157,A:F,6,FALSE),H157+4,1),0)=6,SUMIFS(Holieday[ok],Holieday[date],J_ADDDAY(VLOOKUP(I157,A:F,6,FALSE),H157+4,1)))=FALSE(),J_ADDDAY(VLOOKUP(I157,A:F,6,FALSE),H157+4,1),J_ADDDAY(VLOOKUP(I157,A:F,6,FALSE),H157+5,1))))))</f>
        <v>1398/07/29</v>
      </c>
      <c r="E157" s="1">
        <f t="shared" si="42"/>
        <v>13980729</v>
      </c>
      <c r="F157" s="12" t="str">
        <f>IF(N157=0,J_SUBDAY(D157,1,1),IF((N157-NETWORKDAYS.INTL(J_GregorianDate(D157,1),J_GregorianDate(J_SUBDAY(J_ADDDAY(D157,N157,1),1,1),1),16,1)-SUMIFS(Holieday[ok],Holieday[date],CONCATENATE("&gt;","=",D157),Holieday[date],CONCATENATE("&lt;","=",J_SUBDAY(J_ADDDAY(D157,N157,1),1,1)))+SUMIFS(Holieday[Friday],Holieday[date],CONCATENATE("&gt;","=",D157),Holieday[date],CONCATENATE("&lt;","=",J_SUBDAY(J_ADDDAY(D157,N157,1),1,1))))=0,J_SUBDAY(J_ADDDAY(D157,N157,1),1,1),IF((N157-NETWORKDAYS.INTL(J_GregorianDate(D157,1),J_GregorianDate(J_SUBDAY(J_ADDDAY(D157,N157,1),1,1),1),16,1)-SUMIFS(Holieday[ok],Holieday[date],CONCATENATE("&gt;","=",D157),Holieday[date],CONCATENATE("&lt;","=",J_SUBDAY(J_ADDDAY(D157,N157,1),1,1)))+SUMIFS(Holieday[Friday],Holieday[date],CONCATENATE("&gt;","=",D157),Holieday[date],CONCATENATE("&lt;","=",J_SUBDAY(J_ADDDAY(D157,N157,1),1,1))))=1,J_SUBDAY(J_ADDDAY(D157,N157+1,1),1,1),IF((N157-NETWORKDAYS.INTL(J_GregorianDate(D157,1),J_GregorianDate(J_SUBDAY(J_ADDDAY(D157,N157,1),1,1),1),16,1)-SUMIFS(Holieday[ok],Holieday[date],CONCATENATE("&gt;","=",D157),Holieday[date],CONCATENATE("&lt;","=",J_SUBDAY(J_ADDDAY(D157,N157,1),1,1)))+SUMIFS(Holieday[Friday],Holieday[date],CONCATENATE("&gt;","=",D157),Holieday[date],CONCATENATE("&lt;","=",J_SUBDAY(J_ADDDAY(D157,N157,1),1,1))))=2,J_SUBDAY(J_ADDDAY(D157,N157+2,1),1,1),J_SUBDAY(J_ADDDAY(D157,N157+3,1),1,1)))))</f>
        <v>1398/07/28</v>
      </c>
      <c r="G157" s="2">
        <f t="shared" si="43"/>
        <v>13980728</v>
      </c>
      <c r="H157" s="109"/>
      <c r="I157" s="110">
        <v>6.3</v>
      </c>
      <c r="J157" s="9">
        <f>j_WEEKDAY(D157,2)</f>
        <v>2</v>
      </c>
      <c r="K157" s="21">
        <f t="shared" si="46"/>
        <v>0</v>
      </c>
      <c r="L157" s="8">
        <f t="shared" si="47"/>
        <v>0</v>
      </c>
      <c r="M157" s="111">
        <v>0</v>
      </c>
      <c r="N157" s="108">
        <v>0</v>
      </c>
      <c r="O157" s="10">
        <f t="shared" si="48"/>
        <v>0</v>
      </c>
      <c r="P157" s="10">
        <f>VALUE(J_normdate(J_ADDDAY($D157,$O157,1)))</f>
        <v>13980729</v>
      </c>
      <c r="Q157" s="9">
        <f t="shared" si="49"/>
        <v>0</v>
      </c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7"/>
      <c r="DO157" s="7"/>
      <c r="DP157" s="7"/>
      <c r="DQ157" s="7"/>
      <c r="DR157" s="7"/>
      <c r="DS157" s="7"/>
      <c r="DT157" s="7"/>
      <c r="DU157" s="7"/>
      <c r="DV157" s="7"/>
      <c r="DW157" s="7"/>
      <c r="DX157" s="7"/>
      <c r="DY157" s="7"/>
      <c r="DZ157" s="7"/>
      <c r="EA157" s="7"/>
      <c r="EB157" s="7"/>
      <c r="EC157" s="7"/>
      <c r="ED157" s="7"/>
      <c r="EE157" s="7"/>
      <c r="EF157" s="7"/>
      <c r="EG157" s="7"/>
      <c r="EH157" s="7"/>
      <c r="EI157" s="7"/>
      <c r="EJ157" s="7"/>
      <c r="EK157" s="7"/>
      <c r="EL157" s="7"/>
      <c r="EM157" s="7"/>
      <c r="EN157" s="7"/>
      <c r="EO157" s="7"/>
      <c r="EP157" s="7"/>
      <c r="EQ157" s="7"/>
      <c r="ER157" s="7"/>
      <c r="ES157" s="7"/>
      <c r="ET157" s="7"/>
      <c r="EU157" s="7"/>
      <c r="EV157" s="7"/>
      <c r="EW157" s="7"/>
      <c r="EX157" s="7"/>
      <c r="EY157" s="7"/>
      <c r="EZ157" s="7"/>
      <c r="FA157" s="7"/>
      <c r="FB157" s="7"/>
      <c r="FC157" s="7"/>
      <c r="FD157" s="7"/>
      <c r="FE157" s="7"/>
      <c r="FF157" s="7"/>
      <c r="FG157" s="7"/>
      <c r="FH157" s="7"/>
      <c r="FI157" s="7"/>
      <c r="FJ157" s="7"/>
      <c r="FK157" s="7"/>
      <c r="FL157" s="7"/>
      <c r="FM157" s="7"/>
      <c r="FN157" s="7"/>
      <c r="FO157" s="7"/>
      <c r="FP157" s="7"/>
      <c r="FQ157" s="7"/>
      <c r="FR157" s="7"/>
      <c r="FS157" s="7"/>
      <c r="FT157" s="7"/>
      <c r="FU157" s="7"/>
      <c r="FV157" s="7"/>
      <c r="FW157" s="7"/>
      <c r="FX157" s="7"/>
      <c r="FY157" s="7"/>
      <c r="FZ157" s="7"/>
      <c r="GA157" s="7"/>
      <c r="GB157" s="7"/>
      <c r="GC157" s="7"/>
      <c r="GD157" s="7"/>
      <c r="GE157" s="7"/>
      <c r="GF157" s="7"/>
      <c r="GG157" s="7"/>
      <c r="GH157" s="7"/>
      <c r="GI157" s="7"/>
      <c r="GJ157" s="7"/>
      <c r="GK157" s="7"/>
      <c r="GL157" s="7"/>
      <c r="GM157" s="7"/>
      <c r="GN157" s="7"/>
      <c r="GO157" s="7"/>
      <c r="GP157" s="7"/>
      <c r="GQ157" s="7"/>
      <c r="GR157" s="7"/>
      <c r="GS157" s="7"/>
      <c r="GT157" s="7"/>
      <c r="GU157" s="7"/>
      <c r="GV157" s="7"/>
      <c r="GW157" s="7"/>
      <c r="GX157" s="7"/>
      <c r="GY157" s="7"/>
      <c r="GZ157" s="7"/>
      <c r="HA157" s="7"/>
      <c r="HB157" s="7"/>
      <c r="HC157" s="7"/>
      <c r="HD157" s="7"/>
      <c r="HE157" s="7"/>
      <c r="HF157" s="7"/>
      <c r="HG157" s="7"/>
      <c r="HH157" s="7"/>
      <c r="HI157" s="7"/>
      <c r="HJ157" s="7"/>
      <c r="HK157" s="7"/>
      <c r="HL157" s="7"/>
      <c r="HM157" s="7"/>
      <c r="HN157" s="7"/>
      <c r="HO157" s="7"/>
      <c r="HP157" s="7"/>
      <c r="HQ157" s="7"/>
      <c r="HR157" s="7"/>
      <c r="HS157" s="7"/>
      <c r="HT157" s="7"/>
      <c r="HU157" s="7"/>
      <c r="HV157" s="7"/>
      <c r="HW157" s="7"/>
      <c r="HX157" s="7"/>
      <c r="HY157" s="7"/>
      <c r="HZ157" s="7"/>
      <c r="IA157" s="7"/>
      <c r="IB157" s="7"/>
      <c r="IC157" s="7"/>
      <c r="ID157" s="7"/>
      <c r="IE157" s="7"/>
      <c r="IF157" s="7"/>
      <c r="IG157" s="7"/>
      <c r="IH157" s="7"/>
      <c r="II157" s="7"/>
      <c r="IJ157" s="7"/>
      <c r="IK157" s="7"/>
      <c r="IL157" s="7"/>
      <c r="IM157" s="7"/>
      <c r="IN157" s="7"/>
      <c r="IO157" s="7"/>
      <c r="IP157" s="7"/>
      <c r="IQ157" s="7"/>
      <c r="IR157" s="7"/>
      <c r="IS157" s="7"/>
      <c r="IT157" s="7"/>
      <c r="IU157" s="7"/>
      <c r="IV157" s="7"/>
      <c r="IW157" s="7"/>
      <c r="IX157" s="7"/>
      <c r="JA157" s="113"/>
      <c r="JB157" s="113"/>
      <c r="JC157" s="113"/>
      <c r="JD157" s="66">
        <f>SUM((TEXT(JA157,"[M]")/60)*'Income Person-hours'!$D$3,(TEXT(JB157,"[M]")/60)*'Income Person-hours'!$D$4,(TEXT(JC157,"[M]")/60)*'Income Person-hours'!$D$5)</f>
        <v>0</v>
      </c>
    </row>
    <row r="158" spans="1:264" s="11" customFormat="1" ht="11.25" hidden="1">
      <c r="A158" s="30">
        <v>6.21</v>
      </c>
      <c r="B158" s="116"/>
      <c r="C158" s="107"/>
      <c r="D158" s="12" t="str">
        <f>IF(OR(j_WEEKDAY(J_ADDDAY(VLOOKUP(I158,A:F,6,FALSE),H158,1),0)=6,SUMIFS(Holieday[ok],Holieday[date],J_ADDDAY(VLOOKUP(I158,A:F,6,FALSE),H158,1)))=FALSE(),J_ADDDAY(VLOOKUP(I158,A:F,6,FALSE),H158,1),IF(OR(j_WEEKDAY(J_ADDDAY(VLOOKUP(I158,A:F,6,FALSE),H158+1,1),0)=6,SUMIFS(Holieday[ok],Holieday[date],J_ADDDAY(VLOOKUP(I158,A:F,6,FALSE),H158+1,1)))=FALSE(),J_ADDDAY(VLOOKUP(I158,A:F,6,FALSE),H158+1,1),IF(OR(j_WEEKDAY(J_ADDDAY(VLOOKUP(I158,A:F,6,FALSE),H158+2,1),0)=6,SUMIFS(Holieday[ok],Holieday[date],J_ADDDAY(VLOOKUP(I158,A:F,6,FALSE),H158+2,1)))=FALSE(),J_ADDDAY(VLOOKUP(I158,A:F,6,FALSE),H158+2,1),IF(OR(j_WEEKDAY(J_ADDDAY(VLOOKUP(I158,A:F,6,FALSE),H158+3,1),0)=6,SUMIFS(Holieday[ok],Holieday[date],J_ADDDAY(VLOOKUP(I158,A:F,6,FALSE),H158+3,1)))=FALSE(),J_ADDDAY(VLOOKUP(I158,A:F,6,FALSE),H158+3,1),IF(OR(j_WEEKDAY(J_ADDDAY(VLOOKUP(I158,A:F,6,FALSE),H158+4,1),0)=6,SUMIFS(Holieday[ok],Holieday[date],J_ADDDAY(VLOOKUP(I158,A:F,6,FALSE),H158+4,1)))=FALSE(),J_ADDDAY(VLOOKUP(I158,A:F,6,FALSE),H158+4,1),J_ADDDAY(VLOOKUP(I158,A:F,6,FALSE),H158+5,1))))))</f>
        <v>1398/07/29</v>
      </c>
      <c r="E158" s="1">
        <f t="shared" si="42"/>
        <v>13980729</v>
      </c>
      <c r="F158" s="12" t="str">
        <f>IF(N158=0,J_SUBDAY(D158,1,1),IF((N158-NETWORKDAYS.INTL(J_GregorianDate(D158,1),J_GregorianDate(J_SUBDAY(J_ADDDAY(D158,N158,1),1,1),1),16,1)-SUMIFS(Holieday[ok],Holieday[date],CONCATENATE("&gt;","=",D158),Holieday[date],CONCATENATE("&lt;","=",J_SUBDAY(J_ADDDAY(D158,N158,1),1,1)))+SUMIFS(Holieday[Friday],Holieday[date],CONCATENATE("&gt;","=",D158),Holieday[date],CONCATENATE("&lt;","=",J_SUBDAY(J_ADDDAY(D158,N158,1),1,1))))=0,J_SUBDAY(J_ADDDAY(D158,N158,1),1,1),IF((N158-NETWORKDAYS.INTL(J_GregorianDate(D158,1),J_GregorianDate(J_SUBDAY(J_ADDDAY(D158,N158,1),1,1),1),16,1)-SUMIFS(Holieday[ok],Holieday[date],CONCATENATE("&gt;","=",D158),Holieday[date],CONCATENATE("&lt;","=",J_SUBDAY(J_ADDDAY(D158,N158,1),1,1)))+SUMIFS(Holieday[Friday],Holieday[date],CONCATENATE("&gt;","=",D158),Holieday[date],CONCATENATE("&lt;","=",J_SUBDAY(J_ADDDAY(D158,N158,1),1,1))))=1,J_SUBDAY(J_ADDDAY(D158,N158+1,1),1,1),IF((N158-NETWORKDAYS.INTL(J_GregorianDate(D158,1),J_GregorianDate(J_SUBDAY(J_ADDDAY(D158,N158,1),1,1),1),16,1)-SUMIFS(Holieday[ok],Holieday[date],CONCATENATE("&gt;","=",D158),Holieday[date],CONCATENATE("&lt;","=",J_SUBDAY(J_ADDDAY(D158,N158,1),1,1)))+SUMIFS(Holieday[Friday],Holieday[date],CONCATENATE("&gt;","=",D158),Holieday[date],CONCATENATE("&lt;","=",J_SUBDAY(J_ADDDAY(D158,N158,1),1,1))))=2,J_SUBDAY(J_ADDDAY(D158,N158+2,1),1,1),J_SUBDAY(J_ADDDAY(D158,N158+3,1),1,1)))))</f>
        <v>1398/07/28</v>
      </c>
      <c r="G158" s="2">
        <f t="shared" si="43"/>
        <v>13980728</v>
      </c>
      <c r="H158" s="109"/>
      <c r="I158" s="110">
        <v>6.3</v>
      </c>
      <c r="J158" s="9">
        <f>j_WEEKDAY(D158,2)</f>
        <v>2</v>
      </c>
      <c r="K158" s="21">
        <f t="shared" si="46"/>
        <v>0</v>
      </c>
      <c r="L158" s="8">
        <f t="shared" si="47"/>
        <v>0</v>
      </c>
      <c r="M158" s="111">
        <v>0</v>
      </c>
      <c r="N158" s="108">
        <v>0</v>
      </c>
      <c r="O158" s="10">
        <f t="shared" si="48"/>
        <v>0</v>
      </c>
      <c r="P158" s="10">
        <f>VALUE(J_normdate(J_ADDDAY($D158,$O158,1)))</f>
        <v>13980729</v>
      </c>
      <c r="Q158" s="9">
        <f t="shared" si="49"/>
        <v>0</v>
      </c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7"/>
      <c r="CY158" s="7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/>
      <c r="DN158" s="7"/>
      <c r="DO158" s="7"/>
      <c r="DP158" s="7"/>
      <c r="DQ158" s="7"/>
      <c r="DR158" s="7"/>
      <c r="DS158" s="7"/>
      <c r="DT158" s="7"/>
      <c r="DU158" s="7"/>
      <c r="DV158" s="7"/>
      <c r="DW158" s="7"/>
      <c r="DX158" s="7"/>
      <c r="DY158" s="7"/>
      <c r="DZ158" s="7"/>
      <c r="EA158" s="7"/>
      <c r="EB158" s="7"/>
      <c r="EC158" s="7"/>
      <c r="ED158" s="7"/>
      <c r="EE158" s="7"/>
      <c r="EF158" s="7"/>
      <c r="EG158" s="7"/>
      <c r="EH158" s="7"/>
      <c r="EI158" s="7"/>
      <c r="EJ158" s="7"/>
      <c r="EK158" s="7"/>
      <c r="EL158" s="7"/>
      <c r="EM158" s="7"/>
      <c r="EN158" s="7"/>
      <c r="EO158" s="7"/>
      <c r="EP158" s="7"/>
      <c r="EQ158" s="7"/>
      <c r="ER158" s="7"/>
      <c r="ES158" s="7"/>
      <c r="ET158" s="7"/>
      <c r="EU158" s="7"/>
      <c r="EV158" s="7"/>
      <c r="EW158" s="7"/>
      <c r="EX158" s="7"/>
      <c r="EY158" s="7"/>
      <c r="EZ158" s="7"/>
      <c r="FA158" s="7"/>
      <c r="FB158" s="7"/>
      <c r="FC158" s="7"/>
      <c r="FD158" s="7"/>
      <c r="FE158" s="7"/>
      <c r="FF158" s="7"/>
      <c r="FG158" s="7"/>
      <c r="FH158" s="7"/>
      <c r="FI158" s="7"/>
      <c r="FJ158" s="7"/>
      <c r="FK158" s="7"/>
      <c r="FL158" s="7"/>
      <c r="FM158" s="7"/>
      <c r="FN158" s="7"/>
      <c r="FO158" s="7"/>
      <c r="FP158" s="7"/>
      <c r="FQ158" s="7"/>
      <c r="FR158" s="7"/>
      <c r="FS158" s="7"/>
      <c r="FT158" s="7"/>
      <c r="FU158" s="7"/>
      <c r="FV158" s="7"/>
      <c r="FW158" s="7"/>
      <c r="FX158" s="7"/>
      <c r="FY158" s="7"/>
      <c r="FZ158" s="7"/>
      <c r="GA158" s="7"/>
      <c r="GB158" s="7"/>
      <c r="GC158" s="7"/>
      <c r="GD158" s="7"/>
      <c r="GE158" s="7"/>
      <c r="GF158" s="7"/>
      <c r="GG158" s="7"/>
      <c r="GH158" s="7"/>
      <c r="GI158" s="7"/>
      <c r="GJ158" s="7"/>
      <c r="GK158" s="7"/>
      <c r="GL158" s="7"/>
      <c r="GM158" s="7"/>
      <c r="GN158" s="7"/>
      <c r="GO158" s="7"/>
      <c r="GP158" s="7"/>
      <c r="GQ158" s="7"/>
      <c r="GR158" s="7"/>
      <c r="GS158" s="7"/>
      <c r="GT158" s="7"/>
      <c r="GU158" s="7"/>
      <c r="GV158" s="7"/>
      <c r="GW158" s="7"/>
      <c r="GX158" s="7"/>
      <c r="GY158" s="7"/>
      <c r="GZ158" s="7"/>
      <c r="HA158" s="7"/>
      <c r="HB158" s="7"/>
      <c r="HC158" s="7"/>
      <c r="HD158" s="7"/>
      <c r="HE158" s="7"/>
      <c r="HF158" s="7"/>
      <c r="HG158" s="7"/>
      <c r="HH158" s="7"/>
      <c r="HI158" s="7"/>
      <c r="HJ158" s="7"/>
      <c r="HK158" s="7"/>
      <c r="HL158" s="7"/>
      <c r="HM158" s="7"/>
      <c r="HN158" s="7"/>
      <c r="HO158" s="7"/>
      <c r="HP158" s="7"/>
      <c r="HQ158" s="7"/>
      <c r="HR158" s="7"/>
      <c r="HS158" s="7"/>
      <c r="HT158" s="7"/>
      <c r="HU158" s="7"/>
      <c r="HV158" s="7"/>
      <c r="HW158" s="7"/>
      <c r="HX158" s="7"/>
      <c r="HY158" s="7"/>
      <c r="HZ158" s="7"/>
      <c r="IA158" s="7"/>
      <c r="IB158" s="7"/>
      <c r="IC158" s="7"/>
      <c r="ID158" s="7"/>
      <c r="IE158" s="7"/>
      <c r="IF158" s="7"/>
      <c r="IG158" s="7"/>
      <c r="IH158" s="7"/>
      <c r="II158" s="7"/>
      <c r="IJ158" s="7"/>
      <c r="IK158" s="7"/>
      <c r="IL158" s="7"/>
      <c r="IM158" s="7"/>
      <c r="IN158" s="7"/>
      <c r="IO158" s="7"/>
      <c r="IP158" s="7"/>
      <c r="IQ158" s="7"/>
      <c r="IR158" s="7"/>
      <c r="IS158" s="7"/>
      <c r="IT158" s="7"/>
      <c r="IU158" s="7"/>
      <c r="IV158" s="7"/>
      <c r="IW158" s="7"/>
      <c r="IX158" s="7"/>
      <c r="JA158" s="113"/>
      <c r="JB158" s="113"/>
      <c r="JC158" s="113"/>
      <c r="JD158" s="66">
        <f>SUM((TEXT(JA158,"[M]")/60)*'Income Person-hours'!$D$3,(TEXT(JB158,"[M]")/60)*'Income Person-hours'!$D$4,(TEXT(JC158,"[M]")/60)*'Income Person-hours'!$D$5)</f>
        <v>0</v>
      </c>
    </row>
    <row r="159" spans="1:264" s="11" customFormat="1" ht="11.25" hidden="1">
      <c r="A159" s="30">
        <v>6.22</v>
      </c>
      <c r="B159" s="116"/>
      <c r="C159" s="107"/>
      <c r="D159" s="12" t="str">
        <f>IF(OR(j_WEEKDAY(J_ADDDAY(VLOOKUP(I159,A:F,6,FALSE),H159,1),0)=6,SUMIFS(Holieday[ok],Holieday[date],J_ADDDAY(VLOOKUP(I159,A:F,6,FALSE),H159,1)))=FALSE(),J_ADDDAY(VLOOKUP(I159,A:F,6,FALSE),H159,1),IF(OR(j_WEEKDAY(J_ADDDAY(VLOOKUP(I159,A:F,6,FALSE),H159+1,1),0)=6,SUMIFS(Holieday[ok],Holieday[date],J_ADDDAY(VLOOKUP(I159,A:F,6,FALSE),H159+1,1)))=FALSE(),J_ADDDAY(VLOOKUP(I159,A:F,6,FALSE),H159+1,1),IF(OR(j_WEEKDAY(J_ADDDAY(VLOOKUP(I159,A:F,6,FALSE),H159+2,1),0)=6,SUMIFS(Holieday[ok],Holieday[date],J_ADDDAY(VLOOKUP(I159,A:F,6,FALSE),H159+2,1)))=FALSE(),J_ADDDAY(VLOOKUP(I159,A:F,6,FALSE),H159+2,1),IF(OR(j_WEEKDAY(J_ADDDAY(VLOOKUP(I159,A:F,6,FALSE),H159+3,1),0)=6,SUMIFS(Holieday[ok],Holieday[date],J_ADDDAY(VLOOKUP(I159,A:F,6,FALSE),H159+3,1)))=FALSE(),J_ADDDAY(VLOOKUP(I159,A:F,6,FALSE),H159+3,1),IF(OR(j_WEEKDAY(J_ADDDAY(VLOOKUP(I159,A:F,6,FALSE),H159+4,1),0)=6,SUMIFS(Holieday[ok],Holieday[date],J_ADDDAY(VLOOKUP(I159,A:F,6,FALSE),H159+4,1)))=FALSE(),J_ADDDAY(VLOOKUP(I159,A:F,6,FALSE),H159+4,1),J_ADDDAY(VLOOKUP(I159,A:F,6,FALSE),H159+5,1))))))</f>
        <v>1398/07/29</v>
      </c>
      <c r="E159" s="1">
        <f t="shared" ref="E159:E190" si="50">VALUE(J_normdate(D159))</f>
        <v>13980729</v>
      </c>
      <c r="F159" s="12" t="str">
        <f>IF(N159=0,J_SUBDAY(D159,1,1),IF((N159-NETWORKDAYS.INTL(J_GregorianDate(D159,1),J_GregorianDate(J_SUBDAY(J_ADDDAY(D159,N159,1),1,1),1),16,1)-SUMIFS(Holieday[ok],Holieday[date],CONCATENATE("&gt;","=",D159),Holieday[date],CONCATENATE("&lt;","=",J_SUBDAY(J_ADDDAY(D159,N159,1),1,1)))+SUMIFS(Holieday[Friday],Holieday[date],CONCATENATE("&gt;","=",D159),Holieday[date],CONCATENATE("&lt;","=",J_SUBDAY(J_ADDDAY(D159,N159,1),1,1))))=0,J_SUBDAY(J_ADDDAY(D159,N159,1),1,1),IF((N159-NETWORKDAYS.INTL(J_GregorianDate(D159,1),J_GregorianDate(J_SUBDAY(J_ADDDAY(D159,N159,1),1,1),1),16,1)-SUMIFS(Holieday[ok],Holieday[date],CONCATENATE("&gt;","=",D159),Holieday[date],CONCATENATE("&lt;","=",J_SUBDAY(J_ADDDAY(D159,N159,1),1,1)))+SUMIFS(Holieday[Friday],Holieday[date],CONCATENATE("&gt;","=",D159),Holieday[date],CONCATENATE("&lt;","=",J_SUBDAY(J_ADDDAY(D159,N159,1),1,1))))=1,J_SUBDAY(J_ADDDAY(D159,N159+1,1),1,1),IF((N159-NETWORKDAYS.INTL(J_GregorianDate(D159,1),J_GregorianDate(J_SUBDAY(J_ADDDAY(D159,N159,1),1,1),1),16,1)-SUMIFS(Holieday[ok],Holieday[date],CONCATENATE("&gt;","=",D159),Holieday[date],CONCATENATE("&lt;","=",J_SUBDAY(J_ADDDAY(D159,N159,1),1,1)))+SUMIFS(Holieday[Friday],Holieday[date],CONCATENATE("&gt;","=",D159),Holieday[date],CONCATENATE("&lt;","=",J_SUBDAY(J_ADDDAY(D159,N159,1),1,1))))=2,J_SUBDAY(J_ADDDAY(D159,N159+2,1),1,1),J_SUBDAY(J_ADDDAY(D159,N159+3,1),1,1)))))</f>
        <v>1398/07/28</v>
      </c>
      <c r="G159" s="2">
        <f t="shared" ref="G159:G190" si="51">VALUE(J_normdate(F159))</f>
        <v>13980728</v>
      </c>
      <c r="H159" s="109"/>
      <c r="I159" s="110">
        <v>6.3</v>
      </c>
      <c r="J159" s="9">
        <f>j_WEEKDAY(D159,2)</f>
        <v>2</v>
      </c>
      <c r="K159" s="21">
        <f t="shared" si="46"/>
        <v>0</v>
      </c>
      <c r="L159" s="8">
        <f t="shared" si="47"/>
        <v>0</v>
      </c>
      <c r="M159" s="111">
        <v>0</v>
      </c>
      <c r="N159" s="108">
        <v>0</v>
      </c>
      <c r="O159" s="10">
        <f t="shared" si="48"/>
        <v>0</v>
      </c>
      <c r="P159" s="10">
        <f>VALUE(J_normdate(J_ADDDAY($D159,$O159,1)))</f>
        <v>13980729</v>
      </c>
      <c r="Q159" s="9">
        <f t="shared" si="49"/>
        <v>0</v>
      </c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7"/>
      <c r="CY159" s="7"/>
      <c r="CZ159" s="7"/>
      <c r="DA159" s="7"/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  <c r="DO159" s="7"/>
      <c r="DP159" s="7"/>
      <c r="DQ159" s="7"/>
      <c r="DR159" s="7"/>
      <c r="DS159" s="7"/>
      <c r="DT159" s="7"/>
      <c r="DU159" s="7"/>
      <c r="DV159" s="7"/>
      <c r="DW159" s="7"/>
      <c r="DX159" s="7"/>
      <c r="DY159" s="7"/>
      <c r="DZ159" s="7"/>
      <c r="EA159" s="7"/>
      <c r="EB159" s="7"/>
      <c r="EC159" s="7"/>
      <c r="ED159" s="7"/>
      <c r="EE159" s="7"/>
      <c r="EF159" s="7"/>
      <c r="EG159" s="7"/>
      <c r="EH159" s="7"/>
      <c r="EI159" s="7"/>
      <c r="EJ159" s="7"/>
      <c r="EK159" s="7"/>
      <c r="EL159" s="7"/>
      <c r="EM159" s="7"/>
      <c r="EN159" s="7"/>
      <c r="EO159" s="7"/>
      <c r="EP159" s="7"/>
      <c r="EQ159" s="7"/>
      <c r="ER159" s="7"/>
      <c r="ES159" s="7"/>
      <c r="ET159" s="7"/>
      <c r="EU159" s="7"/>
      <c r="EV159" s="7"/>
      <c r="EW159" s="7"/>
      <c r="EX159" s="7"/>
      <c r="EY159" s="7"/>
      <c r="EZ159" s="7"/>
      <c r="FA159" s="7"/>
      <c r="FB159" s="7"/>
      <c r="FC159" s="7"/>
      <c r="FD159" s="7"/>
      <c r="FE159" s="7"/>
      <c r="FF159" s="7"/>
      <c r="FG159" s="7"/>
      <c r="FH159" s="7"/>
      <c r="FI159" s="7"/>
      <c r="FJ159" s="7"/>
      <c r="FK159" s="7"/>
      <c r="FL159" s="7"/>
      <c r="FM159" s="7"/>
      <c r="FN159" s="7"/>
      <c r="FO159" s="7"/>
      <c r="FP159" s="7"/>
      <c r="FQ159" s="7"/>
      <c r="FR159" s="7"/>
      <c r="FS159" s="7"/>
      <c r="FT159" s="7"/>
      <c r="FU159" s="7"/>
      <c r="FV159" s="7"/>
      <c r="FW159" s="7"/>
      <c r="FX159" s="7"/>
      <c r="FY159" s="7"/>
      <c r="FZ159" s="7"/>
      <c r="GA159" s="7"/>
      <c r="GB159" s="7"/>
      <c r="GC159" s="7"/>
      <c r="GD159" s="7"/>
      <c r="GE159" s="7"/>
      <c r="GF159" s="7"/>
      <c r="GG159" s="7"/>
      <c r="GH159" s="7"/>
      <c r="GI159" s="7"/>
      <c r="GJ159" s="7"/>
      <c r="GK159" s="7"/>
      <c r="GL159" s="7"/>
      <c r="GM159" s="7"/>
      <c r="GN159" s="7"/>
      <c r="GO159" s="7"/>
      <c r="GP159" s="7"/>
      <c r="GQ159" s="7"/>
      <c r="GR159" s="7"/>
      <c r="GS159" s="7"/>
      <c r="GT159" s="7"/>
      <c r="GU159" s="7"/>
      <c r="GV159" s="7"/>
      <c r="GW159" s="7"/>
      <c r="GX159" s="7"/>
      <c r="GY159" s="7"/>
      <c r="GZ159" s="7"/>
      <c r="HA159" s="7"/>
      <c r="HB159" s="7"/>
      <c r="HC159" s="7"/>
      <c r="HD159" s="7"/>
      <c r="HE159" s="7"/>
      <c r="HF159" s="7"/>
      <c r="HG159" s="7"/>
      <c r="HH159" s="7"/>
      <c r="HI159" s="7"/>
      <c r="HJ159" s="7"/>
      <c r="HK159" s="7"/>
      <c r="HL159" s="7"/>
      <c r="HM159" s="7"/>
      <c r="HN159" s="7"/>
      <c r="HO159" s="7"/>
      <c r="HP159" s="7"/>
      <c r="HQ159" s="7"/>
      <c r="HR159" s="7"/>
      <c r="HS159" s="7"/>
      <c r="HT159" s="7"/>
      <c r="HU159" s="7"/>
      <c r="HV159" s="7"/>
      <c r="HW159" s="7"/>
      <c r="HX159" s="7"/>
      <c r="HY159" s="7"/>
      <c r="HZ159" s="7"/>
      <c r="IA159" s="7"/>
      <c r="IB159" s="7"/>
      <c r="IC159" s="7"/>
      <c r="ID159" s="7"/>
      <c r="IE159" s="7"/>
      <c r="IF159" s="7"/>
      <c r="IG159" s="7"/>
      <c r="IH159" s="7"/>
      <c r="II159" s="7"/>
      <c r="IJ159" s="7"/>
      <c r="IK159" s="7"/>
      <c r="IL159" s="7"/>
      <c r="IM159" s="7"/>
      <c r="IN159" s="7"/>
      <c r="IO159" s="7"/>
      <c r="IP159" s="7"/>
      <c r="IQ159" s="7"/>
      <c r="IR159" s="7"/>
      <c r="IS159" s="7"/>
      <c r="IT159" s="7"/>
      <c r="IU159" s="7"/>
      <c r="IV159" s="7"/>
      <c r="IW159" s="7"/>
      <c r="IX159" s="7"/>
      <c r="JA159" s="113"/>
      <c r="JB159" s="113"/>
      <c r="JC159" s="113"/>
      <c r="JD159" s="66">
        <f>SUM((TEXT(JA159,"[M]")/60)*'Income Person-hours'!$D$3,(TEXT(JB159,"[M]")/60)*'Income Person-hours'!$D$4,(TEXT(JC159,"[M]")/60)*'Income Person-hours'!$D$5)</f>
        <v>0</v>
      </c>
    </row>
    <row r="160" spans="1:264" s="11" customFormat="1" ht="11.25" hidden="1">
      <c r="A160" s="30">
        <v>6.23</v>
      </c>
      <c r="B160" s="116"/>
      <c r="C160" s="107"/>
      <c r="D160" s="12" t="str">
        <f>IF(OR(j_WEEKDAY(J_ADDDAY(VLOOKUP(I160,A:F,6,FALSE),H160,1),0)=6,SUMIFS(Holieday[ok],Holieday[date],J_ADDDAY(VLOOKUP(I160,A:F,6,FALSE),H160,1)))=FALSE(),J_ADDDAY(VLOOKUP(I160,A:F,6,FALSE),H160,1),IF(OR(j_WEEKDAY(J_ADDDAY(VLOOKUP(I160,A:F,6,FALSE),H160+1,1),0)=6,SUMIFS(Holieday[ok],Holieday[date],J_ADDDAY(VLOOKUP(I160,A:F,6,FALSE),H160+1,1)))=FALSE(),J_ADDDAY(VLOOKUP(I160,A:F,6,FALSE),H160+1,1),IF(OR(j_WEEKDAY(J_ADDDAY(VLOOKUP(I160,A:F,6,FALSE),H160+2,1),0)=6,SUMIFS(Holieday[ok],Holieday[date],J_ADDDAY(VLOOKUP(I160,A:F,6,FALSE),H160+2,1)))=FALSE(),J_ADDDAY(VLOOKUP(I160,A:F,6,FALSE),H160+2,1),IF(OR(j_WEEKDAY(J_ADDDAY(VLOOKUP(I160,A:F,6,FALSE),H160+3,1),0)=6,SUMIFS(Holieday[ok],Holieday[date],J_ADDDAY(VLOOKUP(I160,A:F,6,FALSE),H160+3,1)))=FALSE(),J_ADDDAY(VLOOKUP(I160,A:F,6,FALSE),H160+3,1),IF(OR(j_WEEKDAY(J_ADDDAY(VLOOKUP(I160,A:F,6,FALSE),H160+4,1),0)=6,SUMIFS(Holieday[ok],Holieday[date],J_ADDDAY(VLOOKUP(I160,A:F,6,FALSE),H160+4,1)))=FALSE(),J_ADDDAY(VLOOKUP(I160,A:F,6,FALSE),H160+4,1),J_ADDDAY(VLOOKUP(I160,A:F,6,FALSE),H160+5,1))))))</f>
        <v>1398/07/29</v>
      </c>
      <c r="E160" s="1">
        <f t="shared" si="50"/>
        <v>13980729</v>
      </c>
      <c r="F160" s="12" t="str">
        <f>IF(N160=0,J_SUBDAY(D160,1,1),IF((N160-NETWORKDAYS.INTL(J_GregorianDate(D160,1),J_GregorianDate(J_SUBDAY(J_ADDDAY(D160,N160,1),1,1),1),16,1)-SUMIFS(Holieday[ok],Holieday[date],CONCATENATE("&gt;","=",D160),Holieday[date],CONCATENATE("&lt;","=",J_SUBDAY(J_ADDDAY(D160,N160,1),1,1)))+SUMIFS(Holieday[Friday],Holieday[date],CONCATENATE("&gt;","=",D160),Holieday[date],CONCATENATE("&lt;","=",J_SUBDAY(J_ADDDAY(D160,N160,1),1,1))))=0,J_SUBDAY(J_ADDDAY(D160,N160,1),1,1),IF((N160-NETWORKDAYS.INTL(J_GregorianDate(D160,1),J_GregorianDate(J_SUBDAY(J_ADDDAY(D160,N160,1),1,1),1),16,1)-SUMIFS(Holieday[ok],Holieday[date],CONCATENATE("&gt;","=",D160),Holieday[date],CONCATENATE("&lt;","=",J_SUBDAY(J_ADDDAY(D160,N160,1),1,1)))+SUMIFS(Holieday[Friday],Holieday[date],CONCATENATE("&gt;","=",D160),Holieday[date],CONCATENATE("&lt;","=",J_SUBDAY(J_ADDDAY(D160,N160,1),1,1))))=1,J_SUBDAY(J_ADDDAY(D160,N160+1,1),1,1),IF((N160-NETWORKDAYS.INTL(J_GregorianDate(D160,1),J_GregorianDate(J_SUBDAY(J_ADDDAY(D160,N160,1),1,1),1),16,1)-SUMIFS(Holieday[ok],Holieday[date],CONCATENATE("&gt;","=",D160),Holieday[date],CONCATENATE("&lt;","=",J_SUBDAY(J_ADDDAY(D160,N160,1),1,1)))+SUMIFS(Holieday[Friday],Holieday[date],CONCATENATE("&gt;","=",D160),Holieday[date],CONCATENATE("&lt;","=",J_SUBDAY(J_ADDDAY(D160,N160,1),1,1))))=2,J_SUBDAY(J_ADDDAY(D160,N160+2,1),1,1),J_SUBDAY(J_ADDDAY(D160,N160+3,1),1,1)))))</f>
        <v>1398/07/28</v>
      </c>
      <c r="G160" s="2">
        <f t="shared" si="51"/>
        <v>13980728</v>
      </c>
      <c r="H160" s="109"/>
      <c r="I160" s="110">
        <v>6.3</v>
      </c>
      <c r="J160" s="9">
        <f>j_WEEKDAY(D160,2)</f>
        <v>2</v>
      </c>
      <c r="K160" s="21">
        <f t="shared" si="46"/>
        <v>0</v>
      </c>
      <c r="L160" s="8">
        <f t="shared" si="47"/>
        <v>0</v>
      </c>
      <c r="M160" s="111">
        <v>0</v>
      </c>
      <c r="N160" s="108">
        <v>0</v>
      </c>
      <c r="O160" s="10">
        <f t="shared" si="48"/>
        <v>0</v>
      </c>
      <c r="P160" s="10">
        <f>VALUE(J_normdate(J_ADDDAY($D160,$O160,1)))</f>
        <v>13980729</v>
      </c>
      <c r="Q160" s="9">
        <f t="shared" si="49"/>
        <v>0</v>
      </c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/>
      <c r="CQ160" s="7"/>
      <c r="CR160" s="7"/>
      <c r="CS160" s="7"/>
      <c r="CT160" s="7"/>
      <c r="CU160" s="7"/>
      <c r="CV160" s="7"/>
      <c r="CW160" s="7"/>
      <c r="CX160" s="7"/>
      <c r="CY160" s="7"/>
      <c r="CZ160" s="7"/>
      <c r="DA160" s="7"/>
      <c r="DB160" s="7"/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7"/>
      <c r="DO160" s="7"/>
      <c r="DP160" s="7"/>
      <c r="DQ160" s="7"/>
      <c r="DR160" s="7"/>
      <c r="DS160" s="7"/>
      <c r="DT160" s="7"/>
      <c r="DU160" s="7"/>
      <c r="DV160" s="7"/>
      <c r="DW160" s="7"/>
      <c r="DX160" s="7"/>
      <c r="DY160" s="7"/>
      <c r="DZ160" s="7"/>
      <c r="EA160" s="7"/>
      <c r="EB160" s="7"/>
      <c r="EC160" s="7"/>
      <c r="ED160" s="7"/>
      <c r="EE160" s="7"/>
      <c r="EF160" s="7"/>
      <c r="EG160" s="7"/>
      <c r="EH160" s="7"/>
      <c r="EI160" s="7"/>
      <c r="EJ160" s="7"/>
      <c r="EK160" s="7"/>
      <c r="EL160" s="7"/>
      <c r="EM160" s="7"/>
      <c r="EN160" s="7"/>
      <c r="EO160" s="7"/>
      <c r="EP160" s="7"/>
      <c r="EQ160" s="7"/>
      <c r="ER160" s="7"/>
      <c r="ES160" s="7"/>
      <c r="ET160" s="7"/>
      <c r="EU160" s="7"/>
      <c r="EV160" s="7"/>
      <c r="EW160" s="7"/>
      <c r="EX160" s="7"/>
      <c r="EY160" s="7"/>
      <c r="EZ160" s="7"/>
      <c r="FA160" s="7"/>
      <c r="FB160" s="7"/>
      <c r="FC160" s="7"/>
      <c r="FD160" s="7"/>
      <c r="FE160" s="7"/>
      <c r="FF160" s="7"/>
      <c r="FG160" s="7"/>
      <c r="FH160" s="7"/>
      <c r="FI160" s="7"/>
      <c r="FJ160" s="7"/>
      <c r="FK160" s="7"/>
      <c r="FL160" s="7"/>
      <c r="FM160" s="7"/>
      <c r="FN160" s="7"/>
      <c r="FO160" s="7"/>
      <c r="FP160" s="7"/>
      <c r="FQ160" s="7"/>
      <c r="FR160" s="7"/>
      <c r="FS160" s="7"/>
      <c r="FT160" s="7"/>
      <c r="FU160" s="7"/>
      <c r="FV160" s="7"/>
      <c r="FW160" s="7"/>
      <c r="FX160" s="7"/>
      <c r="FY160" s="7"/>
      <c r="FZ160" s="7"/>
      <c r="GA160" s="7"/>
      <c r="GB160" s="7"/>
      <c r="GC160" s="7"/>
      <c r="GD160" s="7"/>
      <c r="GE160" s="7"/>
      <c r="GF160" s="7"/>
      <c r="GG160" s="7"/>
      <c r="GH160" s="7"/>
      <c r="GI160" s="7"/>
      <c r="GJ160" s="7"/>
      <c r="GK160" s="7"/>
      <c r="GL160" s="7"/>
      <c r="GM160" s="7"/>
      <c r="GN160" s="7"/>
      <c r="GO160" s="7"/>
      <c r="GP160" s="7"/>
      <c r="GQ160" s="7"/>
      <c r="GR160" s="7"/>
      <c r="GS160" s="7"/>
      <c r="GT160" s="7"/>
      <c r="GU160" s="7"/>
      <c r="GV160" s="7"/>
      <c r="GW160" s="7"/>
      <c r="GX160" s="7"/>
      <c r="GY160" s="7"/>
      <c r="GZ160" s="7"/>
      <c r="HA160" s="7"/>
      <c r="HB160" s="7"/>
      <c r="HC160" s="7"/>
      <c r="HD160" s="7"/>
      <c r="HE160" s="7"/>
      <c r="HF160" s="7"/>
      <c r="HG160" s="7"/>
      <c r="HH160" s="7"/>
      <c r="HI160" s="7"/>
      <c r="HJ160" s="7"/>
      <c r="HK160" s="7"/>
      <c r="HL160" s="7"/>
      <c r="HM160" s="7"/>
      <c r="HN160" s="7"/>
      <c r="HO160" s="7"/>
      <c r="HP160" s="7"/>
      <c r="HQ160" s="7"/>
      <c r="HR160" s="7"/>
      <c r="HS160" s="7"/>
      <c r="HT160" s="7"/>
      <c r="HU160" s="7"/>
      <c r="HV160" s="7"/>
      <c r="HW160" s="7"/>
      <c r="HX160" s="7"/>
      <c r="HY160" s="7"/>
      <c r="HZ160" s="7"/>
      <c r="IA160" s="7"/>
      <c r="IB160" s="7"/>
      <c r="IC160" s="7"/>
      <c r="ID160" s="7"/>
      <c r="IE160" s="7"/>
      <c r="IF160" s="7"/>
      <c r="IG160" s="7"/>
      <c r="IH160" s="7"/>
      <c r="II160" s="7"/>
      <c r="IJ160" s="7"/>
      <c r="IK160" s="7"/>
      <c r="IL160" s="7"/>
      <c r="IM160" s="7"/>
      <c r="IN160" s="7"/>
      <c r="IO160" s="7"/>
      <c r="IP160" s="7"/>
      <c r="IQ160" s="7"/>
      <c r="IR160" s="7"/>
      <c r="IS160" s="7"/>
      <c r="IT160" s="7"/>
      <c r="IU160" s="7"/>
      <c r="IV160" s="7"/>
      <c r="IW160" s="7"/>
      <c r="IX160" s="7"/>
      <c r="JA160" s="113"/>
      <c r="JB160" s="113"/>
      <c r="JC160" s="113"/>
      <c r="JD160" s="66">
        <f>SUM((TEXT(JA160,"[M]")/60)*'Income Person-hours'!$D$3,(TEXT(JB160,"[M]")/60)*'Income Person-hours'!$D$4,(TEXT(JC160,"[M]")/60)*'Income Person-hours'!$D$5)</f>
        <v>0</v>
      </c>
    </row>
    <row r="161" spans="1:264 16383:16384" s="334" customFormat="1" ht="13.5">
      <c r="A161" s="325">
        <v>7</v>
      </c>
      <c r="B161" s="348" t="s">
        <v>69</v>
      </c>
      <c r="C161" s="349"/>
      <c r="D161" s="328" t="str">
        <f>FDate(MIN(E162:E182))</f>
        <v>1398/09/14</v>
      </c>
      <c r="E161" s="160">
        <f t="shared" si="50"/>
        <v>13980914</v>
      </c>
      <c r="F161" s="328" t="str">
        <f>J_SUBDAY(J_ADDDAY(D161,L161,1),1,1)</f>
        <v>1398/10/01</v>
      </c>
      <c r="G161" s="163">
        <f t="shared" si="51"/>
        <v>13981001</v>
      </c>
      <c r="H161" s="340"/>
      <c r="I161" s="341"/>
      <c r="J161" s="328">
        <f>j_WEEKDAY(D161,2)</f>
        <v>5</v>
      </c>
      <c r="K161" s="164">
        <f>SUM(K162:K182)</f>
        <v>0</v>
      </c>
      <c r="L161" s="331">
        <f>J_DIFF(D161,FDate(MAX(G162:G182)))+1</f>
        <v>18</v>
      </c>
      <c r="M161" s="332">
        <f>IF(SUM(L162:L182)&lt;&gt;0,SUMPRODUCT(L162:L182,M162:M182)/SUM(L162:L182),0)</f>
        <v>0</v>
      </c>
      <c r="N161" s="333">
        <f>IF(F161&gt;=D161,NETWORKDAYS.INTL(J_GregorianDate(D161,1),J_GregorianDate(F161,1),16,1)-SUMIFS(Holieday[ok],Holieday[date],CONCATENATE("&gt;","=",D161),Holieday[date],CONCATENATE("&lt;","=",F161))+SUMIFS(Holieday[Friday],Holieday[date],CONCATENATE("&gt;","=",D161),Holieday[date],CONCATENATE("&lt;","=",F161)),0)</f>
        <v>15</v>
      </c>
      <c r="O161" s="159">
        <f t="shared" ref="O161" si="52">ROUNDDOWN(M161*L161,0)</f>
        <v>0</v>
      </c>
      <c r="P161" s="159">
        <f>VALUE(J_normdate(J_ADDDAY($D161,$O161,1)))</f>
        <v>13980914</v>
      </c>
      <c r="Q161" s="162">
        <f t="shared" ref="Q161" si="53">L161-O161</f>
        <v>18</v>
      </c>
      <c r="R161" s="343"/>
      <c r="IY161" s="350"/>
      <c r="IZ161" s="350"/>
      <c r="JA161" s="337"/>
      <c r="JB161" s="351"/>
      <c r="XFC161" s="352"/>
      <c r="XFD161" s="352"/>
    </row>
    <row r="162" spans="1:264 16383:16384" s="169" customFormat="1" ht="13.5">
      <c r="A162" s="243">
        <v>7.1</v>
      </c>
      <c r="B162" s="241" t="s">
        <v>117</v>
      </c>
      <c r="C162" s="228" t="s">
        <v>110</v>
      </c>
      <c r="D162" s="244" t="str">
        <f>IF(OR(j_WEEKDAY(J_ADDDAY(VLOOKUP(I162,A:F,6,FALSE),H162,1),0)=6,SUMIFS(Holieday[ok],Holieday[date],J_ADDDAY(VLOOKUP(I162,A:F,6,FALSE),H162,1)))=FALSE(),J_ADDDAY(VLOOKUP(I162,A:F,6,FALSE),H162,1),IF(OR(j_WEEKDAY(J_ADDDAY(VLOOKUP(I162,A:F,6,FALSE),H162+1,1),0)=6,SUMIFS(Holieday[ok],Holieday[date],J_ADDDAY(VLOOKUP(I162,A:F,6,FALSE),H162+1,1)))=FALSE(),J_ADDDAY(VLOOKUP(I162,A:F,6,FALSE),H162+1,1),IF(OR(j_WEEKDAY(J_ADDDAY(VLOOKUP(I162,A:F,6,FALSE),H162+2,1),0)=6,SUMIFS(Holieday[ok],Holieday[date],J_ADDDAY(VLOOKUP(I162,A:F,6,FALSE),H162+2,1)))=FALSE(),J_ADDDAY(VLOOKUP(I162,A:F,6,FALSE),H162+2,1),IF(OR(j_WEEKDAY(J_ADDDAY(VLOOKUP(I162,A:F,6,FALSE),H162+3,1),0)=6,SUMIFS(Holieday[ok],Holieday[date],J_ADDDAY(VLOOKUP(I162,A:F,6,FALSE),H162+3,1)))=FALSE(),J_ADDDAY(VLOOKUP(I162,A:F,6,FALSE),H162+3,1),IF(OR(j_WEEKDAY(J_ADDDAY(VLOOKUP(I162,A:F,6,FALSE),H162+4,1),0)=6,SUMIFS(Holieday[ok],Holieday[date],J_ADDDAY(VLOOKUP(I162,A:F,6,FALSE),H162+4,1)))=FALSE(),J_ADDDAY(VLOOKUP(I162,A:F,6,FALSE),H162+4,1),J_ADDDAY(VLOOKUP(I162,A:F,6,FALSE),H162+5,1))))))</f>
        <v>1398/09/14</v>
      </c>
      <c r="E162" s="160">
        <f t="shared" si="50"/>
        <v>13980914</v>
      </c>
      <c r="F162" s="244" t="str">
        <f>IF(N162=0,J_SUBDAY(D162,1,1),IF((N162-NETWORKDAYS.INTL(J_GregorianDate(D162,1),J_GregorianDate(J_SUBDAY(J_ADDDAY(D162,N162,1),1,1),1),16,1)-SUMIFS(Holieday[ok],Holieday[date],CONCATENATE("&gt;","=",D162),Holieday[date],CONCATENATE("&lt;","=",J_SUBDAY(J_ADDDAY(D162,N162,1),1,1)))+SUMIFS(Holieday[Friday],Holieday[date],CONCATENATE("&gt;","=",D162),Holieday[date],CONCATENATE("&lt;","=",J_SUBDAY(J_ADDDAY(D162,N162,1),1,1))))=0,J_SUBDAY(J_ADDDAY(D162,N162,1),1,1),IF((N162-NETWORKDAYS.INTL(J_GregorianDate(D162,1),J_GregorianDate(J_SUBDAY(J_ADDDAY(D162,N162,1),1,1),1),16,1)-SUMIFS(Holieday[ok],Holieday[date],CONCATENATE("&gt;","=",D162),Holieday[date],CONCATENATE("&lt;","=",J_SUBDAY(J_ADDDAY(D162,N162,1),1,1)))+SUMIFS(Holieday[Friday],Holieday[date],CONCATENATE("&gt;","=",D162),Holieday[date],CONCATENATE("&lt;","=",J_SUBDAY(J_ADDDAY(D162,N162,1),1,1))))=1,J_SUBDAY(J_ADDDAY(D162,N162+1,1),1,1),IF((N162-NETWORKDAYS.INTL(J_GregorianDate(D162,1),J_GregorianDate(J_SUBDAY(J_ADDDAY(D162,N162,1),1,1),1),16,1)-SUMIFS(Holieday[ok],Holieday[date],CONCATENATE("&gt;","=",D162),Holieday[date],CONCATENATE("&lt;","=",J_SUBDAY(J_ADDDAY(D162,N162,1),1,1)))+SUMIFS(Holieday[Friday],Holieday[date],CONCATENATE("&gt;","=",D162),Holieday[date],CONCATENATE("&lt;","=",J_SUBDAY(J_ADDDAY(D162,N162,1),1,1))))=2,J_SUBDAY(J_ADDDAY(D162,N162+2,1),1,1),J_SUBDAY(J_ADDDAY(D162,N162+3,1),1,1)))))</f>
        <v>1398/09/14</v>
      </c>
      <c r="G162" s="163">
        <f t="shared" si="51"/>
        <v>13980914</v>
      </c>
      <c r="H162" s="230">
        <v>1</v>
      </c>
      <c r="I162" s="231">
        <v>3.27</v>
      </c>
      <c r="J162" s="229">
        <f>j_WEEKDAY(D162,2)</f>
        <v>5</v>
      </c>
      <c r="K162" s="173">
        <f t="shared" ref="K162:K182" si="54">SUM(JA162:JC162)</f>
        <v>0</v>
      </c>
      <c r="L162" s="270">
        <f t="shared" ref="L162:L182" si="55">J_DIFF(D162,F162)+1</f>
        <v>1</v>
      </c>
      <c r="M162" s="271">
        <v>0</v>
      </c>
      <c r="N162" s="234">
        <v>1</v>
      </c>
      <c r="O162" s="175">
        <f t="shared" ref="O162" si="56">ROUNDDOWN(M162*L162,0)</f>
        <v>0</v>
      </c>
      <c r="P162" s="175">
        <f>VALUE(J_normdate(J_ADDDAY($D162,$O162,1)))</f>
        <v>13980914</v>
      </c>
      <c r="Q162" s="171">
        <f t="shared" ref="Q162" si="57">L162-O162</f>
        <v>1</v>
      </c>
      <c r="R162" s="235"/>
      <c r="IY162" s="7"/>
      <c r="IZ162" s="7"/>
      <c r="JA162" s="107"/>
      <c r="JB162" s="213"/>
      <c r="JC162" s="107"/>
      <c r="JD162" s="212">
        <f>SUM((TEXT(JA162,"[M]")/60)*'Income Person-hours'!$D$3,(TEXT(JB162,"[M]")/60)*'Income Person-hours'!$D$4,(TEXT(JC162,"[M]")/60)*'Income Person-hours'!$D$5)</f>
        <v>0</v>
      </c>
    </row>
    <row r="163" spans="1:264 16383:16384" s="191" customFormat="1" ht="13.5">
      <c r="A163" s="252">
        <v>7.2</v>
      </c>
      <c r="B163" s="241" t="s">
        <v>80</v>
      </c>
      <c r="C163" s="228" t="s">
        <v>110</v>
      </c>
      <c r="D163" s="244" t="str">
        <f>IF(OR(j_WEEKDAY(J_ADDDAY(VLOOKUP(I163,A:F,6,FALSE),H163,1),0)=6,SUMIFS(Holieday[ok],Holieday[date],J_ADDDAY(VLOOKUP(I163,A:F,6,FALSE),H163,1)))=FALSE(),J_ADDDAY(VLOOKUP(I163,A:F,6,FALSE),H163,1),IF(OR(j_WEEKDAY(J_ADDDAY(VLOOKUP(I163,A:F,6,FALSE),H163+1,1),0)=6,SUMIFS(Holieday[ok],Holieday[date],J_ADDDAY(VLOOKUP(I163,A:F,6,FALSE),H163+1,1)))=FALSE(),J_ADDDAY(VLOOKUP(I163,A:F,6,FALSE),H163+1,1),IF(OR(j_WEEKDAY(J_ADDDAY(VLOOKUP(I163,A:F,6,FALSE),H163+2,1),0)=6,SUMIFS(Holieday[ok],Holieday[date],J_ADDDAY(VLOOKUP(I163,A:F,6,FALSE),H163+2,1)))=FALSE(),J_ADDDAY(VLOOKUP(I163,A:F,6,FALSE),H163+2,1),IF(OR(j_WEEKDAY(J_ADDDAY(VLOOKUP(I163,A:F,6,FALSE),H163+3,1),0)=6,SUMIFS(Holieday[ok],Holieday[date],J_ADDDAY(VLOOKUP(I163,A:F,6,FALSE),H163+3,1)))=FALSE(),J_ADDDAY(VLOOKUP(I163,A:F,6,FALSE),H163+3,1),IF(OR(j_WEEKDAY(J_ADDDAY(VLOOKUP(I163,A:F,6,FALSE),H163+4,1),0)=6,SUMIFS(Holieday[ok],Holieday[date],J_ADDDAY(VLOOKUP(I163,A:F,6,FALSE),H163+4,1)))=FALSE(),J_ADDDAY(VLOOKUP(I163,A:F,6,FALSE),H163+4,1),J_ADDDAY(VLOOKUP(I163,A:F,6,FALSE),H163+5,1))))))</f>
        <v>1398/09/30</v>
      </c>
      <c r="E163" s="160">
        <f t="shared" si="50"/>
        <v>13980930</v>
      </c>
      <c r="F163" s="244" t="str">
        <f>IF(N163=0,J_SUBDAY(D163,1,1),IF((N163-NETWORKDAYS.INTL(J_GregorianDate(D163,1),J_GregorianDate(J_SUBDAY(J_ADDDAY(D163,N163,1),1,1),1),16,1)-SUMIFS(Holieday[ok],Holieday[date],CONCATENATE("&gt;","=",D163),Holieday[date],CONCATENATE("&lt;","=",J_SUBDAY(J_ADDDAY(D163,N163,1),1,1)))+SUMIFS(Holieday[Friday],Holieday[date],CONCATENATE("&gt;","=",D163),Holieday[date],CONCATENATE("&lt;","=",J_SUBDAY(J_ADDDAY(D163,N163,1),1,1))))=0,J_SUBDAY(J_ADDDAY(D163,N163,1),1,1),IF((N163-NETWORKDAYS.INTL(J_GregorianDate(D163,1),J_GregorianDate(J_SUBDAY(J_ADDDAY(D163,N163,1),1,1),1),16,1)-SUMIFS(Holieday[ok],Holieday[date],CONCATENATE("&gt;","=",D163),Holieday[date],CONCATENATE("&lt;","=",J_SUBDAY(J_ADDDAY(D163,N163,1),1,1)))+SUMIFS(Holieday[Friday],Holieday[date],CONCATENATE("&gt;","=",D163),Holieday[date],CONCATENATE("&lt;","=",J_SUBDAY(J_ADDDAY(D163,N163,1),1,1))))=1,J_SUBDAY(J_ADDDAY(D163,N163+1,1),1,1),IF((N163-NETWORKDAYS.INTL(J_GregorianDate(D163,1),J_GregorianDate(J_SUBDAY(J_ADDDAY(D163,N163,1),1,1),1),16,1)-SUMIFS(Holieday[ok],Holieday[date],CONCATENATE("&gt;","=",D163),Holieday[date],CONCATENATE("&lt;","=",J_SUBDAY(J_ADDDAY(D163,N163,1),1,1)))+SUMIFS(Holieday[Friday],Holieday[date],CONCATENATE("&gt;","=",D163),Holieday[date],CONCATENATE("&lt;","=",J_SUBDAY(J_ADDDAY(D163,N163,1),1,1))))=2,J_SUBDAY(J_ADDDAY(D163,N163+2,1),1,1),J_SUBDAY(J_ADDDAY(D163,N163+3,1),1,1)))))</f>
        <v>1398/10/01</v>
      </c>
      <c r="G163" s="163">
        <f t="shared" si="51"/>
        <v>13981001</v>
      </c>
      <c r="H163" s="230">
        <v>15</v>
      </c>
      <c r="I163" s="231">
        <v>7.1</v>
      </c>
      <c r="J163" s="229">
        <f>j_WEEKDAY(D163,2)</f>
        <v>0</v>
      </c>
      <c r="K163" s="173">
        <f t="shared" si="54"/>
        <v>0</v>
      </c>
      <c r="L163" s="232">
        <f t="shared" si="55"/>
        <v>2</v>
      </c>
      <c r="M163" s="233">
        <v>0</v>
      </c>
      <c r="N163" s="234">
        <v>2</v>
      </c>
      <c r="O163" s="175">
        <f t="shared" ref="O163:O182" si="58">ROUNDDOWN(M163*L163,0)</f>
        <v>0</v>
      </c>
      <c r="P163" s="175">
        <f>VALUE(J_normdate(J_ADDDAY($D163,$O163,1)))</f>
        <v>13980930</v>
      </c>
      <c r="Q163" s="171">
        <f t="shared" ref="Q163:Q182" si="59">L163-O163</f>
        <v>2</v>
      </c>
      <c r="R163" s="235"/>
      <c r="S163" s="169"/>
      <c r="T163" s="169"/>
      <c r="U163" s="169"/>
      <c r="V163" s="169"/>
      <c r="W163" s="169"/>
      <c r="X163" s="169"/>
      <c r="Y163" s="169"/>
      <c r="Z163" s="169"/>
      <c r="AA163" s="169"/>
      <c r="AB163" s="169"/>
      <c r="AC163" s="169"/>
      <c r="AD163" s="169"/>
      <c r="AE163" s="169"/>
      <c r="AF163" s="169"/>
      <c r="AG163" s="169"/>
      <c r="AH163" s="169"/>
      <c r="AI163" s="169"/>
      <c r="AJ163" s="169"/>
      <c r="AK163" s="169"/>
      <c r="AL163" s="169"/>
      <c r="AM163" s="169"/>
      <c r="AN163" s="169"/>
      <c r="AO163" s="169"/>
      <c r="AP163" s="169"/>
      <c r="AQ163" s="169"/>
      <c r="AR163" s="169"/>
      <c r="AS163" s="169"/>
      <c r="AT163" s="169"/>
      <c r="AU163" s="169"/>
      <c r="AV163" s="169"/>
      <c r="AW163" s="169"/>
      <c r="AX163" s="169"/>
      <c r="AY163" s="169"/>
      <c r="AZ163" s="169"/>
      <c r="BA163" s="169"/>
      <c r="BB163" s="169"/>
      <c r="BC163" s="169"/>
      <c r="BD163" s="169"/>
      <c r="BE163" s="169"/>
      <c r="BF163" s="169"/>
      <c r="BG163" s="169"/>
      <c r="BH163" s="169"/>
      <c r="BI163" s="169"/>
      <c r="BJ163" s="169"/>
      <c r="BK163" s="169"/>
      <c r="BL163" s="169"/>
      <c r="BM163" s="169"/>
      <c r="BN163" s="169"/>
      <c r="BO163" s="169"/>
      <c r="BP163" s="169"/>
      <c r="BQ163" s="169"/>
      <c r="BR163" s="169"/>
      <c r="BS163" s="169"/>
      <c r="BT163" s="169"/>
      <c r="BU163" s="169"/>
      <c r="BV163" s="169"/>
      <c r="BW163" s="169"/>
      <c r="BX163" s="169"/>
      <c r="BY163" s="169"/>
      <c r="BZ163" s="169"/>
      <c r="CA163" s="169"/>
      <c r="CB163" s="169"/>
      <c r="CC163" s="169"/>
      <c r="CD163" s="169"/>
      <c r="CE163" s="169"/>
      <c r="CF163" s="169"/>
      <c r="CG163" s="169"/>
      <c r="CH163" s="169"/>
      <c r="CI163" s="169"/>
      <c r="CJ163" s="169"/>
      <c r="CK163" s="169"/>
      <c r="CL163" s="169"/>
      <c r="CM163" s="169"/>
      <c r="CN163" s="169"/>
      <c r="CO163" s="169"/>
      <c r="CP163" s="169"/>
      <c r="CQ163" s="169"/>
      <c r="CR163" s="169"/>
      <c r="CS163" s="169"/>
      <c r="CT163" s="169"/>
      <c r="CU163" s="169"/>
      <c r="CV163" s="169"/>
      <c r="CW163" s="169"/>
      <c r="CX163" s="169"/>
      <c r="CY163" s="169"/>
      <c r="CZ163" s="169"/>
      <c r="DA163" s="169"/>
      <c r="DB163" s="169"/>
      <c r="DC163" s="169"/>
      <c r="DD163" s="169"/>
      <c r="DE163" s="169"/>
      <c r="DF163" s="169"/>
      <c r="DG163" s="169"/>
      <c r="DH163" s="169"/>
      <c r="DI163" s="169"/>
      <c r="DJ163" s="169"/>
      <c r="DK163" s="169"/>
      <c r="DL163" s="169"/>
      <c r="DM163" s="169"/>
      <c r="DN163" s="169"/>
      <c r="DO163" s="169"/>
      <c r="DP163" s="169"/>
      <c r="DQ163" s="169"/>
      <c r="DR163" s="169"/>
      <c r="DS163" s="169"/>
      <c r="DT163" s="169"/>
      <c r="DU163" s="169"/>
      <c r="DV163" s="169"/>
      <c r="DW163" s="169"/>
      <c r="DX163" s="169"/>
      <c r="DY163" s="169"/>
      <c r="DZ163" s="169"/>
      <c r="EA163" s="169"/>
      <c r="EB163" s="169"/>
      <c r="EC163" s="169"/>
      <c r="ED163" s="169"/>
      <c r="EE163" s="169"/>
      <c r="EF163" s="169"/>
      <c r="EG163" s="169"/>
      <c r="EH163" s="169"/>
      <c r="EI163" s="169"/>
      <c r="EJ163" s="169"/>
      <c r="EK163" s="169"/>
      <c r="EL163" s="169"/>
      <c r="EM163" s="169"/>
      <c r="EN163" s="169"/>
      <c r="EO163" s="169"/>
      <c r="EP163" s="169"/>
      <c r="EQ163" s="169"/>
      <c r="ER163" s="169"/>
      <c r="ES163" s="169"/>
      <c r="ET163" s="169"/>
      <c r="EU163" s="169"/>
      <c r="EV163" s="169"/>
      <c r="EW163" s="169"/>
      <c r="EX163" s="169"/>
      <c r="EY163" s="169"/>
      <c r="EZ163" s="169"/>
      <c r="FA163" s="169"/>
      <c r="FB163" s="169"/>
      <c r="FC163" s="169"/>
      <c r="FD163" s="169"/>
      <c r="FE163" s="169"/>
      <c r="FF163" s="169"/>
      <c r="FG163" s="169"/>
      <c r="FH163" s="169"/>
      <c r="FI163" s="169"/>
      <c r="FJ163" s="169"/>
      <c r="FK163" s="169"/>
      <c r="FL163" s="169"/>
      <c r="FM163" s="169"/>
      <c r="FN163" s="169"/>
      <c r="FO163" s="169"/>
      <c r="FP163" s="169"/>
      <c r="FQ163" s="169"/>
      <c r="FR163" s="169"/>
      <c r="FS163" s="169"/>
      <c r="FT163" s="169"/>
      <c r="FU163" s="169"/>
      <c r="FV163" s="169"/>
      <c r="FW163" s="169"/>
      <c r="FX163" s="169"/>
      <c r="FY163" s="169"/>
      <c r="FZ163" s="169"/>
      <c r="GA163" s="169"/>
      <c r="GB163" s="169"/>
      <c r="GC163" s="169"/>
      <c r="GD163" s="169"/>
      <c r="GE163" s="169"/>
      <c r="GF163" s="169"/>
      <c r="GG163" s="169"/>
      <c r="GH163" s="169"/>
      <c r="GI163" s="169"/>
      <c r="GJ163" s="169"/>
      <c r="GK163" s="169"/>
      <c r="GL163" s="169"/>
      <c r="GM163" s="169"/>
      <c r="GN163" s="169"/>
      <c r="GO163" s="169"/>
      <c r="GP163" s="169"/>
      <c r="GQ163" s="169"/>
      <c r="GR163" s="169"/>
      <c r="GS163" s="169"/>
      <c r="GT163" s="169"/>
      <c r="GU163" s="169"/>
      <c r="GV163" s="169"/>
      <c r="GW163" s="169"/>
      <c r="GX163" s="169"/>
      <c r="GY163" s="169"/>
      <c r="GZ163" s="169"/>
      <c r="HA163" s="169"/>
      <c r="HB163" s="169"/>
      <c r="HC163" s="169"/>
      <c r="HD163" s="169"/>
      <c r="HE163" s="169"/>
      <c r="HF163" s="169"/>
      <c r="HG163" s="169"/>
      <c r="HH163" s="169"/>
      <c r="HI163" s="169"/>
      <c r="HJ163" s="169"/>
      <c r="HK163" s="169"/>
      <c r="HL163" s="169"/>
      <c r="HM163" s="169"/>
      <c r="HN163" s="169"/>
      <c r="HO163" s="169"/>
      <c r="HP163" s="169"/>
      <c r="HQ163" s="169"/>
      <c r="HR163" s="169"/>
      <c r="HS163" s="169"/>
      <c r="HT163" s="169"/>
      <c r="HU163" s="169"/>
      <c r="HV163" s="169"/>
      <c r="HW163" s="169"/>
      <c r="HX163" s="169"/>
      <c r="HY163" s="169"/>
      <c r="HZ163" s="169"/>
      <c r="IA163" s="169"/>
      <c r="IB163" s="169"/>
      <c r="IC163" s="169"/>
      <c r="ID163" s="169"/>
      <c r="IE163" s="169"/>
      <c r="IF163" s="169"/>
      <c r="IG163" s="169"/>
      <c r="IH163" s="169"/>
      <c r="II163" s="169"/>
      <c r="IJ163" s="169"/>
      <c r="IK163" s="169"/>
      <c r="IL163" s="169"/>
      <c r="IM163" s="169"/>
      <c r="IN163" s="169"/>
      <c r="IO163" s="169"/>
      <c r="IP163" s="169"/>
      <c r="IQ163" s="169"/>
      <c r="IR163" s="169"/>
      <c r="IS163" s="169"/>
      <c r="IT163" s="169"/>
      <c r="IU163" s="169"/>
      <c r="IV163" s="169"/>
      <c r="IW163" s="169"/>
      <c r="IX163" s="169"/>
      <c r="IY163" s="11"/>
      <c r="IZ163" s="11"/>
      <c r="JA163" s="113"/>
      <c r="JB163" s="118"/>
      <c r="JC163" s="117"/>
      <c r="JD163" s="192">
        <f>SUM((TEXT(JA163,"[M]")/60)*'Income Person-hours'!$D$3,(TEXT(JB163,"[M]")/60)*'Income Person-hours'!$D$4,(TEXT(JC163,"[M]")/60)*'Income Person-hours'!$D$5)</f>
        <v>0</v>
      </c>
    </row>
    <row r="164" spans="1:264 16383:16384" s="191" customFormat="1" ht="11.25" hidden="1">
      <c r="A164" s="176">
        <v>7.3</v>
      </c>
      <c r="B164" s="106"/>
      <c r="C164" s="107"/>
      <c r="D164" s="172" t="str">
        <f>IF(OR(j_WEEKDAY(J_ADDDAY(VLOOKUP(I164,A:F,6,FALSE),H164,1),0)=6,SUMIFS(Holieday[ok],Holieday[date],J_ADDDAY(VLOOKUP(I164,A:F,6,FALSE),H164,1)))=FALSE(),J_ADDDAY(VLOOKUP(I164,A:F,6,FALSE),H164,1),IF(OR(j_WEEKDAY(J_ADDDAY(VLOOKUP(I164,A:F,6,FALSE),H164+1,1),0)=6,SUMIFS(Holieday[ok],Holieday[date],J_ADDDAY(VLOOKUP(I164,A:F,6,FALSE),H164+1,1)))=FALSE(),J_ADDDAY(VLOOKUP(I164,A:F,6,FALSE),H164+1,1),IF(OR(j_WEEKDAY(J_ADDDAY(VLOOKUP(I164,A:F,6,FALSE),H164+2,1),0)=6,SUMIFS(Holieday[ok],Holieday[date],J_ADDDAY(VLOOKUP(I164,A:F,6,FALSE),H164+2,1)))=FALSE(),J_ADDDAY(VLOOKUP(I164,A:F,6,FALSE),H164+2,1),IF(OR(j_WEEKDAY(J_ADDDAY(VLOOKUP(I164,A:F,6,FALSE),H164+3,1),0)=6,SUMIFS(Holieday[ok],Holieday[date],J_ADDDAY(VLOOKUP(I164,A:F,6,FALSE),H164+3,1)))=FALSE(),J_ADDDAY(VLOOKUP(I164,A:F,6,FALSE),H164+3,1),IF(OR(j_WEEKDAY(J_ADDDAY(VLOOKUP(I164,A:F,6,FALSE),H164+4,1),0)=6,SUMIFS(Holieday[ok],Holieday[date],J_ADDDAY(VLOOKUP(I164,A:F,6,FALSE),H164+4,1)))=FALSE(),J_ADDDAY(VLOOKUP(I164,A:F,6,FALSE),H164+4,1),J_ADDDAY(VLOOKUP(I164,A:F,6,FALSE),H164+5,1))))))</f>
        <v>1398/09/14</v>
      </c>
      <c r="E164" s="160">
        <f t="shared" si="50"/>
        <v>13980914</v>
      </c>
      <c r="F164" s="172" t="str">
        <f>IF(N164=0,J_SUBDAY(D164,1,1),IF((N164-NETWORKDAYS.INTL(J_GregorianDate(D164,1),J_GregorianDate(J_SUBDAY(J_ADDDAY(D164,N164,1),1,1),1),16,1)-SUMIFS(Holieday[ok],Holieday[date],CONCATENATE("&gt;","=",D164),Holieday[date],CONCATENATE("&lt;","=",J_SUBDAY(J_ADDDAY(D164,N164,1),1,1)))+SUMIFS(Holieday[Friday],Holieday[date],CONCATENATE("&gt;","=",D164),Holieday[date],CONCATENATE("&lt;","=",J_SUBDAY(J_ADDDAY(D164,N164,1),1,1))))=0,J_SUBDAY(J_ADDDAY(D164,N164,1),1,1),IF((N164-NETWORKDAYS.INTL(J_GregorianDate(D164,1),J_GregorianDate(J_SUBDAY(J_ADDDAY(D164,N164,1),1,1),1),16,1)-SUMIFS(Holieday[ok],Holieday[date],CONCATENATE("&gt;","=",D164),Holieday[date],CONCATENATE("&lt;","=",J_SUBDAY(J_ADDDAY(D164,N164,1),1,1)))+SUMIFS(Holieday[Friday],Holieday[date],CONCATENATE("&gt;","=",D164),Holieday[date],CONCATENATE("&lt;","=",J_SUBDAY(J_ADDDAY(D164,N164,1),1,1))))=1,J_SUBDAY(J_ADDDAY(D164,N164+1,1),1,1),IF((N164-NETWORKDAYS.INTL(J_GregorianDate(D164,1),J_GregorianDate(J_SUBDAY(J_ADDDAY(D164,N164,1),1,1),1),16,1)-SUMIFS(Holieday[ok],Holieday[date],CONCATENATE("&gt;","=",D164),Holieday[date],CONCATENATE("&lt;","=",J_SUBDAY(J_ADDDAY(D164,N164,1),1,1)))+SUMIFS(Holieday[Friday],Holieday[date],CONCATENATE("&gt;","=",D164),Holieday[date],CONCATENATE("&lt;","=",J_SUBDAY(J_ADDDAY(D164,N164,1),1,1))))=2,J_SUBDAY(J_ADDDAY(D164,N164+2,1),1,1),J_SUBDAY(J_ADDDAY(D164,N164+3,1),1,1)))))</f>
        <v>1398/09/13</v>
      </c>
      <c r="G164" s="163">
        <f t="shared" si="51"/>
        <v>13980913</v>
      </c>
      <c r="H164" s="109"/>
      <c r="I164" s="110">
        <v>7.1</v>
      </c>
      <c r="J164" s="171">
        <f>j_WEEKDAY(D164,2)</f>
        <v>5</v>
      </c>
      <c r="K164" s="173">
        <f t="shared" si="54"/>
        <v>0</v>
      </c>
      <c r="L164" s="174">
        <f t="shared" si="55"/>
        <v>0</v>
      </c>
      <c r="M164" s="111">
        <v>0</v>
      </c>
      <c r="N164" s="108">
        <v>0</v>
      </c>
      <c r="O164" s="175">
        <f t="shared" si="58"/>
        <v>0</v>
      </c>
      <c r="P164" s="175">
        <f>VALUE(J_normdate(J_ADDDAY($D164,$O164,1)))</f>
        <v>13980914</v>
      </c>
      <c r="Q164" s="171">
        <f t="shared" si="59"/>
        <v>0</v>
      </c>
      <c r="R164" s="169"/>
      <c r="S164" s="169"/>
      <c r="T164" s="169"/>
      <c r="U164" s="169"/>
      <c r="V164" s="169"/>
      <c r="W164" s="169"/>
      <c r="X164" s="169"/>
      <c r="Y164" s="169"/>
      <c r="Z164" s="169"/>
      <c r="AA164" s="169"/>
      <c r="AB164" s="169"/>
      <c r="AC164" s="169"/>
      <c r="AD164" s="169"/>
      <c r="AE164" s="169"/>
      <c r="AF164" s="169"/>
      <c r="AG164" s="169"/>
      <c r="AH164" s="169"/>
      <c r="AI164" s="169"/>
      <c r="AJ164" s="169"/>
      <c r="AK164" s="169"/>
      <c r="AL164" s="169"/>
      <c r="AM164" s="169"/>
      <c r="AN164" s="169"/>
      <c r="AO164" s="169"/>
      <c r="AP164" s="169"/>
      <c r="AQ164" s="169"/>
      <c r="AR164" s="169"/>
      <c r="AS164" s="169"/>
      <c r="AT164" s="169"/>
      <c r="AU164" s="169"/>
      <c r="AV164" s="169"/>
      <c r="AW164" s="169"/>
      <c r="AX164" s="169"/>
      <c r="AY164" s="169"/>
      <c r="AZ164" s="169"/>
      <c r="BA164" s="169"/>
      <c r="BB164" s="169"/>
      <c r="BC164" s="169"/>
      <c r="BD164" s="169"/>
      <c r="BE164" s="169"/>
      <c r="BF164" s="169"/>
      <c r="BG164" s="169"/>
      <c r="BH164" s="169"/>
      <c r="BI164" s="169"/>
      <c r="BJ164" s="169"/>
      <c r="BK164" s="169"/>
      <c r="BL164" s="169"/>
      <c r="BM164" s="169"/>
      <c r="BN164" s="169"/>
      <c r="BO164" s="169"/>
      <c r="BP164" s="169"/>
      <c r="BQ164" s="169"/>
      <c r="BR164" s="169"/>
      <c r="BS164" s="169"/>
      <c r="BT164" s="169"/>
      <c r="BU164" s="169"/>
      <c r="BV164" s="169"/>
      <c r="BW164" s="169"/>
      <c r="BX164" s="169"/>
      <c r="BY164" s="169"/>
      <c r="BZ164" s="169"/>
      <c r="CA164" s="169"/>
      <c r="CB164" s="169"/>
      <c r="CC164" s="169"/>
      <c r="CD164" s="169"/>
      <c r="CE164" s="169"/>
      <c r="CF164" s="169"/>
      <c r="CG164" s="169"/>
      <c r="CH164" s="169"/>
      <c r="CI164" s="169"/>
      <c r="CJ164" s="169"/>
      <c r="CK164" s="169"/>
      <c r="CL164" s="169"/>
      <c r="CM164" s="169"/>
      <c r="CN164" s="169"/>
      <c r="CO164" s="169"/>
      <c r="CP164" s="169"/>
      <c r="CQ164" s="169"/>
      <c r="CR164" s="169"/>
      <c r="CS164" s="169"/>
      <c r="CT164" s="169"/>
      <c r="CU164" s="169"/>
      <c r="CV164" s="169"/>
      <c r="CW164" s="169"/>
      <c r="CX164" s="169"/>
      <c r="CY164" s="169"/>
      <c r="CZ164" s="169"/>
      <c r="DA164" s="169"/>
      <c r="DB164" s="169"/>
      <c r="DC164" s="169"/>
      <c r="DD164" s="169"/>
      <c r="DE164" s="169"/>
      <c r="DF164" s="169"/>
      <c r="DG164" s="169"/>
      <c r="DH164" s="169"/>
      <c r="DI164" s="169"/>
      <c r="DJ164" s="169"/>
      <c r="DK164" s="169"/>
      <c r="DL164" s="169"/>
      <c r="DM164" s="169"/>
      <c r="DN164" s="169"/>
      <c r="DO164" s="169"/>
      <c r="DP164" s="169"/>
      <c r="DQ164" s="169"/>
      <c r="DR164" s="169"/>
      <c r="DS164" s="169"/>
      <c r="DT164" s="169"/>
      <c r="DU164" s="169"/>
      <c r="DV164" s="169"/>
      <c r="DW164" s="169"/>
      <c r="DX164" s="169"/>
      <c r="DY164" s="169"/>
      <c r="DZ164" s="169"/>
      <c r="EA164" s="169"/>
      <c r="EB164" s="169"/>
      <c r="EC164" s="169"/>
      <c r="ED164" s="169"/>
      <c r="EE164" s="169"/>
      <c r="EF164" s="169"/>
      <c r="EG164" s="169"/>
      <c r="EH164" s="169"/>
      <c r="EI164" s="169"/>
      <c r="EJ164" s="169"/>
      <c r="EK164" s="169"/>
      <c r="EL164" s="169"/>
      <c r="EM164" s="169"/>
      <c r="EN164" s="169"/>
      <c r="EO164" s="169"/>
      <c r="EP164" s="169"/>
      <c r="EQ164" s="169"/>
      <c r="ER164" s="169"/>
      <c r="ES164" s="169"/>
      <c r="ET164" s="169"/>
      <c r="EU164" s="169"/>
      <c r="EV164" s="169"/>
      <c r="EW164" s="169"/>
      <c r="EX164" s="169"/>
      <c r="EY164" s="169"/>
      <c r="EZ164" s="169"/>
      <c r="FA164" s="169"/>
      <c r="FB164" s="169"/>
      <c r="FC164" s="169"/>
      <c r="FD164" s="169"/>
      <c r="FE164" s="169"/>
      <c r="FF164" s="169"/>
      <c r="FG164" s="169"/>
      <c r="FH164" s="169"/>
      <c r="FI164" s="169"/>
      <c r="FJ164" s="169"/>
      <c r="FK164" s="169"/>
      <c r="FL164" s="169"/>
      <c r="FM164" s="169"/>
      <c r="FN164" s="169"/>
      <c r="FO164" s="169"/>
      <c r="FP164" s="169"/>
      <c r="FQ164" s="169"/>
      <c r="FR164" s="169"/>
      <c r="FS164" s="169"/>
      <c r="FT164" s="169"/>
      <c r="FU164" s="169"/>
      <c r="FV164" s="169"/>
      <c r="FW164" s="169"/>
      <c r="FX164" s="169"/>
      <c r="FY164" s="169"/>
      <c r="FZ164" s="169"/>
      <c r="GA164" s="169"/>
      <c r="GB164" s="169"/>
      <c r="GC164" s="169"/>
      <c r="GD164" s="169"/>
      <c r="GE164" s="169"/>
      <c r="GF164" s="169"/>
      <c r="GG164" s="169"/>
      <c r="GH164" s="169"/>
      <c r="GI164" s="169"/>
      <c r="GJ164" s="169"/>
      <c r="GK164" s="169"/>
      <c r="GL164" s="169"/>
      <c r="GM164" s="169"/>
      <c r="GN164" s="169"/>
      <c r="GO164" s="169"/>
      <c r="GP164" s="169"/>
      <c r="GQ164" s="169"/>
      <c r="GR164" s="169"/>
      <c r="GS164" s="169"/>
      <c r="GT164" s="169"/>
      <c r="GU164" s="169"/>
      <c r="GV164" s="169"/>
      <c r="GW164" s="169"/>
      <c r="GX164" s="169"/>
      <c r="GY164" s="169"/>
      <c r="GZ164" s="169"/>
      <c r="HA164" s="169"/>
      <c r="HB164" s="169"/>
      <c r="HC164" s="169"/>
      <c r="HD164" s="169"/>
      <c r="HE164" s="169"/>
      <c r="HF164" s="169"/>
      <c r="HG164" s="169"/>
      <c r="HH164" s="169"/>
      <c r="HI164" s="169"/>
      <c r="HJ164" s="169"/>
      <c r="HK164" s="169"/>
      <c r="HL164" s="169"/>
      <c r="HM164" s="169"/>
      <c r="HN164" s="169"/>
      <c r="HO164" s="169"/>
      <c r="HP164" s="169"/>
      <c r="HQ164" s="169"/>
      <c r="HR164" s="169"/>
      <c r="HS164" s="169"/>
      <c r="HT164" s="169"/>
      <c r="HU164" s="169"/>
      <c r="HV164" s="169"/>
      <c r="HW164" s="169"/>
      <c r="HX164" s="169"/>
      <c r="HY164" s="169"/>
      <c r="HZ164" s="169"/>
      <c r="IA164" s="169"/>
      <c r="IB164" s="169"/>
      <c r="IC164" s="169"/>
      <c r="ID164" s="169"/>
      <c r="IE164" s="169"/>
      <c r="IF164" s="169"/>
      <c r="IG164" s="169"/>
      <c r="IH164" s="169"/>
      <c r="II164" s="169"/>
      <c r="IJ164" s="169"/>
      <c r="IK164" s="169"/>
      <c r="IL164" s="169"/>
      <c r="IM164" s="169"/>
      <c r="IN164" s="169"/>
      <c r="IO164" s="169"/>
      <c r="IP164" s="169"/>
      <c r="IQ164" s="169"/>
      <c r="IR164" s="169"/>
      <c r="IS164" s="169"/>
      <c r="IT164" s="169"/>
      <c r="IU164" s="169"/>
      <c r="IV164" s="169"/>
      <c r="IW164" s="169"/>
      <c r="IX164" s="169"/>
      <c r="IY164" s="11"/>
      <c r="IZ164" s="11"/>
      <c r="JA164" s="113"/>
      <c r="JB164" s="118"/>
      <c r="JC164" s="117"/>
      <c r="JD164" s="192">
        <f>SUM((TEXT(JA164,"[M]")/60)*'Income Person-hours'!$D$3,(TEXT(JB164,"[M]")/60)*'Income Person-hours'!$D$4,(TEXT(JC164,"[M]")/60)*'Income Person-hours'!$D$5)</f>
        <v>0</v>
      </c>
    </row>
    <row r="165" spans="1:264 16383:16384" s="11" customFormat="1" ht="11.25" hidden="1">
      <c r="A165" s="176">
        <v>7.4</v>
      </c>
      <c r="B165" s="106"/>
      <c r="C165" s="107"/>
      <c r="D165" s="12" t="str">
        <f>IF(OR(j_WEEKDAY(J_ADDDAY(VLOOKUP(I165,A:F,6,FALSE),H165,1),0)=6,SUMIFS(Holieday[ok],Holieday[date],J_ADDDAY(VLOOKUP(I165,A:F,6,FALSE),H165,1)))=FALSE(),J_ADDDAY(VLOOKUP(I165,A:F,6,FALSE),H165,1),IF(OR(j_WEEKDAY(J_ADDDAY(VLOOKUP(I165,A:F,6,FALSE),H165+1,1),0)=6,SUMIFS(Holieday[ok],Holieday[date],J_ADDDAY(VLOOKUP(I165,A:F,6,FALSE),H165+1,1)))=FALSE(),J_ADDDAY(VLOOKUP(I165,A:F,6,FALSE),H165+1,1),IF(OR(j_WEEKDAY(J_ADDDAY(VLOOKUP(I165,A:F,6,FALSE),H165+2,1),0)=6,SUMIFS(Holieday[ok],Holieday[date],J_ADDDAY(VLOOKUP(I165,A:F,6,FALSE),H165+2,1)))=FALSE(),J_ADDDAY(VLOOKUP(I165,A:F,6,FALSE),H165+2,1),IF(OR(j_WEEKDAY(J_ADDDAY(VLOOKUP(I165,A:F,6,FALSE),H165+3,1),0)=6,SUMIFS(Holieday[ok],Holieday[date],J_ADDDAY(VLOOKUP(I165,A:F,6,FALSE),H165+3,1)))=FALSE(),J_ADDDAY(VLOOKUP(I165,A:F,6,FALSE),H165+3,1),IF(OR(j_WEEKDAY(J_ADDDAY(VLOOKUP(I165,A:F,6,FALSE),H165+4,1),0)=6,SUMIFS(Holieday[ok],Holieday[date],J_ADDDAY(VLOOKUP(I165,A:F,6,FALSE),H165+4,1)))=FALSE(),J_ADDDAY(VLOOKUP(I165,A:F,6,FALSE),H165+4,1),J_ADDDAY(VLOOKUP(I165,A:F,6,FALSE),H165+5,1))))))</f>
        <v>1398/09/14</v>
      </c>
      <c r="E165" s="1">
        <f t="shared" si="50"/>
        <v>13980914</v>
      </c>
      <c r="F165" s="12" t="str">
        <f>IF(N165=0,J_SUBDAY(D165,1,1),IF((N165-NETWORKDAYS.INTL(J_GregorianDate(D165,1),J_GregorianDate(J_SUBDAY(J_ADDDAY(D165,N165,1),1,1),1),16,1)-SUMIFS(Holieday[ok],Holieday[date],CONCATENATE("&gt;","=",D165),Holieday[date],CONCATENATE("&lt;","=",J_SUBDAY(J_ADDDAY(D165,N165,1),1,1)))+SUMIFS(Holieday[Friday],Holieday[date],CONCATENATE("&gt;","=",D165),Holieday[date],CONCATENATE("&lt;","=",J_SUBDAY(J_ADDDAY(D165,N165,1),1,1))))=0,J_SUBDAY(J_ADDDAY(D165,N165,1),1,1),IF((N165-NETWORKDAYS.INTL(J_GregorianDate(D165,1),J_GregorianDate(J_SUBDAY(J_ADDDAY(D165,N165,1),1,1),1),16,1)-SUMIFS(Holieday[ok],Holieday[date],CONCATENATE("&gt;","=",D165),Holieday[date],CONCATENATE("&lt;","=",J_SUBDAY(J_ADDDAY(D165,N165,1),1,1)))+SUMIFS(Holieday[Friday],Holieday[date],CONCATENATE("&gt;","=",D165),Holieday[date],CONCATENATE("&lt;","=",J_SUBDAY(J_ADDDAY(D165,N165,1),1,1))))=1,J_SUBDAY(J_ADDDAY(D165,N165+1,1),1,1),IF((N165-NETWORKDAYS.INTL(J_GregorianDate(D165,1),J_GregorianDate(J_SUBDAY(J_ADDDAY(D165,N165,1),1,1),1),16,1)-SUMIFS(Holieday[ok],Holieday[date],CONCATENATE("&gt;","=",D165),Holieday[date],CONCATENATE("&lt;","=",J_SUBDAY(J_ADDDAY(D165,N165,1),1,1)))+SUMIFS(Holieday[Friday],Holieday[date],CONCATENATE("&gt;","=",D165),Holieday[date],CONCATENATE("&lt;","=",J_SUBDAY(J_ADDDAY(D165,N165,1),1,1))))=2,J_SUBDAY(J_ADDDAY(D165,N165+2,1),1,1),J_SUBDAY(J_ADDDAY(D165,N165+3,1),1,1)))))</f>
        <v>1398/09/13</v>
      </c>
      <c r="G165" s="2">
        <f t="shared" si="51"/>
        <v>13980913</v>
      </c>
      <c r="H165" s="109"/>
      <c r="I165" s="110">
        <v>7.1</v>
      </c>
      <c r="J165" s="9">
        <f>j_WEEKDAY(D165,2)</f>
        <v>5</v>
      </c>
      <c r="K165" s="21">
        <f t="shared" si="54"/>
        <v>0</v>
      </c>
      <c r="L165" s="8">
        <f t="shared" si="55"/>
        <v>0</v>
      </c>
      <c r="M165" s="111">
        <v>0</v>
      </c>
      <c r="N165" s="108">
        <v>0</v>
      </c>
      <c r="O165" s="10">
        <f t="shared" si="58"/>
        <v>0</v>
      </c>
      <c r="P165" s="10">
        <f>VALUE(J_normdate(J_ADDDAY($D165,$O165,1)))</f>
        <v>13980914</v>
      </c>
      <c r="Q165" s="9">
        <f t="shared" si="59"/>
        <v>0</v>
      </c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  <c r="DO165" s="7"/>
      <c r="DP165" s="7"/>
      <c r="DQ165" s="7"/>
      <c r="DR165" s="7"/>
      <c r="DS165" s="7"/>
      <c r="DT165" s="7"/>
      <c r="DU165" s="7"/>
      <c r="DV165" s="7"/>
      <c r="DW165" s="7"/>
      <c r="DX165" s="7"/>
      <c r="DY165" s="7"/>
      <c r="DZ165" s="7"/>
      <c r="EA165" s="7"/>
      <c r="EB165" s="7"/>
      <c r="EC165" s="7"/>
      <c r="ED165" s="7"/>
      <c r="EE165" s="7"/>
      <c r="EF165" s="7"/>
      <c r="EG165" s="7"/>
      <c r="EH165" s="7"/>
      <c r="EI165" s="7"/>
      <c r="EJ165" s="7"/>
      <c r="EK165" s="7"/>
      <c r="EL165" s="7"/>
      <c r="EM165" s="7"/>
      <c r="EN165" s="7"/>
      <c r="EO165" s="7"/>
      <c r="EP165" s="7"/>
      <c r="EQ165" s="7"/>
      <c r="ER165" s="7"/>
      <c r="ES165" s="7"/>
      <c r="ET165" s="7"/>
      <c r="EU165" s="7"/>
      <c r="EV165" s="7"/>
      <c r="EW165" s="7"/>
      <c r="EX165" s="7"/>
      <c r="EY165" s="7"/>
      <c r="EZ165" s="7"/>
      <c r="FA165" s="7"/>
      <c r="FB165" s="7"/>
      <c r="FC165" s="7"/>
      <c r="FD165" s="7"/>
      <c r="FE165" s="7"/>
      <c r="FF165" s="7"/>
      <c r="FG165" s="7"/>
      <c r="FH165" s="7"/>
      <c r="FI165" s="7"/>
      <c r="FJ165" s="7"/>
      <c r="FK165" s="7"/>
      <c r="FL165" s="7"/>
      <c r="FM165" s="7"/>
      <c r="FN165" s="7"/>
      <c r="FO165" s="7"/>
      <c r="FP165" s="7"/>
      <c r="FQ165" s="7"/>
      <c r="FR165" s="7"/>
      <c r="FS165" s="7"/>
      <c r="FT165" s="7"/>
      <c r="FU165" s="7"/>
      <c r="FV165" s="7"/>
      <c r="FW165" s="7"/>
      <c r="FX165" s="7"/>
      <c r="FY165" s="7"/>
      <c r="FZ165" s="7"/>
      <c r="GA165" s="7"/>
      <c r="GB165" s="7"/>
      <c r="GC165" s="7"/>
      <c r="GD165" s="7"/>
      <c r="GE165" s="7"/>
      <c r="GF165" s="7"/>
      <c r="GG165" s="7"/>
      <c r="GH165" s="7"/>
      <c r="GI165" s="7"/>
      <c r="GJ165" s="7"/>
      <c r="GK165" s="7"/>
      <c r="GL165" s="7"/>
      <c r="GM165" s="7"/>
      <c r="GN165" s="7"/>
      <c r="GO165" s="7"/>
      <c r="GP165" s="7"/>
      <c r="GQ165" s="7"/>
      <c r="GR165" s="7"/>
      <c r="GS165" s="7"/>
      <c r="GT165" s="7"/>
      <c r="GU165" s="7"/>
      <c r="GV165" s="7"/>
      <c r="GW165" s="7"/>
      <c r="GX165" s="7"/>
      <c r="GY165" s="7"/>
      <c r="GZ165" s="7"/>
      <c r="HA165" s="7"/>
      <c r="HB165" s="7"/>
      <c r="HC165" s="7"/>
      <c r="HD165" s="7"/>
      <c r="HE165" s="7"/>
      <c r="HF165" s="7"/>
      <c r="HG165" s="7"/>
      <c r="HH165" s="7"/>
      <c r="HI165" s="7"/>
      <c r="HJ165" s="7"/>
      <c r="HK165" s="7"/>
      <c r="HL165" s="7"/>
      <c r="HM165" s="7"/>
      <c r="HN165" s="7"/>
      <c r="HO165" s="7"/>
      <c r="HP165" s="7"/>
      <c r="HQ165" s="7"/>
      <c r="HR165" s="7"/>
      <c r="HS165" s="7"/>
      <c r="HT165" s="7"/>
      <c r="HU165" s="7"/>
      <c r="HV165" s="7"/>
      <c r="HW165" s="7"/>
      <c r="HX165" s="7"/>
      <c r="HY165" s="7"/>
      <c r="HZ165" s="7"/>
      <c r="IA165" s="7"/>
      <c r="IB165" s="7"/>
      <c r="IC165" s="7"/>
      <c r="ID165" s="7"/>
      <c r="IE165" s="7"/>
      <c r="IF165" s="7"/>
      <c r="IG165" s="7"/>
      <c r="IH165" s="7"/>
      <c r="II165" s="7"/>
      <c r="IJ165" s="7"/>
      <c r="IK165" s="7"/>
      <c r="IL165" s="7"/>
      <c r="IM165" s="7"/>
      <c r="IN165" s="7"/>
      <c r="IO165" s="7"/>
      <c r="IP165" s="7"/>
      <c r="IQ165" s="7"/>
      <c r="IR165" s="7"/>
      <c r="IS165" s="7"/>
      <c r="IT165" s="7"/>
      <c r="IU165" s="7"/>
      <c r="IV165" s="7"/>
      <c r="IW165" s="7"/>
      <c r="IX165" s="7"/>
      <c r="JA165" s="113"/>
      <c r="JB165" s="113"/>
      <c r="JC165" s="113"/>
      <c r="JD165" s="66">
        <f>SUM((TEXT(JA165,"[M]")/60)*'Income Person-hours'!$D$3,(TEXT(JB165,"[M]")/60)*'Income Person-hours'!$D$4,(TEXT(JC165,"[M]")/60)*'Income Person-hours'!$D$5)</f>
        <v>0</v>
      </c>
    </row>
    <row r="166" spans="1:264 16383:16384" s="11" customFormat="1" ht="11.25" hidden="1">
      <c r="A166" s="176">
        <v>7.5</v>
      </c>
      <c r="B166" s="106"/>
      <c r="C166" s="107"/>
      <c r="D166" s="12" t="str">
        <f>IF(OR(j_WEEKDAY(J_ADDDAY(VLOOKUP(I166,A:F,6,FALSE),H166,1),0)=6,SUMIFS(Holieday[ok],Holieday[date],J_ADDDAY(VLOOKUP(I166,A:F,6,FALSE),H166,1)))=FALSE(),J_ADDDAY(VLOOKUP(I166,A:F,6,FALSE),H166,1),IF(OR(j_WEEKDAY(J_ADDDAY(VLOOKUP(I166,A:F,6,FALSE),H166+1,1),0)=6,SUMIFS(Holieday[ok],Holieday[date],J_ADDDAY(VLOOKUP(I166,A:F,6,FALSE),H166+1,1)))=FALSE(),J_ADDDAY(VLOOKUP(I166,A:F,6,FALSE),H166+1,1),IF(OR(j_WEEKDAY(J_ADDDAY(VLOOKUP(I166,A:F,6,FALSE),H166+2,1),0)=6,SUMIFS(Holieday[ok],Holieday[date],J_ADDDAY(VLOOKUP(I166,A:F,6,FALSE),H166+2,1)))=FALSE(),J_ADDDAY(VLOOKUP(I166,A:F,6,FALSE),H166+2,1),IF(OR(j_WEEKDAY(J_ADDDAY(VLOOKUP(I166,A:F,6,FALSE),H166+3,1),0)=6,SUMIFS(Holieday[ok],Holieday[date],J_ADDDAY(VLOOKUP(I166,A:F,6,FALSE),H166+3,1)))=FALSE(),J_ADDDAY(VLOOKUP(I166,A:F,6,FALSE),H166+3,1),IF(OR(j_WEEKDAY(J_ADDDAY(VLOOKUP(I166,A:F,6,FALSE),H166+4,1),0)=6,SUMIFS(Holieday[ok],Holieday[date],J_ADDDAY(VLOOKUP(I166,A:F,6,FALSE),H166+4,1)))=FALSE(),J_ADDDAY(VLOOKUP(I166,A:F,6,FALSE),H166+4,1),J_ADDDAY(VLOOKUP(I166,A:F,6,FALSE),H166+5,1))))))</f>
        <v>1398/09/14</v>
      </c>
      <c r="E166" s="1">
        <f t="shared" si="50"/>
        <v>13980914</v>
      </c>
      <c r="F166" s="12" t="str">
        <f>IF(N166=0,J_SUBDAY(D166,1,1),IF((N166-NETWORKDAYS.INTL(J_GregorianDate(D166,1),J_GregorianDate(J_SUBDAY(J_ADDDAY(D166,N166,1),1,1),1),16,1)-SUMIFS(Holieday[ok],Holieday[date],CONCATENATE("&gt;","=",D166),Holieday[date],CONCATENATE("&lt;","=",J_SUBDAY(J_ADDDAY(D166,N166,1),1,1)))+SUMIFS(Holieday[Friday],Holieday[date],CONCATENATE("&gt;","=",D166),Holieday[date],CONCATENATE("&lt;","=",J_SUBDAY(J_ADDDAY(D166,N166,1),1,1))))=0,J_SUBDAY(J_ADDDAY(D166,N166,1),1,1),IF((N166-NETWORKDAYS.INTL(J_GregorianDate(D166,1),J_GregorianDate(J_SUBDAY(J_ADDDAY(D166,N166,1),1,1),1),16,1)-SUMIFS(Holieday[ok],Holieday[date],CONCATENATE("&gt;","=",D166),Holieday[date],CONCATENATE("&lt;","=",J_SUBDAY(J_ADDDAY(D166,N166,1),1,1)))+SUMIFS(Holieday[Friday],Holieday[date],CONCATENATE("&gt;","=",D166),Holieday[date],CONCATENATE("&lt;","=",J_SUBDAY(J_ADDDAY(D166,N166,1),1,1))))=1,J_SUBDAY(J_ADDDAY(D166,N166+1,1),1,1),IF((N166-NETWORKDAYS.INTL(J_GregorianDate(D166,1),J_GregorianDate(J_SUBDAY(J_ADDDAY(D166,N166,1),1,1),1),16,1)-SUMIFS(Holieday[ok],Holieday[date],CONCATENATE("&gt;","=",D166),Holieday[date],CONCATENATE("&lt;","=",J_SUBDAY(J_ADDDAY(D166,N166,1),1,1)))+SUMIFS(Holieday[Friday],Holieday[date],CONCATENATE("&gt;","=",D166),Holieday[date],CONCATENATE("&lt;","=",J_SUBDAY(J_ADDDAY(D166,N166,1),1,1))))=2,J_SUBDAY(J_ADDDAY(D166,N166+2,1),1,1),J_SUBDAY(J_ADDDAY(D166,N166+3,1),1,1)))))</f>
        <v>1398/09/13</v>
      </c>
      <c r="G166" s="2">
        <f t="shared" si="51"/>
        <v>13980913</v>
      </c>
      <c r="H166" s="109"/>
      <c r="I166" s="110">
        <v>7.1</v>
      </c>
      <c r="J166" s="9">
        <f>j_WEEKDAY(D166,2)</f>
        <v>5</v>
      </c>
      <c r="K166" s="21">
        <f t="shared" si="54"/>
        <v>0</v>
      </c>
      <c r="L166" s="8">
        <f t="shared" si="55"/>
        <v>0</v>
      </c>
      <c r="M166" s="111">
        <v>0</v>
      </c>
      <c r="N166" s="108">
        <v>0</v>
      </c>
      <c r="O166" s="10">
        <f t="shared" si="58"/>
        <v>0</v>
      </c>
      <c r="P166" s="10">
        <f>VALUE(J_normdate(J_ADDDAY($D166,$O166,1)))</f>
        <v>13980914</v>
      </c>
      <c r="Q166" s="9">
        <f t="shared" si="59"/>
        <v>0</v>
      </c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7"/>
      <c r="CY166" s="7"/>
      <c r="CZ166" s="7"/>
      <c r="DA166" s="7"/>
      <c r="DB166" s="7"/>
      <c r="DC166" s="7"/>
      <c r="DD166" s="7"/>
      <c r="DE166" s="7"/>
      <c r="DF166" s="7"/>
      <c r="DG166" s="7"/>
      <c r="DH166" s="7"/>
      <c r="DI166" s="7"/>
      <c r="DJ166" s="7"/>
      <c r="DK166" s="7"/>
      <c r="DL166" s="7"/>
      <c r="DM166" s="7"/>
      <c r="DN166" s="7"/>
      <c r="DO166" s="7"/>
      <c r="DP166" s="7"/>
      <c r="DQ166" s="7"/>
      <c r="DR166" s="7"/>
      <c r="DS166" s="7"/>
      <c r="DT166" s="7"/>
      <c r="DU166" s="7"/>
      <c r="DV166" s="7"/>
      <c r="DW166" s="7"/>
      <c r="DX166" s="7"/>
      <c r="DY166" s="7"/>
      <c r="DZ166" s="7"/>
      <c r="EA166" s="7"/>
      <c r="EB166" s="7"/>
      <c r="EC166" s="7"/>
      <c r="ED166" s="7"/>
      <c r="EE166" s="7"/>
      <c r="EF166" s="7"/>
      <c r="EG166" s="7"/>
      <c r="EH166" s="7"/>
      <c r="EI166" s="7"/>
      <c r="EJ166" s="7"/>
      <c r="EK166" s="7"/>
      <c r="EL166" s="7"/>
      <c r="EM166" s="7"/>
      <c r="EN166" s="7"/>
      <c r="EO166" s="7"/>
      <c r="EP166" s="7"/>
      <c r="EQ166" s="7"/>
      <c r="ER166" s="7"/>
      <c r="ES166" s="7"/>
      <c r="ET166" s="7"/>
      <c r="EU166" s="7"/>
      <c r="EV166" s="7"/>
      <c r="EW166" s="7"/>
      <c r="EX166" s="7"/>
      <c r="EY166" s="7"/>
      <c r="EZ166" s="7"/>
      <c r="FA166" s="7"/>
      <c r="FB166" s="7"/>
      <c r="FC166" s="7"/>
      <c r="FD166" s="7"/>
      <c r="FE166" s="7"/>
      <c r="FF166" s="7"/>
      <c r="FG166" s="7"/>
      <c r="FH166" s="7"/>
      <c r="FI166" s="7"/>
      <c r="FJ166" s="7"/>
      <c r="FK166" s="7"/>
      <c r="FL166" s="7"/>
      <c r="FM166" s="7"/>
      <c r="FN166" s="7"/>
      <c r="FO166" s="7"/>
      <c r="FP166" s="7"/>
      <c r="FQ166" s="7"/>
      <c r="FR166" s="7"/>
      <c r="FS166" s="7"/>
      <c r="FT166" s="7"/>
      <c r="FU166" s="7"/>
      <c r="FV166" s="7"/>
      <c r="FW166" s="7"/>
      <c r="FX166" s="7"/>
      <c r="FY166" s="7"/>
      <c r="FZ166" s="7"/>
      <c r="GA166" s="7"/>
      <c r="GB166" s="7"/>
      <c r="GC166" s="7"/>
      <c r="GD166" s="7"/>
      <c r="GE166" s="7"/>
      <c r="GF166" s="7"/>
      <c r="GG166" s="7"/>
      <c r="GH166" s="7"/>
      <c r="GI166" s="7"/>
      <c r="GJ166" s="7"/>
      <c r="GK166" s="7"/>
      <c r="GL166" s="7"/>
      <c r="GM166" s="7"/>
      <c r="GN166" s="7"/>
      <c r="GO166" s="7"/>
      <c r="GP166" s="7"/>
      <c r="GQ166" s="7"/>
      <c r="GR166" s="7"/>
      <c r="GS166" s="7"/>
      <c r="GT166" s="7"/>
      <c r="GU166" s="7"/>
      <c r="GV166" s="7"/>
      <c r="GW166" s="7"/>
      <c r="GX166" s="7"/>
      <c r="GY166" s="7"/>
      <c r="GZ166" s="7"/>
      <c r="HA166" s="7"/>
      <c r="HB166" s="7"/>
      <c r="HC166" s="7"/>
      <c r="HD166" s="7"/>
      <c r="HE166" s="7"/>
      <c r="HF166" s="7"/>
      <c r="HG166" s="7"/>
      <c r="HH166" s="7"/>
      <c r="HI166" s="7"/>
      <c r="HJ166" s="7"/>
      <c r="HK166" s="7"/>
      <c r="HL166" s="7"/>
      <c r="HM166" s="7"/>
      <c r="HN166" s="7"/>
      <c r="HO166" s="7"/>
      <c r="HP166" s="7"/>
      <c r="HQ166" s="7"/>
      <c r="HR166" s="7"/>
      <c r="HS166" s="7"/>
      <c r="HT166" s="7"/>
      <c r="HU166" s="7"/>
      <c r="HV166" s="7"/>
      <c r="HW166" s="7"/>
      <c r="HX166" s="7"/>
      <c r="HY166" s="7"/>
      <c r="HZ166" s="7"/>
      <c r="IA166" s="7"/>
      <c r="IB166" s="7"/>
      <c r="IC166" s="7"/>
      <c r="ID166" s="7"/>
      <c r="IE166" s="7"/>
      <c r="IF166" s="7"/>
      <c r="IG166" s="7"/>
      <c r="IH166" s="7"/>
      <c r="II166" s="7"/>
      <c r="IJ166" s="7"/>
      <c r="IK166" s="7"/>
      <c r="IL166" s="7"/>
      <c r="IM166" s="7"/>
      <c r="IN166" s="7"/>
      <c r="IO166" s="7"/>
      <c r="IP166" s="7"/>
      <c r="IQ166" s="7"/>
      <c r="IR166" s="7"/>
      <c r="IS166" s="7"/>
      <c r="IT166" s="7"/>
      <c r="IU166" s="7"/>
      <c r="IV166" s="7"/>
      <c r="IW166" s="7"/>
      <c r="IX166" s="7"/>
      <c r="JA166" s="113"/>
      <c r="JB166" s="113"/>
      <c r="JC166" s="113"/>
      <c r="JD166" s="66">
        <f>SUM((TEXT(JA166,"[M]")/60)*'Income Person-hours'!$D$3,(TEXT(JB166,"[M]")/60)*'Income Person-hours'!$D$4,(TEXT(JC166,"[M]")/60)*'Income Person-hours'!$D$5)</f>
        <v>0</v>
      </c>
    </row>
    <row r="167" spans="1:264 16383:16384" s="11" customFormat="1" ht="11.25" hidden="1">
      <c r="A167" s="176">
        <v>7.6</v>
      </c>
      <c r="B167" s="106"/>
      <c r="C167" s="107"/>
      <c r="D167" s="12" t="str">
        <f>IF(OR(j_WEEKDAY(J_ADDDAY(VLOOKUP(I167,A:F,6,FALSE),H167,1),0)=6,SUMIFS(Holieday[ok],Holieday[date],J_ADDDAY(VLOOKUP(I167,A:F,6,FALSE),H167,1)))=FALSE(),J_ADDDAY(VLOOKUP(I167,A:F,6,FALSE),H167,1),IF(OR(j_WEEKDAY(J_ADDDAY(VLOOKUP(I167,A:F,6,FALSE),H167+1,1),0)=6,SUMIFS(Holieday[ok],Holieday[date],J_ADDDAY(VLOOKUP(I167,A:F,6,FALSE),H167+1,1)))=FALSE(),J_ADDDAY(VLOOKUP(I167,A:F,6,FALSE),H167+1,1),IF(OR(j_WEEKDAY(J_ADDDAY(VLOOKUP(I167,A:F,6,FALSE),H167+2,1),0)=6,SUMIFS(Holieday[ok],Holieday[date],J_ADDDAY(VLOOKUP(I167,A:F,6,FALSE),H167+2,1)))=FALSE(),J_ADDDAY(VLOOKUP(I167,A:F,6,FALSE),H167+2,1),IF(OR(j_WEEKDAY(J_ADDDAY(VLOOKUP(I167,A:F,6,FALSE),H167+3,1),0)=6,SUMIFS(Holieday[ok],Holieday[date],J_ADDDAY(VLOOKUP(I167,A:F,6,FALSE),H167+3,1)))=FALSE(),J_ADDDAY(VLOOKUP(I167,A:F,6,FALSE),H167+3,1),IF(OR(j_WEEKDAY(J_ADDDAY(VLOOKUP(I167,A:F,6,FALSE),H167+4,1),0)=6,SUMIFS(Holieday[ok],Holieday[date],J_ADDDAY(VLOOKUP(I167,A:F,6,FALSE),H167+4,1)))=FALSE(),J_ADDDAY(VLOOKUP(I167,A:F,6,FALSE),H167+4,1),J_ADDDAY(VLOOKUP(I167,A:F,6,FALSE),H167+5,1))))))</f>
        <v>1398/09/14</v>
      </c>
      <c r="E167" s="1">
        <f t="shared" si="50"/>
        <v>13980914</v>
      </c>
      <c r="F167" s="12" t="str">
        <f>IF(N167=0,J_SUBDAY(D167,1,1),IF((N167-NETWORKDAYS.INTL(J_GregorianDate(D167,1),J_GregorianDate(J_SUBDAY(J_ADDDAY(D167,N167,1),1,1),1),16,1)-SUMIFS(Holieday[ok],Holieday[date],CONCATENATE("&gt;","=",D167),Holieday[date],CONCATENATE("&lt;","=",J_SUBDAY(J_ADDDAY(D167,N167,1),1,1)))+SUMIFS(Holieday[Friday],Holieday[date],CONCATENATE("&gt;","=",D167),Holieday[date],CONCATENATE("&lt;","=",J_SUBDAY(J_ADDDAY(D167,N167,1),1,1))))=0,J_SUBDAY(J_ADDDAY(D167,N167,1),1,1),IF((N167-NETWORKDAYS.INTL(J_GregorianDate(D167,1),J_GregorianDate(J_SUBDAY(J_ADDDAY(D167,N167,1),1,1),1),16,1)-SUMIFS(Holieday[ok],Holieday[date],CONCATENATE("&gt;","=",D167),Holieday[date],CONCATENATE("&lt;","=",J_SUBDAY(J_ADDDAY(D167,N167,1),1,1)))+SUMIFS(Holieday[Friday],Holieday[date],CONCATENATE("&gt;","=",D167),Holieday[date],CONCATENATE("&lt;","=",J_SUBDAY(J_ADDDAY(D167,N167,1),1,1))))=1,J_SUBDAY(J_ADDDAY(D167,N167+1,1),1,1),IF((N167-NETWORKDAYS.INTL(J_GregorianDate(D167,1),J_GregorianDate(J_SUBDAY(J_ADDDAY(D167,N167,1),1,1),1),16,1)-SUMIFS(Holieday[ok],Holieday[date],CONCATENATE("&gt;","=",D167),Holieday[date],CONCATENATE("&lt;","=",J_SUBDAY(J_ADDDAY(D167,N167,1),1,1)))+SUMIFS(Holieday[Friday],Holieday[date],CONCATENATE("&gt;","=",D167),Holieday[date],CONCATENATE("&lt;","=",J_SUBDAY(J_ADDDAY(D167,N167,1),1,1))))=2,J_SUBDAY(J_ADDDAY(D167,N167+2,1),1,1),J_SUBDAY(J_ADDDAY(D167,N167+3,1),1,1)))))</f>
        <v>1398/09/13</v>
      </c>
      <c r="G167" s="2">
        <f t="shared" si="51"/>
        <v>13980913</v>
      </c>
      <c r="H167" s="109"/>
      <c r="I167" s="110">
        <v>7.1</v>
      </c>
      <c r="J167" s="9">
        <f>j_WEEKDAY(D167,2)</f>
        <v>5</v>
      </c>
      <c r="K167" s="21">
        <f t="shared" si="54"/>
        <v>0</v>
      </c>
      <c r="L167" s="8">
        <f t="shared" si="55"/>
        <v>0</v>
      </c>
      <c r="M167" s="111">
        <v>0</v>
      </c>
      <c r="N167" s="108">
        <v>0</v>
      </c>
      <c r="O167" s="10">
        <f t="shared" si="58"/>
        <v>0</v>
      </c>
      <c r="P167" s="10">
        <f>VALUE(J_normdate(J_ADDDAY($D167,$O167,1)))</f>
        <v>13980914</v>
      </c>
      <c r="Q167" s="9">
        <f t="shared" si="59"/>
        <v>0</v>
      </c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7"/>
      <c r="CY167" s="7"/>
      <c r="CZ167" s="7"/>
      <c r="DA167" s="7"/>
      <c r="DB167" s="7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7"/>
      <c r="DO167" s="7"/>
      <c r="DP167" s="7"/>
      <c r="DQ167" s="7"/>
      <c r="DR167" s="7"/>
      <c r="DS167" s="7"/>
      <c r="DT167" s="7"/>
      <c r="DU167" s="7"/>
      <c r="DV167" s="7"/>
      <c r="DW167" s="7"/>
      <c r="DX167" s="7"/>
      <c r="DY167" s="7"/>
      <c r="DZ167" s="7"/>
      <c r="EA167" s="7"/>
      <c r="EB167" s="7"/>
      <c r="EC167" s="7"/>
      <c r="ED167" s="7"/>
      <c r="EE167" s="7"/>
      <c r="EF167" s="7"/>
      <c r="EG167" s="7"/>
      <c r="EH167" s="7"/>
      <c r="EI167" s="7"/>
      <c r="EJ167" s="7"/>
      <c r="EK167" s="7"/>
      <c r="EL167" s="7"/>
      <c r="EM167" s="7"/>
      <c r="EN167" s="7"/>
      <c r="EO167" s="7"/>
      <c r="EP167" s="7"/>
      <c r="EQ167" s="7"/>
      <c r="ER167" s="7"/>
      <c r="ES167" s="7"/>
      <c r="ET167" s="7"/>
      <c r="EU167" s="7"/>
      <c r="EV167" s="7"/>
      <c r="EW167" s="7"/>
      <c r="EX167" s="7"/>
      <c r="EY167" s="7"/>
      <c r="EZ167" s="7"/>
      <c r="FA167" s="7"/>
      <c r="FB167" s="7"/>
      <c r="FC167" s="7"/>
      <c r="FD167" s="7"/>
      <c r="FE167" s="7"/>
      <c r="FF167" s="7"/>
      <c r="FG167" s="7"/>
      <c r="FH167" s="7"/>
      <c r="FI167" s="7"/>
      <c r="FJ167" s="7"/>
      <c r="FK167" s="7"/>
      <c r="FL167" s="7"/>
      <c r="FM167" s="7"/>
      <c r="FN167" s="7"/>
      <c r="FO167" s="7"/>
      <c r="FP167" s="7"/>
      <c r="FQ167" s="7"/>
      <c r="FR167" s="7"/>
      <c r="FS167" s="7"/>
      <c r="FT167" s="7"/>
      <c r="FU167" s="7"/>
      <c r="FV167" s="7"/>
      <c r="FW167" s="7"/>
      <c r="FX167" s="7"/>
      <c r="FY167" s="7"/>
      <c r="FZ167" s="7"/>
      <c r="GA167" s="7"/>
      <c r="GB167" s="7"/>
      <c r="GC167" s="7"/>
      <c r="GD167" s="7"/>
      <c r="GE167" s="7"/>
      <c r="GF167" s="7"/>
      <c r="GG167" s="7"/>
      <c r="GH167" s="7"/>
      <c r="GI167" s="7"/>
      <c r="GJ167" s="7"/>
      <c r="GK167" s="7"/>
      <c r="GL167" s="7"/>
      <c r="GM167" s="7"/>
      <c r="GN167" s="7"/>
      <c r="GO167" s="7"/>
      <c r="GP167" s="7"/>
      <c r="GQ167" s="7"/>
      <c r="GR167" s="7"/>
      <c r="GS167" s="7"/>
      <c r="GT167" s="7"/>
      <c r="GU167" s="7"/>
      <c r="GV167" s="7"/>
      <c r="GW167" s="7"/>
      <c r="GX167" s="7"/>
      <c r="GY167" s="7"/>
      <c r="GZ167" s="7"/>
      <c r="HA167" s="7"/>
      <c r="HB167" s="7"/>
      <c r="HC167" s="7"/>
      <c r="HD167" s="7"/>
      <c r="HE167" s="7"/>
      <c r="HF167" s="7"/>
      <c r="HG167" s="7"/>
      <c r="HH167" s="7"/>
      <c r="HI167" s="7"/>
      <c r="HJ167" s="7"/>
      <c r="HK167" s="7"/>
      <c r="HL167" s="7"/>
      <c r="HM167" s="7"/>
      <c r="HN167" s="7"/>
      <c r="HO167" s="7"/>
      <c r="HP167" s="7"/>
      <c r="HQ167" s="7"/>
      <c r="HR167" s="7"/>
      <c r="HS167" s="7"/>
      <c r="HT167" s="7"/>
      <c r="HU167" s="7"/>
      <c r="HV167" s="7"/>
      <c r="HW167" s="7"/>
      <c r="HX167" s="7"/>
      <c r="HY167" s="7"/>
      <c r="HZ167" s="7"/>
      <c r="IA167" s="7"/>
      <c r="IB167" s="7"/>
      <c r="IC167" s="7"/>
      <c r="ID167" s="7"/>
      <c r="IE167" s="7"/>
      <c r="IF167" s="7"/>
      <c r="IG167" s="7"/>
      <c r="IH167" s="7"/>
      <c r="II167" s="7"/>
      <c r="IJ167" s="7"/>
      <c r="IK167" s="7"/>
      <c r="IL167" s="7"/>
      <c r="IM167" s="7"/>
      <c r="IN167" s="7"/>
      <c r="IO167" s="7"/>
      <c r="IP167" s="7"/>
      <c r="IQ167" s="7"/>
      <c r="IR167" s="7"/>
      <c r="IS167" s="7"/>
      <c r="IT167" s="7"/>
      <c r="IU167" s="7"/>
      <c r="IV167" s="7"/>
      <c r="IW167" s="7"/>
      <c r="IX167" s="7"/>
      <c r="JA167" s="113"/>
      <c r="JB167" s="113"/>
      <c r="JC167" s="113"/>
      <c r="JD167" s="66">
        <f>SUM((TEXT(JA167,"[M]")/60)*'Income Person-hours'!$D$3,(TEXT(JB167,"[M]")/60)*'Income Person-hours'!$D$4,(TEXT(JC167,"[M]")/60)*'Income Person-hours'!$D$5)</f>
        <v>0</v>
      </c>
    </row>
    <row r="168" spans="1:264 16383:16384" s="11" customFormat="1" ht="11.25" hidden="1">
      <c r="A168" s="176">
        <v>7.7</v>
      </c>
      <c r="B168" s="106"/>
      <c r="C168" s="107"/>
      <c r="D168" s="12" t="str">
        <f>IF(OR(j_WEEKDAY(J_ADDDAY(VLOOKUP(I168,A:F,6,FALSE),H168,1),0)=6,SUMIFS(Holieday[ok],Holieday[date],J_ADDDAY(VLOOKUP(I168,A:F,6,FALSE),H168,1)))=FALSE(),J_ADDDAY(VLOOKUP(I168,A:F,6,FALSE),H168,1),IF(OR(j_WEEKDAY(J_ADDDAY(VLOOKUP(I168,A:F,6,FALSE),H168+1,1),0)=6,SUMIFS(Holieday[ok],Holieday[date],J_ADDDAY(VLOOKUP(I168,A:F,6,FALSE),H168+1,1)))=FALSE(),J_ADDDAY(VLOOKUP(I168,A:F,6,FALSE),H168+1,1),IF(OR(j_WEEKDAY(J_ADDDAY(VLOOKUP(I168,A:F,6,FALSE),H168+2,1),0)=6,SUMIFS(Holieday[ok],Holieday[date],J_ADDDAY(VLOOKUP(I168,A:F,6,FALSE),H168+2,1)))=FALSE(),J_ADDDAY(VLOOKUP(I168,A:F,6,FALSE),H168+2,1),IF(OR(j_WEEKDAY(J_ADDDAY(VLOOKUP(I168,A:F,6,FALSE),H168+3,1),0)=6,SUMIFS(Holieday[ok],Holieday[date],J_ADDDAY(VLOOKUP(I168,A:F,6,FALSE),H168+3,1)))=FALSE(),J_ADDDAY(VLOOKUP(I168,A:F,6,FALSE),H168+3,1),IF(OR(j_WEEKDAY(J_ADDDAY(VLOOKUP(I168,A:F,6,FALSE),H168+4,1),0)=6,SUMIFS(Holieday[ok],Holieday[date],J_ADDDAY(VLOOKUP(I168,A:F,6,FALSE),H168+4,1)))=FALSE(),J_ADDDAY(VLOOKUP(I168,A:F,6,FALSE),H168+4,1),J_ADDDAY(VLOOKUP(I168,A:F,6,FALSE),H168+5,1))))))</f>
        <v>1398/09/14</v>
      </c>
      <c r="E168" s="1">
        <f t="shared" si="50"/>
        <v>13980914</v>
      </c>
      <c r="F168" s="12" t="str">
        <f>IF(N168=0,J_SUBDAY(D168,1,1),IF((N168-NETWORKDAYS.INTL(J_GregorianDate(D168,1),J_GregorianDate(J_SUBDAY(J_ADDDAY(D168,N168,1),1,1),1),16,1)-SUMIFS(Holieday[ok],Holieday[date],CONCATENATE("&gt;","=",D168),Holieday[date],CONCATENATE("&lt;","=",J_SUBDAY(J_ADDDAY(D168,N168,1),1,1)))+SUMIFS(Holieday[Friday],Holieday[date],CONCATENATE("&gt;","=",D168),Holieday[date],CONCATENATE("&lt;","=",J_SUBDAY(J_ADDDAY(D168,N168,1),1,1))))=0,J_SUBDAY(J_ADDDAY(D168,N168,1),1,1),IF((N168-NETWORKDAYS.INTL(J_GregorianDate(D168,1),J_GregorianDate(J_SUBDAY(J_ADDDAY(D168,N168,1),1,1),1),16,1)-SUMIFS(Holieday[ok],Holieday[date],CONCATENATE("&gt;","=",D168),Holieday[date],CONCATENATE("&lt;","=",J_SUBDAY(J_ADDDAY(D168,N168,1),1,1)))+SUMIFS(Holieday[Friday],Holieday[date],CONCATENATE("&gt;","=",D168),Holieday[date],CONCATENATE("&lt;","=",J_SUBDAY(J_ADDDAY(D168,N168,1),1,1))))=1,J_SUBDAY(J_ADDDAY(D168,N168+1,1),1,1),IF((N168-NETWORKDAYS.INTL(J_GregorianDate(D168,1),J_GregorianDate(J_SUBDAY(J_ADDDAY(D168,N168,1),1,1),1),16,1)-SUMIFS(Holieday[ok],Holieday[date],CONCATENATE("&gt;","=",D168),Holieday[date],CONCATENATE("&lt;","=",J_SUBDAY(J_ADDDAY(D168,N168,1),1,1)))+SUMIFS(Holieday[Friday],Holieday[date],CONCATENATE("&gt;","=",D168),Holieday[date],CONCATENATE("&lt;","=",J_SUBDAY(J_ADDDAY(D168,N168,1),1,1))))=2,J_SUBDAY(J_ADDDAY(D168,N168+2,1),1,1),J_SUBDAY(J_ADDDAY(D168,N168+3,1),1,1)))))</f>
        <v>1398/09/13</v>
      </c>
      <c r="G168" s="2">
        <f t="shared" si="51"/>
        <v>13980913</v>
      </c>
      <c r="H168" s="109"/>
      <c r="I168" s="110">
        <v>7.1</v>
      </c>
      <c r="J168" s="9">
        <f>j_WEEKDAY(D168,2)</f>
        <v>5</v>
      </c>
      <c r="K168" s="21">
        <f t="shared" si="54"/>
        <v>0</v>
      </c>
      <c r="L168" s="8">
        <f t="shared" si="55"/>
        <v>0</v>
      </c>
      <c r="M168" s="111">
        <v>0</v>
      </c>
      <c r="N168" s="108">
        <v>0</v>
      </c>
      <c r="O168" s="10">
        <f t="shared" si="58"/>
        <v>0</v>
      </c>
      <c r="P168" s="10">
        <f>VALUE(J_normdate(J_ADDDAY($D168,$O168,1)))</f>
        <v>13980914</v>
      </c>
      <c r="Q168" s="9">
        <f t="shared" si="59"/>
        <v>0</v>
      </c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7"/>
      <c r="CY168" s="7"/>
      <c r="CZ168" s="7"/>
      <c r="DA168" s="7"/>
      <c r="DB168" s="7"/>
      <c r="DC168" s="7"/>
      <c r="DD168" s="7"/>
      <c r="DE168" s="7"/>
      <c r="DF168" s="7"/>
      <c r="DG168" s="7"/>
      <c r="DH168" s="7"/>
      <c r="DI168" s="7"/>
      <c r="DJ168" s="7"/>
      <c r="DK168" s="7"/>
      <c r="DL168" s="7"/>
      <c r="DM168" s="7"/>
      <c r="DN168" s="7"/>
      <c r="DO168" s="7"/>
      <c r="DP168" s="7"/>
      <c r="DQ168" s="7"/>
      <c r="DR168" s="7"/>
      <c r="DS168" s="7"/>
      <c r="DT168" s="7"/>
      <c r="DU168" s="7"/>
      <c r="DV168" s="7"/>
      <c r="DW168" s="7"/>
      <c r="DX168" s="7"/>
      <c r="DY168" s="7"/>
      <c r="DZ168" s="7"/>
      <c r="EA168" s="7"/>
      <c r="EB168" s="7"/>
      <c r="EC168" s="7"/>
      <c r="ED168" s="7"/>
      <c r="EE168" s="7"/>
      <c r="EF168" s="7"/>
      <c r="EG168" s="7"/>
      <c r="EH168" s="7"/>
      <c r="EI168" s="7"/>
      <c r="EJ168" s="7"/>
      <c r="EK168" s="7"/>
      <c r="EL168" s="7"/>
      <c r="EM168" s="7"/>
      <c r="EN168" s="7"/>
      <c r="EO168" s="7"/>
      <c r="EP168" s="7"/>
      <c r="EQ168" s="7"/>
      <c r="ER168" s="7"/>
      <c r="ES168" s="7"/>
      <c r="ET168" s="7"/>
      <c r="EU168" s="7"/>
      <c r="EV168" s="7"/>
      <c r="EW168" s="7"/>
      <c r="EX168" s="7"/>
      <c r="EY168" s="7"/>
      <c r="EZ168" s="7"/>
      <c r="FA168" s="7"/>
      <c r="FB168" s="7"/>
      <c r="FC168" s="7"/>
      <c r="FD168" s="7"/>
      <c r="FE168" s="7"/>
      <c r="FF168" s="7"/>
      <c r="FG168" s="7"/>
      <c r="FH168" s="7"/>
      <c r="FI168" s="7"/>
      <c r="FJ168" s="7"/>
      <c r="FK168" s="7"/>
      <c r="FL168" s="7"/>
      <c r="FM168" s="7"/>
      <c r="FN168" s="7"/>
      <c r="FO168" s="7"/>
      <c r="FP168" s="7"/>
      <c r="FQ168" s="7"/>
      <c r="FR168" s="7"/>
      <c r="FS168" s="7"/>
      <c r="FT168" s="7"/>
      <c r="FU168" s="7"/>
      <c r="FV168" s="7"/>
      <c r="FW168" s="7"/>
      <c r="FX168" s="7"/>
      <c r="FY168" s="7"/>
      <c r="FZ168" s="7"/>
      <c r="GA168" s="7"/>
      <c r="GB168" s="7"/>
      <c r="GC168" s="7"/>
      <c r="GD168" s="7"/>
      <c r="GE168" s="7"/>
      <c r="GF168" s="7"/>
      <c r="GG168" s="7"/>
      <c r="GH168" s="7"/>
      <c r="GI168" s="7"/>
      <c r="GJ168" s="7"/>
      <c r="GK168" s="7"/>
      <c r="GL168" s="7"/>
      <c r="GM168" s="7"/>
      <c r="GN168" s="7"/>
      <c r="GO168" s="7"/>
      <c r="GP168" s="7"/>
      <c r="GQ168" s="7"/>
      <c r="GR168" s="7"/>
      <c r="GS168" s="7"/>
      <c r="GT168" s="7"/>
      <c r="GU168" s="7"/>
      <c r="GV168" s="7"/>
      <c r="GW168" s="7"/>
      <c r="GX168" s="7"/>
      <c r="GY168" s="7"/>
      <c r="GZ168" s="7"/>
      <c r="HA168" s="7"/>
      <c r="HB168" s="7"/>
      <c r="HC168" s="7"/>
      <c r="HD168" s="7"/>
      <c r="HE168" s="7"/>
      <c r="HF168" s="7"/>
      <c r="HG168" s="7"/>
      <c r="HH168" s="7"/>
      <c r="HI168" s="7"/>
      <c r="HJ168" s="7"/>
      <c r="HK168" s="7"/>
      <c r="HL168" s="7"/>
      <c r="HM168" s="7"/>
      <c r="HN168" s="7"/>
      <c r="HO168" s="7"/>
      <c r="HP168" s="7"/>
      <c r="HQ168" s="7"/>
      <c r="HR168" s="7"/>
      <c r="HS168" s="7"/>
      <c r="HT168" s="7"/>
      <c r="HU168" s="7"/>
      <c r="HV168" s="7"/>
      <c r="HW168" s="7"/>
      <c r="HX168" s="7"/>
      <c r="HY168" s="7"/>
      <c r="HZ168" s="7"/>
      <c r="IA168" s="7"/>
      <c r="IB168" s="7"/>
      <c r="IC168" s="7"/>
      <c r="ID168" s="7"/>
      <c r="IE168" s="7"/>
      <c r="IF168" s="7"/>
      <c r="IG168" s="7"/>
      <c r="IH168" s="7"/>
      <c r="II168" s="7"/>
      <c r="IJ168" s="7"/>
      <c r="IK168" s="7"/>
      <c r="IL168" s="7"/>
      <c r="IM168" s="7"/>
      <c r="IN168" s="7"/>
      <c r="IO168" s="7"/>
      <c r="IP168" s="7"/>
      <c r="IQ168" s="7"/>
      <c r="IR168" s="7"/>
      <c r="IS168" s="7"/>
      <c r="IT168" s="7"/>
      <c r="IU168" s="7"/>
      <c r="IV168" s="7"/>
      <c r="IW168" s="7"/>
      <c r="IX168" s="7"/>
      <c r="JA168" s="113"/>
      <c r="JB168" s="113"/>
      <c r="JC168" s="113"/>
      <c r="JD168" s="66">
        <f>SUM((TEXT(JA168,"[M]")/60)*'Income Person-hours'!$D$3,(TEXT(JB168,"[M]")/60)*'Income Person-hours'!$D$4,(TEXT(JC168,"[M]")/60)*'Income Person-hours'!$D$5)</f>
        <v>0</v>
      </c>
    </row>
    <row r="169" spans="1:264 16383:16384" s="11" customFormat="1" ht="11.25" hidden="1">
      <c r="A169" s="176">
        <v>7.8</v>
      </c>
      <c r="B169" s="106"/>
      <c r="C169" s="107"/>
      <c r="D169" s="12" t="str">
        <f>IF(OR(j_WEEKDAY(J_ADDDAY(VLOOKUP(I169,A:F,6,FALSE),H169,1),0)=6,SUMIFS(Holieday[ok],Holieday[date],J_ADDDAY(VLOOKUP(I169,A:F,6,FALSE),H169,1)))=FALSE(),J_ADDDAY(VLOOKUP(I169,A:F,6,FALSE),H169,1),IF(OR(j_WEEKDAY(J_ADDDAY(VLOOKUP(I169,A:F,6,FALSE),H169+1,1),0)=6,SUMIFS(Holieday[ok],Holieday[date],J_ADDDAY(VLOOKUP(I169,A:F,6,FALSE),H169+1,1)))=FALSE(),J_ADDDAY(VLOOKUP(I169,A:F,6,FALSE),H169+1,1),IF(OR(j_WEEKDAY(J_ADDDAY(VLOOKUP(I169,A:F,6,FALSE),H169+2,1),0)=6,SUMIFS(Holieday[ok],Holieday[date],J_ADDDAY(VLOOKUP(I169,A:F,6,FALSE),H169+2,1)))=FALSE(),J_ADDDAY(VLOOKUP(I169,A:F,6,FALSE),H169+2,1),IF(OR(j_WEEKDAY(J_ADDDAY(VLOOKUP(I169,A:F,6,FALSE),H169+3,1),0)=6,SUMIFS(Holieday[ok],Holieday[date],J_ADDDAY(VLOOKUP(I169,A:F,6,FALSE),H169+3,1)))=FALSE(),J_ADDDAY(VLOOKUP(I169,A:F,6,FALSE),H169+3,1),IF(OR(j_WEEKDAY(J_ADDDAY(VLOOKUP(I169,A:F,6,FALSE),H169+4,1),0)=6,SUMIFS(Holieday[ok],Holieday[date],J_ADDDAY(VLOOKUP(I169,A:F,6,FALSE),H169+4,1)))=FALSE(),J_ADDDAY(VLOOKUP(I169,A:F,6,FALSE),H169+4,1),J_ADDDAY(VLOOKUP(I169,A:F,6,FALSE),H169+5,1))))))</f>
        <v>1398/09/14</v>
      </c>
      <c r="E169" s="1">
        <f t="shared" si="50"/>
        <v>13980914</v>
      </c>
      <c r="F169" s="12" t="str">
        <f>IF(N169=0,J_SUBDAY(D169,1,1),IF((N169-NETWORKDAYS.INTL(J_GregorianDate(D169,1),J_GregorianDate(J_SUBDAY(J_ADDDAY(D169,N169,1),1,1),1),16,1)-SUMIFS(Holieday[ok],Holieday[date],CONCATENATE("&gt;","=",D169),Holieday[date],CONCATENATE("&lt;","=",J_SUBDAY(J_ADDDAY(D169,N169,1),1,1)))+SUMIFS(Holieday[Friday],Holieday[date],CONCATENATE("&gt;","=",D169),Holieday[date],CONCATENATE("&lt;","=",J_SUBDAY(J_ADDDAY(D169,N169,1),1,1))))=0,J_SUBDAY(J_ADDDAY(D169,N169,1),1,1),IF((N169-NETWORKDAYS.INTL(J_GregorianDate(D169,1),J_GregorianDate(J_SUBDAY(J_ADDDAY(D169,N169,1),1,1),1),16,1)-SUMIFS(Holieday[ok],Holieday[date],CONCATENATE("&gt;","=",D169),Holieday[date],CONCATENATE("&lt;","=",J_SUBDAY(J_ADDDAY(D169,N169,1),1,1)))+SUMIFS(Holieday[Friday],Holieday[date],CONCATENATE("&gt;","=",D169),Holieday[date],CONCATENATE("&lt;","=",J_SUBDAY(J_ADDDAY(D169,N169,1),1,1))))=1,J_SUBDAY(J_ADDDAY(D169,N169+1,1),1,1),IF((N169-NETWORKDAYS.INTL(J_GregorianDate(D169,1),J_GregorianDate(J_SUBDAY(J_ADDDAY(D169,N169,1),1,1),1),16,1)-SUMIFS(Holieday[ok],Holieday[date],CONCATENATE("&gt;","=",D169),Holieday[date],CONCATENATE("&lt;","=",J_SUBDAY(J_ADDDAY(D169,N169,1),1,1)))+SUMIFS(Holieday[Friday],Holieday[date],CONCATENATE("&gt;","=",D169),Holieday[date],CONCATENATE("&lt;","=",J_SUBDAY(J_ADDDAY(D169,N169,1),1,1))))=2,J_SUBDAY(J_ADDDAY(D169,N169+2,1),1,1),J_SUBDAY(J_ADDDAY(D169,N169+3,1),1,1)))))</f>
        <v>1398/09/13</v>
      </c>
      <c r="G169" s="2">
        <f t="shared" si="51"/>
        <v>13980913</v>
      </c>
      <c r="H169" s="109"/>
      <c r="I169" s="110">
        <v>7.1</v>
      </c>
      <c r="J169" s="9">
        <f>j_WEEKDAY(D169,2)</f>
        <v>5</v>
      </c>
      <c r="K169" s="21">
        <f t="shared" si="54"/>
        <v>0</v>
      </c>
      <c r="L169" s="8">
        <f t="shared" si="55"/>
        <v>0</v>
      </c>
      <c r="M169" s="111">
        <v>0</v>
      </c>
      <c r="N169" s="108">
        <v>0</v>
      </c>
      <c r="O169" s="10">
        <f t="shared" si="58"/>
        <v>0</v>
      </c>
      <c r="P169" s="10">
        <f>VALUE(J_normdate(J_ADDDAY($D169,$O169,1)))</f>
        <v>13980914</v>
      </c>
      <c r="Q169" s="9">
        <f t="shared" si="59"/>
        <v>0</v>
      </c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/>
      <c r="CT169" s="7"/>
      <c r="CU169" s="7"/>
      <c r="CV169" s="7"/>
      <c r="CW169" s="7"/>
      <c r="CX169" s="7"/>
      <c r="CY169" s="7"/>
      <c r="CZ169" s="7"/>
      <c r="DA169" s="7"/>
      <c r="DB169" s="7"/>
      <c r="DC169" s="7"/>
      <c r="DD169" s="7"/>
      <c r="DE169" s="7"/>
      <c r="DF169" s="7"/>
      <c r="DG169" s="7"/>
      <c r="DH169" s="7"/>
      <c r="DI169" s="7"/>
      <c r="DJ169" s="7"/>
      <c r="DK169" s="7"/>
      <c r="DL169" s="7"/>
      <c r="DM169" s="7"/>
      <c r="DN169" s="7"/>
      <c r="DO169" s="7"/>
      <c r="DP169" s="7"/>
      <c r="DQ169" s="7"/>
      <c r="DR169" s="7"/>
      <c r="DS169" s="7"/>
      <c r="DT169" s="7"/>
      <c r="DU169" s="7"/>
      <c r="DV169" s="7"/>
      <c r="DW169" s="7"/>
      <c r="DX169" s="7"/>
      <c r="DY169" s="7"/>
      <c r="DZ169" s="7"/>
      <c r="EA169" s="7"/>
      <c r="EB169" s="7"/>
      <c r="EC169" s="7"/>
      <c r="ED169" s="7"/>
      <c r="EE169" s="7"/>
      <c r="EF169" s="7"/>
      <c r="EG169" s="7"/>
      <c r="EH169" s="7"/>
      <c r="EI169" s="7"/>
      <c r="EJ169" s="7"/>
      <c r="EK169" s="7"/>
      <c r="EL169" s="7"/>
      <c r="EM169" s="7"/>
      <c r="EN169" s="7"/>
      <c r="EO169" s="7"/>
      <c r="EP169" s="7"/>
      <c r="EQ169" s="7"/>
      <c r="ER169" s="7"/>
      <c r="ES169" s="7"/>
      <c r="ET169" s="7"/>
      <c r="EU169" s="7"/>
      <c r="EV169" s="7"/>
      <c r="EW169" s="7"/>
      <c r="EX169" s="7"/>
      <c r="EY169" s="7"/>
      <c r="EZ169" s="7"/>
      <c r="FA169" s="7"/>
      <c r="FB169" s="7"/>
      <c r="FC169" s="7"/>
      <c r="FD169" s="7"/>
      <c r="FE169" s="7"/>
      <c r="FF169" s="7"/>
      <c r="FG169" s="7"/>
      <c r="FH169" s="7"/>
      <c r="FI169" s="7"/>
      <c r="FJ169" s="7"/>
      <c r="FK169" s="7"/>
      <c r="FL169" s="7"/>
      <c r="FM169" s="7"/>
      <c r="FN169" s="7"/>
      <c r="FO169" s="7"/>
      <c r="FP169" s="7"/>
      <c r="FQ169" s="7"/>
      <c r="FR169" s="7"/>
      <c r="FS169" s="7"/>
      <c r="FT169" s="7"/>
      <c r="FU169" s="7"/>
      <c r="FV169" s="7"/>
      <c r="FW169" s="7"/>
      <c r="FX169" s="7"/>
      <c r="FY169" s="7"/>
      <c r="FZ169" s="7"/>
      <c r="GA169" s="7"/>
      <c r="GB169" s="7"/>
      <c r="GC169" s="7"/>
      <c r="GD169" s="7"/>
      <c r="GE169" s="7"/>
      <c r="GF169" s="7"/>
      <c r="GG169" s="7"/>
      <c r="GH169" s="7"/>
      <c r="GI169" s="7"/>
      <c r="GJ169" s="7"/>
      <c r="GK169" s="7"/>
      <c r="GL169" s="7"/>
      <c r="GM169" s="7"/>
      <c r="GN169" s="7"/>
      <c r="GO169" s="7"/>
      <c r="GP169" s="7"/>
      <c r="GQ169" s="7"/>
      <c r="GR169" s="7"/>
      <c r="GS169" s="7"/>
      <c r="GT169" s="7"/>
      <c r="GU169" s="7"/>
      <c r="GV169" s="7"/>
      <c r="GW169" s="7"/>
      <c r="GX169" s="7"/>
      <c r="GY169" s="7"/>
      <c r="GZ169" s="7"/>
      <c r="HA169" s="7"/>
      <c r="HB169" s="7"/>
      <c r="HC169" s="7"/>
      <c r="HD169" s="7"/>
      <c r="HE169" s="7"/>
      <c r="HF169" s="7"/>
      <c r="HG169" s="7"/>
      <c r="HH169" s="7"/>
      <c r="HI169" s="7"/>
      <c r="HJ169" s="7"/>
      <c r="HK169" s="7"/>
      <c r="HL169" s="7"/>
      <c r="HM169" s="7"/>
      <c r="HN169" s="7"/>
      <c r="HO169" s="7"/>
      <c r="HP169" s="7"/>
      <c r="HQ169" s="7"/>
      <c r="HR169" s="7"/>
      <c r="HS169" s="7"/>
      <c r="HT169" s="7"/>
      <c r="HU169" s="7"/>
      <c r="HV169" s="7"/>
      <c r="HW169" s="7"/>
      <c r="HX169" s="7"/>
      <c r="HY169" s="7"/>
      <c r="HZ169" s="7"/>
      <c r="IA169" s="7"/>
      <c r="IB169" s="7"/>
      <c r="IC169" s="7"/>
      <c r="ID169" s="7"/>
      <c r="IE169" s="7"/>
      <c r="IF169" s="7"/>
      <c r="IG169" s="7"/>
      <c r="IH169" s="7"/>
      <c r="II169" s="7"/>
      <c r="IJ169" s="7"/>
      <c r="IK169" s="7"/>
      <c r="IL169" s="7"/>
      <c r="IM169" s="7"/>
      <c r="IN169" s="7"/>
      <c r="IO169" s="7"/>
      <c r="IP169" s="7"/>
      <c r="IQ169" s="7"/>
      <c r="IR169" s="7"/>
      <c r="IS169" s="7"/>
      <c r="IT169" s="7"/>
      <c r="IU169" s="7"/>
      <c r="IV169" s="7"/>
      <c r="IW169" s="7"/>
      <c r="IX169" s="7"/>
      <c r="JA169" s="113"/>
      <c r="JB169" s="113"/>
      <c r="JC169" s="113"/>
      <c r="JD169" s="66">
        <f>SUM((TEXT(JA169,"[M]")/60)*'Income Person-hours'!$D$3,(TEXT(JB169,"[M]")/60)*'Income Person-hours'!$D$4,(TEXT(JC169,"[M]")/60)*'Income Person-hours'!$D$5)</f>
        <v>0</v>
      </c>
    </row>
    <row r="170" spans="1:264 16383:16384" s="11" customFormat="1" ht="11.25" hidden="1">
      <c r="A170" s="176">
        <v>7.9</v>
      </c>
      <c r="B170" s="106"/>
      <c r="C170" s="107"/>
      <c r="D170" s="12" t="str">
        <f>IF(OR(j_WEEKDAY(J_ADDDAY(VLOOKUP(I170,A:F,6,FALSE),H170,1),0)=6,SUMIFS(Holieday[ok],Holieday[date],J_ADDDAY(VLOOKUP(I170,A:F,6,FALSE),H170,1)))=FALSE(),J_ADDDAY(VLOOKUP(I170,A:F,6,FALSE),H170,1),IF(OR(j_WEEKDAY(J_ADDDAY(VLOOKUP(I170,A:F,6,FALSE),H170+1,1),0)=6,SUMIFS(Holieday[ok],Holieday[date],J_ADDDAY(VLOOKUP(I170,A:F,6,FALSE),H170+1,1)))=FALSE(),J_ADDDAY(VLOOKUP(I170,A:F,6,FALSE),H170+1,1),IF(OR(j_WEEKDAY(J_ADDDAY(VLOOKUP(I170,A:F,6,FALSE),H170+2,1),0)=6,SUMIFS(Holieday[ok],Holieday[date],J_ADDDAY(VLOOKUP(I170,A:F,6,FALSE),H170+2,1)))=FALSE(),J_ADDDAY(VLOOKUP(I170,A:F,6,FALSE),H170+2,1),IF(OR(j_WEEKDAY(J_ADDDAY(VLOOKUP(I170,A:F,6,FALSE),H170+3,1),0)=6,SUMIFS(Holieday[ok],Holieday[date],J_ADDDAY(VLOOKUP(I170,A:F,6,FALSE),H170+3,1)))=FALSE(),J_ADDDAY(VLOOKUP(I170,A:F,6,FALSE),H170+3,1),IF(OR(j_WEEKDAY(J_ADDDAY(VLOOKUP(I170,A:F,6,FALSE),H170+4,1),0)=6,SUMIFS(Holieday[ok],Holieday[date],J_ADDDAY(VLOOKUP(I170,A:F,6,FALSE),H170+4,1)))=FALSE(),J_ADDDAY(VLOOKUP(I170,A:F,6,FALSE),H170+4,1),J_ADDDAY(VLOOKUP(I170,A:F,6,FALSE),H170+5,1))))))</f>
        <v>1398/09/14</v>
      </c>
      <c r="E170" s="1">
        <f t="shared" si="50"/>
        <v>13980914</v>
      </c>
      <c r="F170" s="12" t="str">
        <f>IF(N170=0,J_SUBDAY(D170,1,1),IF((N170-NETWORKDAYS.INTL(J_GregorianDate(D170,1),J_GregorianDate(J_SUBDAY(J_ADDDAY(D170,N170,1),1,1),1),16,1)-SUMIFS(Holieday[ok],Holieday[date],CONCATENATE("&gt;","=",D170),Holieday[date],CONCATENATE("&lt;","=",J_SUBDAY(J_ADDDAY(D170,N170,1),1,1)))+SUMIFS(Holieday[Friday],Holieday[date],CONCATENATE("&gt;","=",D170),Holieday[date],CONCATENATE("&lt;","=",J_SUBDAY(J_ADDDAY(D170,N170,1),1,1))))=0,J_SUBDAY(J_ADDDAY(D170,N170,1),1,1),IF((N170-NETWORKDAYS.INTL(J_GregorianDate(D170,1),J_GregorianDate(J_SUBDAY(J_ADDDAY(D170,N170,1),1,1),1),16,1)-SUMIFS(Holieday[ok],Holieday[date],CONCATENATE("&gt;","=",D170),Holieday[date],CONCATENATE("&lt;","=",J_SUBDAY(J_ADDDAY(D170,N170,1),1,1)))+SUMIFS(Holieday[Friday],Holieday[date],CONCATENATE("&gt;","=",D170),Holieday[date],CONCATENATE("&lt;","=",J_SUBDAY(J_ADDDAY(D170,N170,1),1,1))))=1,J_SUBDAY(J_ADDDAY(D170,N170+1,1),1,1),IF((N170-NETWORKDAYS.INTL(J_GregorianDate(D170,1),J_GregorianDate(J_SUBDAY(J_ADDDAY(D170,N170,1),1,1),1),16,1)-SUMIFS(Holieday[ok],Holieday[date],CONCATENATE("&gt;","=",D170),Holieday[date],CONCATENATE("&lt;","=",J_SUBDAY(J_ADDDAY(D170,N170,1),1,1)))+SUMIFS(Holieday[Friday],Holieday[date],CONCATENATE("&gt;","=",D170),Holieday[date],CONCATENATE("&lt;","=",J_SUBDAY(J_ADDDAY(D170,N170,1),1,1))))=2,J_SUBDAY(J_ADDDAY(D170,N170+2,1),1,1),J_SUBDAY(J_ADDDAY(D170,N170+3,1),1,1)))))</f>
        <v>1398/09/13</v>
      </c>
      <c r="G170" s="2">
        <f t="shared" si="51"/>
        <v>13980913</v>
      </c>
      <c r="H170" s="109"/>
      <c r="I170" s="110">
        <v>7.1</v>
      </c>
      <c r="J170" s="9">
        <f>j_WEEKDAY(D170,2)</f>
        <v>5</v>
      </c>
      <c r="K170" s="21">
        <f t="shared" si="54"/>
        <v>0</v>
      </c>
      <c r="L170" s="8">
        <f t="shared" si="55"/>
        <v>0</v>
      </c>
      <c r="M170" s="111">
        <v>0</v>
      </c>
      <c r="N170" s="108">
        <v>0</v>
      </c>
      <c r="O170" s="10">
        <f t="shared" si="58"/>
        <v>0</v>
      </c>
      <c r="P170" s="10">
        <f>VALUE(J_normdate(J_ADDDAY($D170,$O170,1)))</f>
        <v>13980914</v>
      </c>
      <c r="Q170" s="9">
        <f t="shared" si="59"/>
        <v>0</v>
      </c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7"/>
      <c r="CY170" s="7"/>
      <c r="CZ170" s="7"/>
      <c r="DA170" s="7"/>
      <c r="DB170" s="7"/>
      <c r="DC170" s="7"/>
      <c r="DD170" s="7"/>
      <c r="DE170" s="7"/>
      <c r="DF170" s="7"/>
      <c r="DG170" s="7"/>
      <c r="DH170" s="7"/>
      <c r="DI170" s="7"/>
      <c r="DJ170" s="7"/>
      <c r="DK170" s="7"/>
      <c r="DL170" s="7"/>
      <c r="DM170" s="7"/>
      <c r="DN170" s="7"/>
      <c r="DO170" s="7"/>
      <c r="DP170" s="7"/>
      <c r="DQ170" s="7"/>
      <c r="DR170" s="7"/>
      <c r="DS170" s="7"/>
      <c r="DT170" s="7"/>
      <c r="DU170" s="7"/>
      <c r="DV170" s="7"/>
      <c r="DW170" s="7"/>
      <c r="DX170" s="7"/>
      <c r="DY170" s="7"/>
      <c r="DZ170" s="7"/>
      <c r="EA170" s="7"/>
      <c r="EB170" s="7"/>
      <c r="EC170" s="7"/>
      <c r="ED170" s="7"/>
      <c r="EE170" s="7"/>
      <c r="EF170" s="7"/>
      <c r="EG170" s="7"/>
      <c r="EH170" s="7"/>
      <c r="EI170" s="7"/>
      <c r="EJ170" s="7"/>
      <c r="EK170" s="7"/>
      <c r="EL170" s="7"/>
      <c r="EM170" s="7"/>
      <c r="EN170" s="7"/>
      <c r="EO170" s="7"/>
      <c r="EP170" s="7"/>
      <c r="EQ170" s="7"/>
      <c r="ER170" s="7"/>
      <c r="ES170" s="7"/>
      <c r="ET170" s="7"/>
      <c r="EU170" s="7"/>
      <c r="EV170" s="7"/>
      <c r="EW170" s="7"/>
      <c r="EX170" s="7"/>
      <c r="EY170" s="7"/>
      <c r="EZ170" s="7"/>
      <c r="FA170" s="7"/>
      <c r="FB170" s="7"/>
      <c r="FC170" s="7"/>
      <c r="FD170" s="7"/>
      <c r="FE170" s="7"/>
      <c r="FF170" s="7"/>
      <c r="FG170" s="7"/>
      <c r="FH170" s="7"/>
      <c r="FI170" s="7"/>
      <c r="FJ170" s="7"/>
      <c r="FK170" s="7"/>
      <c r="FL170" s="7"/>
      <c r="FM170" s="7"/>
      <c r="FN170" s="7"/>
      <c r="FO170" s="7"/>
      <c r="FP170" s="7"/>
      <c r="FQ170" s="7"/>
      <c r="FR170" s="7"/>
      <c r="FS170" s="7"/>
      <c r="FT170" s="7"/>
      <c r="FU170" s="7"/>
      <c r="FV170" s="7"/>
      <c r="FW170" s="7"/>
      <c r="FX170" s="7"/>
      <c r="FY170" s="7"/>
      <c r="FZ170" s="7"/>
      <c r="GA170" s="7"/>
      <c r="GB170" s="7"/>
      <c r="GC170" s="7"/>
      <c r="GD170" s="7"/>
      <c r="GE170" s="7"/>
      <c r="GF170" s="7"/>
      <c r="GG170" s="7"/>
      <c r="GH170" s="7"/>
      <c r="GI170" s="7"/>
      <c r="GJ170" s="7"/>
      <c r="GK170" s="7"/>
      <c r="GL170" s="7"/>
      <c r="GM170" s="7"/>
      <c r="GN170" s="7"/>
      <c r="GO170" s="7"/>
      <c r="GP170" s="7"/>
      <c r="GQ170" s="7"/>
      <c r="GR170" s="7"/>
      <c r="GS170" s="7"/>
      <c r="GT170" s="7"/>
      <c r="GU170" s="7"/>
      <c r="GV170" s="7"/>
      <c r="GW170" s="7"/>
      <c r="GX170" s="7"/>
      <c r="GY170" s="7"/>
      <c r="GZ170" s="7"/>
      <c r="HA170" s="7"/>
      <c r="HB170" s="7"/>
      <c r="HC170" s="7"/>
      <c r="HD170" s="7"/>
      <c r="HE170" s="7"/>
      <c r="HF170" s="7"/>
      <c r="HG170" s="7"/>
      <c r="HH170" s="7"/>
      <c r="HI170" s="7"/>
      <c r="HJ170" s="7"/>
      <c r="HK170" s="7"/>
      <c r="HL170" s="7"/>
      <c r="HM170" s="7"/>
      <c r="HN170" s="7"/>
      <c r="HO170" s="7"/>
      <c r="HP170" s="7"/>
      <c r="HQ170" s="7"/>
      <c r="HR170" s="7"/>
      <c r="HS170" s="7"/>
      <c r="HT170" s="7"/>
      <c r="HU170" s="7"/>
      <c r="HV170" s="7"/>
      <c r="HW170" s="7"/>
      <c r="HX170" s="7"/>
      <c r="HY170" s="7"/>
      <c r="HZ170" s="7"/>
      <c r="IA170" s="7"/>
      <c r="IB170" s="7"/>
      <c r="IC170" s="7"/>
      <c r="ID170" s="7"/>
      <c r="IE170" s="7"/>
      <c r="IF170" s="7"/>
      <c r="IG170" s="7"/>
      <c r="IH170" s="7"/>
      <c r="II170" s="7"/>
      <c r="IJ170" s="7"/>
      <c r="IK170" s="7"/>
      <c r="IL170" s="7"/>
      <c r="IM170" s="7"/>
      <c r="IN170" s="7"/>
      <c r="IO170" s="7"/>
      <c r="IP170" s="7"/>
      <c r="IQ170" s="7"/>
      <c r="IR170" s="7"/>
      <c r="IS170" s="7"/>
      <c r="IT170" s="7"/>
      <c r="IU170" s="7"/>
      <c r="IV170" s="7"/>
      <c r="IW170" s="7"/>
      <c r="IX170" s="7"/>
      <c r="JA170" s="113"/>
      <c r="JB170" s="113"/>
      <c r="JC170" s="113"/>
      <c r="JD170" s="66">
        <f>SUM((TEXT(JA170,"[M]")/60)*'Income Person-hours'!$D$3,(TEXT(JB170,"[M]")/60)*'Income Person-hours'!$D$4,(TEXT(JC170,"[M]")/60)*'Income Person-hours'!$D$5)</f>
        <v>0</v>
      </c>
    </row>
    <row r="171" spans="1:264 16383:16384" s="11" customFormat="1" ht="11.25" hidden="1">
      <c r="A171" s="30">
        <v>7.11</v>
      </c>
      <c r="B171" s="116"/>
      <c r="C171" s="107"/>
      <c r="D171" s="12" t="str">
        <f>IF(OR(j_WEEKDAY(J_ADDDAY(VLOOKUP(I171,A:F,6,FALSE),H171,1),0)=6,SUMIFS(Holieday[ok],Holieday[date],J_ADDDAY(VLOOKUP(I171,A:F,6,FALSE),H171,1)))=FALSE(),J_ADDDAY(VLOOKUP(I171,A:F,6,FALSE),H171,1),IF(OR(j_WEEKDAY(J_ADDDAY(VLOOKUP(I171,A:F,6,FALSE),H171+1,1),0)=6,SUMIFS(Holieday[ok],Holieday[date],J_ADDDAY(VLOOKUP(I171,A:F,6,FALSE),H171+1,1)))=FALSE(),J_ADDDAY(VLOOKUP(I171,A:F,6,FALSE),H171+1,1),IF(OR(j_WEEKDAY(J_ADDDAY(VLOOKUP(I171,A:F,6,FALSE),H171+2,1),0)=6,SUMIFS(Holieday[ok],Holieday[date],J_ADDDAY(VLOOKUP(I171,A:F,6,FALSE),H171+2,1)))=FALSE(),J_ADDDAY(VLOOKUP(I171,A:F,6,FALSE),H171+2,1),IF(OR(j_WEEKDAY(J_ADDDAY(VLOOKUP(I171,A:F,6,FALSE),H171+3,1),0)=6,SUMIFS(Holieday[ok],Holieday[date],J_ADDDAY(VLOOKUP(I171,A:F,6,FALSE),H171+3,1)))=FALSE(),J_ADDDAY(VLOOKUP(I171,A:F,6,FALSE),H171+3,1),IF(OR(j_WEEKDAY(J_ADDDAY(VLOOKUP(I171,A:F,6,FALSE),H171+4,1),0)=6,SUMIFS(Holieday[ok],Holieday[date],J_ADDDAY(VLOOKUP(I171,A:F,6,FALSE),H171+4,1)))=FALSE(),J_ADDDAY(VLOOKUP(I171,A:F,6,FALSE),H171+4,1),J_ADDDAY(VLOOKUP(I171,A:F,6,FALSE),H171+5,1))))))</f>
        <v>1398/09/14</v>
      </c>
      <c r="E171" s="1">
        <f t="shared" si="50"/>
        <v>13980914</v>
      </c>
      <c r="F171" s="12" t="str">
        <f>IF(N171=0,J_SUBDAY(D171,1,1),IF((N171-NETWORKDAYS.INTL(J_GregorianDate(D171,1),J_GregorianDate(J_SUBDAY(J_ADDDAY(D171,N171,1),1,1),1),16,1)-SUMIFS(Holieday[ok],Holieday[date],CONCATENATE("&gt;","=",D171),Holieday[date],CONCATENATE("&lt;","=",J_SUBDAY(J_ADDDAY(D171,N171,1),1,1)))+SUMIFS(Holieday[Friday],Holieday[date],CONCATENATE("&gt;","=",D171),Holieday[date],CONCATENATE("&lt;","=",J_SUBDAY(J_ADDDAY(D171,N171,1),1,1))))=0,J_SUBDAY(J_ADDDAY(D171,N171,1),1,1),IF((N171-NETWORKDAYS.INTL(J_GregorianDate(D171,1),J_GregorianDate(J_SUBDAY(J_ADDDAY(D171,N171,1),1,1),1),16,1)-SUMIFS(Holieday[ok],Holieday[date],CONCATENATE("&gt;","=",D171),Holieday[date],CONCATENATE("&lt;","=",J_SUBDAY(J_ADDDAY(D171,N171,1),1,1)))+SUMIFS(Holieday[Friday],Holieday[date],CONCATENATE("&gt;","=",D171),Holieday[date],CONCATENATE("&lt;","=",J_SUBDAY(J_ADDDAY(D171,N171,1),1,1))))=1,J_SUBDAY(J_ADDDAY(D171,N171+1,1),1,1),IF((N171-NETWORKDAYS.INTL(J_GregorianDate(D171,1),J_GregorianDate(J_SUBDAY(J_ADDDAY(D171,N171,1),1,1),1),16,1)-SUMIFS(Holieday[ok],Holieday[date],CONCATENATE("&gt;","=",D171),Holieday[date],CONCATENATE("&lt;","=",J_SUBDAY(J_ADDDAY(D171,N171,1),1,1)))+SUMIFS(Holieday[Friday],Holieday[date],CONCATENATE("&gt;","=",D171),Holieday[date],CONCATENATE("&lt;","=",J_SUBDAY(J_ADDDAY(D171,N171,1),1,1))))=2,J_SUBDAY(J_ADDDAY(D171,N171+2,1),1,1),J_SUBDAY(J_ADDDAY(D171,N171+3,1),1,1)))))</f>
        <v>1398/09/13</v>
      </c>
      <c r="G171" s="2">
        <f t="shared" si="51"/>
        <v>13980913</v>
      </c>
      <c r="H171" s="109"/>
      <c r="I171" s="110">
        <v>7.1</v>
      </c>
      <c r="J171" s="9">
        <f>j_WEEKDAY(D171,2)</f>
        <v>5</v>
      </c>
      <c r="K171" s="21">
        <f t="shared" si="54"/>
        <v>0</v>
      </c>
      <c r="L171" s="8">
        <f t="shared" si="55"/>
        <v>0</v>
      </c>
      <c r="M171" s="111">
        <v>0</v>
      </c>
      <c r="N171" s="108">
        <v>0</v>
      </c>
      <c r="O171" s="10">
        <f t="shared" si="58"/>
        <v>0</v>
      </c>
      <c r="P171" s="10">
        <f>VALUE(J_normdate(J_ADDDAY($D171,$O171,1)))</f>
        <v>13980914</v>
      </c>
      <c r="Q171" s="9">
        <f t="shared" si="59"/>
        <v>0</v>
      </c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7"/>
      <c r="CY171" s="7"/>
      <c r="CZ171" s="7"/>
      <c r="DA171" s="7"/>
      <c r="DB171" s="7"/>
      <c r="DC171" s="7"/>
      <c r="DD171" s="7"/>
      <c r="DE171" s="7"/>
      <c r="DF171" s="7"/>
      <c r="DG171" s="7"/>
      <c r="DH171" s="7"/>
      <c r="DI171" s="7"/>
      <c r="DJ171" s="7"/>
      <c r="DK171" s="7"/>
      <c r="DL171" s="7"/>
      <c r="DM171" s="7"/>
      <c r="DN171" s="7"/>
      <c r="DO171" s="7"/>
      <c r="DP171" s="7"/>
      <c r="DQ171" s="7"/>
      <c r="DR171" s="7"/>
      <c r="DS171" s="7"/>
      <c r="DT171" s="7"/>
      <c r="DU171" s="7"/>
      <c r="DV171" s="7"/>
      <c r="DW171" s="7"/>
      <c r="DX171" s="7"/>
      <c r="DY171" s="7"/>
      <c r="DZ171" s="7"/>
      <c r="EA171" s="7"/>
      <c r="EB171" s="7"/>
      <c r="EC171" s="7"/>
      <c r="ED171" s="7"/>
      <c r="EE171" s="7"/>
      <c r="EF171" s="7"/>
      <c r="EG171" s="7"/>
      <c r="EH171" s="7"/>
      <c r="EI171" s="7"/>
      <c r="EJ171" s="7"/>
      <c r="EK171" s="7"/>
      <c r="EL171" s="7"/>
      <c r="EM171" s="7"/>
      <c r="EN171" s="7"/>
      <c r="EO171" s="7"/>
      <c r="EP171" s="7"/>
      <c r="EQ171" s="7"/>
      <c r="ER171" s="7"/>
      <c r="ES171" s="7"/>
      <c r="ET171" s="7"/>
      <c r="EU171" s="7"/>
      <c r="EV171" s="7"/>
      <c r="EW171" s="7"/>
      <c r="EX171" s="7"/>
      <c r="EY171" s="7"/>
      <c r="EZ171" s="7"/>
      <c r="FA171" s="7"/>
      <c r="FB171" s="7"/>
      <c r="FC171" s="7"/>
      <c r="FD171" s="7"/>
      <c r="FE171" s="7"/>
      <c r="FF171" s="7"/>
      <c r="FG171" s="7"/>
      <c r="FH171" s="7"/>
      <c r="FI171" s="7"/>
      <c r="FJ171" s="7"/>
      <c r="FK171" s="7"/>
      <c r="FL171" s="7"/>
      <c r="FM171" s="7"/>
      <c r="FN171" s="7"/>
      <c r="FO171" s="7"/>
      <c r="FP171" s="7"/>
      <c r="FQ171" s="7"/>
      <c r="FR171" s="7"/>
      <c r="FS171" s="7"/>
      <c r="FT171" s="7"/>
      <c r="FU171" s="7"/>
      <c r="FV171" s="7"/>
      <c r="FW171" s="7"/>
      <c r="FX171" s="7"/>
      <c r="FY171" s="7"/>
      <c r="FZ171" s="7"/>
      <c r="GA171" s="7"/>
      <c r="GB171" s="7"/>
      <c r="GC171" s="7"/>
      <c r="GD171" s="7"/>
      <c r="GE171" s="7"/>
      <c r="GF171" s="7"/>
      <c r="GG171" s="7"/>
      <c r="GH171" s="7"/>
      <c r="GI171" s="7"/>
      <c r="GJ171" s="7"/>
      <c r="GK171" s="7"/>
      <c r="GL171" s="7"/>
      <c r="GM171" s="7"/>
      <c r="GN171" s="7"/>
      <c r="GO171" s="7"/>
      <c r="GP171" s="7"/>
      <c r="GQ171" s="7"/>
      <c r="GR171" s="7"/>
      <c r="GS171" s="7"/>
      <c r="GT171" s="7"/>
      <c r="GU171" s="7"/>
      <c r="GV171" s="7"/>
      <c r="GW171" s="7"/>
      <c r="GX171" s="7"/>
      <c r="GY171" s="7"/>
      <c r="GZ171" s="7"/>
      <c r="HA171" s="7"/>
      <c r="HB171" s="7"/>
      <c r="HC171" s="7"/>
      <c r="HD171" s="7"/>
      <c r="HE171" s="7"/>
      <c r="HF171" s="7"/>
      <c r="HG171" s="7"/>
      <c r="HH171" s="7"/>
      <c r="HI171" s="7"/>
      <c r="HJ171" s="7"/>
      <c r="HK171" s="7"/>
      <c r="HL171" s="7"/>
      <c r="HM171" s="7"/>
      <c r="HN171" s="7"/>
      <c r="HO171" s="7"/>
      <c r="HP171" s="7"/>
      <c r="HQ171" s="7"/>
      <c r="HR171" s="7"/>
      <c r="HS171" s="7"/>
      <c r="HT171" s="7"/>
      <c r="HU171" s="7"/>
      <c r="HV171" s="7"/>
      <c r="HW171" s="7"/>
      <c r="HX171" s="7"/>
      <c r="HY171" s="7"/>
      <c r="HZ171" s="7"/>
      <c r="IA171" s="7"/>
      <c r="IB171" s="7"/>
      <c r="IC171" s="7"/>
      <c r="ID171" s="7"/>
      <c r="IE171" s="7"/>
      <c r="IF171" s="7"/>
      <c r="IG171" s="7"/>
      <c r="IH171" s="7"/>
      <c r="II171" s="7"/>
      <c r="IJ171" s="7"/>
      <c r="IK171" s="7"/>
      <c r="IL171" s="7"/>
      <c r="IM171" s="7"/>
      <c r="IN171" s="7"/>
      <c r="IO171" s="7"/>
      <c r="IP171" s="7"/>
      <c r="IQ171" s="7"/>
      <c r="IR171" s="7"/>
      <c r="IS171" s="7"/>
      <c r="IT171" s="7"/>
      <c r="IU171" s="7"/>
      <c r="IV171" s="7"/>
      <c r="IW171" s="7"/>
      <c r="IX171" s="7"/>
      <c r="JA171" s="113"/>
      <c r="JB171" s="113"/>
      <c r="JC171" s="113"/>
      <c r="JD171" s="66">
        <f>SUM((TEXT(JA171,"[M]")/60)*'Income Person-hours'!$D$3,(TEXT(JB171,"[M]")/60)*'Income Person-hours'!$D$4,(TEXT(JC171,"[M]")/60)*'Income Person-hours'!$D$5)</f>
        <v>0</v>
      </c>
    </row>
    <row r="172" spans="1:264 16383:16384" s="11" customFormat="1" ht="11.25" hidden="1">
      <c r="A172" s="30">
        <v>7.12</v>
      </c>
      <c r="B172" s="116"/>
      <c r="C172" s="107"/>
      <c r="D172" s="12" t="str">
        <f>IF(OR(j_WEEKDAY(J_ADDDAY(VLOOKUP(I172,A:F,6,FALSE),H172,1),0)=6,SUMIFS(Holieday[ok],Holieday[date],J_ADDDAY(VLOOKUP(I172,A:F,6,FALSE),H172,1)))=FALSE(),J_ADDDAY(VLOOKUP(I172,A:F,6,FALSE),H172,1),IF(OR(j_WEEKDAY(J_ADDDAY(VLOOKUP(I172,A:F,6,FALSE),H172+1,1),0)=6,SUMIFS(Holieday[ok],Holieday[date],J_ADDDAY(VLOOKUP(I172,A:F,6,FALSE),H172+1,1)))=FALSE(),J_ADDDAY(VLOOKUP(I172,A:F,6,FALSE),H172+1,1),IF(OR(j_WEEKDAY(J_ADDDAY(VLOOKUP(I172,A:F,6,FALSE),H172+2,1),0)=6,SUMIFS(Holieday[ok],Holieday[date],J_ADDDAY(VLOOKUP(I172,A:F,6,FALSE),H172+2,1)))=FALSE(),J_ADDDAY(VLOOKUP(I172,A:F,6,FALSE),H172+2,1),IF(OR(j_WEEKDAY(J_ADDDAY(VLOOKUP(I172,A:F,6,FALSE),H172+3,1),0)=6,SUMIFS(Holieday[ok],Holieday[date],J_ADDDAY(VLOOKUP(I172,A:F,6,FALSE),H172+3,1)))=FALSE(),J_ADDDAY(VLOOKUP(I172,A:F,6,FALSE),H172+3,1),IF(OR(j_WEEKDAY(J_ADDDAY(VLOOKUP(I172,A:F,6,FALSE),H172+4,1),0)=6,SUMIFS(Holieday[ok],Holieday[date],J_ADDDAY(VLOOKUP(I172,A:F,6,FALSE),H172+4,1)))=FALSE(),J_ADDDAY(VLOOKUP(I172,A:F,6,FALSE),H172+4,1),J_ADDDAY(VLOOKUP(I172,A:F,6,FALSE),H172+5,1))))))</f>
        <v>1398/09/14</v>
      </c>
      <c r="E172" s="1">
        <f t="shared" si="50"/>
        <v>13980914</v>
      </c>
      <c r="F172" s="12" t="str">
        <f>IF(N172=0,J_SUBDAY(D172,1,1),IF((N172-NETWORKDAYS.INTL(J_GregorianDate(D172,1),J_GregorianDate(J_SUBDAY(J_ADDDAY(D172,N172,1),1,1),1),16,1)-SUMIFS(Holieday[ok],Holieday[date],CONCATENATE("&gt;","=",D172),Holieday[date],CONCATENATE("&lt;","=",J_SUBDAY(J_ADDDAY(D172,N172,1),1,1)))+SUMIFS(Holieday[Friday],Holieday[date],CONCATENATE("&gt;","=",D172),Holieday[date],CONCATENATE("&lt;","=",J_SUBDAY(J_ADDDAY(D172,N172,1),1,1))))=0,J_SUBDAY(J_ADDDAY(D172,N172,1),1,1),IF((N172-NETWORKDAYS.INTL(J_GregorianDate(D172,1),J_GregorianDate(J_SUBDAY(J_ADDDAY(D172,N172,1),1,1),1),16,1)-SUMIFS(Holieday[ok],Holieday[date],CONCATENATE("&gt;","=",D172),Holieday[date],CONCATENATE("&lt;","=",J_SUBDAY(J_ADDDAY(D172,N172,1),1,1)))+SUMIFS(Holieday[Friday],Holieday[date],CONCATENATE("&gt;","=",D172),Holieday[date],CONCATENATE("&lt;","=",J_SUBDAY(J_ADDDAY(D172,N172,1),1,1))))=1,J_SUBDAY(J_ADDDAY(D172,N172+1,1),1,1),IF((N172-NETWORKDAYS.INTL(J_GregorianDate(D172,1),J_GregorianDate(J_SUBDAY(J_ADDDAY(D172,N172,1),1,1),1),16,1)-SUMIFS(Holieday[ok],Holieday[date],CONCATENATE("&gt;","=",D172),Holieday[date],CONCATENATE("&lt;","=",J_SUBDAY(J_ADDDAY(D172,N172,1),1,1)))+SUMIFS(Holieday[Friday],Holieday[date],CONCATENATE("&gt;","=",D172),Holieday[date],CONCATENATE("&lt;","=",J_SUBDAY(J_ADDDAY(D172,N172,1),1,1))))=2,J_SUBDAY(J_ADDDAY(D172,N172+2,1),1,1),J_SUBDAY(J_ADDDAY(D172,N172+3,1),1,1)))))</f>
        <v>1398/09/13</v>
      </c>
      <c r="G172" s="2">
        <f t="shared" si="51"/>
        <v>13980913</v>
      </c>
      <c r="H172" s="109"/>
      <c r="I172" s="110">
        <v>7.1</v>
      </c>
      <c r="J172" s="9">
        <f>j_WEEKDAY(D172,2)</f>
        <v>5</v>
      </c>
      <c r="K172" s="21">
        <f t="shared" si="54"/>
        <v>0</v>
      </c>
      <c r="L172" s="8">
        <f t="shared" si="55"/>
        <v>0</v>
      </c>
      <c r="M172" s="111">
        <v>0</v>
      </c>
      <c r="N172" s="108">
        <v>0</v>
      </c>
      <c r="O172" s="10">
        <f t="shared" si="58"/>
        <v>0</v>
      </c>
      <c r="P172" s="10">
        <f>VALUE(J_normdate(J_ADDDAY($D172,$O172,1)))</f>
        <v>13980914</v>
      </c>
      <c r="Q172" s="9">
        <f t="shared" si="59"/>
        <v>0</v>
      </c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7"/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/>
      <c r="CQ172" s="7"/>
      <c r="CR172" s="7"/>
      <c r="CS172" s="7"/>
      <c r="CT172" s="7"/>
      <c r="CU172" s="7"/>
      <c r="CV172" s="7"/>
      <c r="CW172" s="7"/>
      <c r="CX172" s="7"/>
      <c r="CY172" s="7"/>
      <c r="CZ172" s="7"/>
      <c r="DA172" s="7"/>
      <c r="DB172" s="7"/>
      <c r="DC172" s="7"/>
      <c r="DD172" s="7"/>
      <c r="DE172" s="7"/>
      <c r="DF172" s="7"/>
      <c r="DG172" s="7"/>
      <c r="DH172" s="7"/>
      <c r="DI172" s="7"/>
      <c r="DJ172" s="7"/>
      <c r="DK172" s="7"/>
      <c r="DL172" s="7"/>
      <c r="DM172" s="7"/>
      <c r="DN172" s="7"/>
      <c r="DO172" s="7"/>
      <c r="DP172" s="7"/>
      <c r="DQ172" s="7"/>
      <c r="DR172" s="7"/>
      <c r="DS172" s="7"/>
      <c r="DT172" s="7"/>
      <c r="DU172" s="7"/>
      <c r="DV172" s="7"/>
      <c r="DW172" s="7"/>
      <c r="DX172" s="7"/>
      <c r="DY172" s="7"/>
      <c r="DZ172" s="7"/>
      <c r="EA172" s="7"/>
      <c r="EB172" s="7"/>
      <c r="EC172" s="7"/>
      <c r="ED172" s="7"/>
      <c r="EE172" s="7"/>
      <c r="EF172" s="7"/>
      <c r="EG172" s="7"/>
      <c r="EH172" s="7"/>
      <c r="EI172" s="7"/>
      <c r="EJ172" s="7"/>
      <c r="EK172" s="7"/>
      <c r="EL172" s="7"/>
      <c r="EM172" s="7"/>
      <c r="EN172" s="7"/>
      <c r="EO172" s="7"/>
      <c r="EP172" s="7"/>
      <c r="EQ172" s="7"/>
      <c r="ER172" s="7"/>
      <c r="ES172" s="7"/>
      <c r="ET172" s="7"/>
      <c r="EU172" s="7"/>
      <c r="EV172" s="7"/>
      <c r="EW172" s="7"/>
      <c r="EX172" s="7"/>
      <c r="EY172" s="7"/>
      <c r="EZ172" s="7"/>
      <c r="FA172" s="7"/>
      <c r="FB172" s="7"/>
      <c r="FC172" s="7"/>
      <c r="FD172" s="7"/>
      <c r="FE172" s="7"/>
      <c r="FF172" s="7"/>
      <c r="FG172" s="7"/>
      <c r="FH172" s="7"/>
      <c r="FI172" s="7"/>
      <c r="FJ172" s="7"/>
      <c r="FK172" s="7"/>
      <c r="FL172" s="7"/>
      <c r="FM172" s="7"/>
      <c r="FN172" s="7"/>
      <c r="FO172" s="7"/>
      <c r="FP172" s="7"/>
      <c r="FQ172" s="7"/>
      <c r="FR172" s="7"/>
      <c r="FS172" s="7"/>
      <c r="FT172" s="7"/>
      <c r="FU172" s="7"/>
      <c r="FV172" s="7"/>
      <c r="FW172" s="7"/>
      <c r="FX172" s="7"/>
      <c r="FY172" s="7"/>
      <c r="FZ172" s="7"/>
      <c r="GA172" s="7"/>
      <c r="GB172" s="7"/>
      <c r="GC172" s="7"/>
      <c r="GD172" s="7"/>
      <c r="GE172" s="7"/>
      <c r="GF172" s="7"/>
      <c r="GG172" s="7"/>
      <c r="GH172" s="7"/>
      <c r="GI172" s="7"/>
      <c r="GJ172" s="7"/>
      <c r="GK172" s="7"/>
      <c r="GL172" s="7"/>
      <c r="GM172" s="7"/>
      <c r="GN172" s="7"/>
      <c r="GO172" s="7"/>
      <c r="GP172" s="7"/>
      <c r="GQ172" s="7"/>
      <c r="GR172" s="7"/>
      <c r="GS172" s="7"/>
      <c r="GT172" s="7"/>
      <c r="GU172" s="7"/>
      <c r="GV172" s="7"/>
      <c r="GW172" s="7"/>
      <c r="GX172" s="7"/>
      <c r="GY172" s="7"/>
      <c r="GZ172" s="7"/>
      <c r="HA172" s="7"/>
      <c r="HB172" s="7"/>
      <c r="HC172" s="7"/>
      <c r="HD172" s="7"/>
      <c r="HE172" s="7"/>
      <c r="HF172" s="7"/>
      <c r="HG172" s="7"/>
      <c r="HH172" s="7"/>
      <c r="HI172" s="7"/>
      <c r="HJ172" s="7"/>
      <c r="HK172" s="7"/>
      <c r="HL172" s="7"/>
      <c r="HM172" s="7"/>
      <c r="HN172" s="7"/>
      <c r="HO172" s="7"/>
      <c r="HP172" s="7"/>
      <c r="HQ172" s="7"/>
      <c r="HR172" s="7"/>
      <c r="HS172" s="7"/>
      <c r="HT172" s="7"/>
      <c r="HU172" s="7"/>
      <c r="HV172" s="7"/>
      <c r="HW172" s="7"/>
      <c r="HX172" s="7"/>
      <c r="HY172" s="7"/>
      <c r="HZ172" s="7"/>
      <c r="IA172" s="7"/>
      <c r="IB172" s="7"/>
      <c r="IC172" s="7"/>
      <c r="ID172" s="7"/>
      <c r="IE172" s="7"/>
      <c r="IF172" s="7"/>
      <c r="IG172" s="7"/>
      <c r="IH172" s="7"/>
      <c r="II172" s="7"/>
      <c r="IJ172" s="7"/>
      <c r="IK172" s="7"/>
      <c r="IL172" s="7"/>
      <c r="IM172" s="7"/>
      <c r="IN172" s="7"/>
      <c r="IO172" s="7"/>
      <c r="IP172" s="7"/>
      <c r="IQ172" s="7"/>
      <c r="IR172" s="7"/>
      <c r="IS172" s="7"/>
      <c r="IT172" s="7"/>
      <c r="IU172" s="7"/>
      <c r="IV172" s="7"/>
      <c r="IW172" s="7"/>
      <c r="IX172" s="7"/>
      <c r="JA172" s="113"/>
      <c r="JB172" s="113"/>
      <c r="JC172" s="113"/>
      <c r="JD172" s="66">
        <f>SUM((TEXT(JA172,"[M]")/60)*'Income Person-hours'!$D$3,(TEXT(JB172,"[M]")/60)*'Income Person-hours'!$D$4,(TEXT(JC172,"[M]")/60)*'Income Person-hours'!$D$5)</f>
        <v>0</v>
      </c>
    </row>
    <row r="173" spans="1:264 16383:16384" s="11" customFormat="1" ht="11.25" hidden="1">
      <c r="A173" s="30">
        <v>7.13</v>
      </c>
      <c r="B173" s="116"/>
      <c r="C173" s="107"/>
      <c r="D173" s="12" t="str">
        <f>IF(OR(j_WEEKDAY(J_ADDDAY(VLOOKUP(I173,A:F,6,FALSE),H173,1),0)=6,SUMIFS(Holieday[ok],Holieday[date],J_ADDDAY(VLOOKUP(I173,A:F,6,FALSE),H173,1)))=FALSE(),J_ADDDAY(VLOOKUP(I173,A:F,6,FALSE),H173,1),IF(OR(j_WEEKDAY(J_ADDDAY(VLOOKUP(I173,A:F,6,FALSE),H173+1,1),0)=6,SUMIFS(Holieday[ok],Holieday[date],J_ADDDAY(VLOOKUP(I173,A:F,6,FALSE),H173+1,1)))=FALSE(),J_ADDDAY(VLOOKUP(I173,A:F,6,FALSE),H173+1,1),IF(OR(j_WEEKDAY(J_ADDDAY(VLOOKUP(I173,A:F,6,FALSE),H173+2,1),0)=6,SUMIFS(Holieday[ok],Holieday[date],J_ADDDAY(VLOOKUP(I173,A:F,6,FALSE),H173+2,1)))=FALSE(),J_ADDDAY(VLOOKUP(I173,A:F,6,FALSE),H173+2,1),IF(OR(j_WEEKDAY(J_ADDDAY(VLOOKUP(I173,A:F,6,FALSE),H173+3,1),0)=6,SUMIFS(Holieday[ok],Holieday[date],J_ADDDAY(VLOOKUP(I173,A:F,6,FALSE),H173+3,1)))=FALSE(),J_ADDDAY(VLOOKUP(I173,A:F,6,FALSE),H173+3,1),IF(OR(j_WEEKDAY(J_ADDDAY(VLOOKUP(I173,A:F,6,FALSE),H173+4,1),0)=6,SUMIFS(Holieday[ok],Holieday[date],J_ADDDAY(VLOOKUP(I173,A:F,6,FALSE),H173+4,1)))=FALSE(),J_ADDDAY(VLOOKUP(I173,A:F,6,FALSE),H173+4,1),J_ADDDAY(VLOOKUP(I173,A:F,6,FALSE),H173+5,1))))))</f>
        <v>1398/09/14</v>
      </c>
      <c r="E173" s="1">
        <f t="shared" si="50"/>
        <v>13980914</v>
      </c>
      <c r="F173" s="12" t="str">
        <f>IF(N173=0,J_SUBDAY(D173,1,1),IF((N173-NETWORKDAYS.INTL(J_GregorianDate(D173,1),J_GregorianDate(J_SUBDAY(J_ADDDAY(D173,N173,1),1,1),1),16,1)-SUMIFS(Holieday[ok],Holieday[date],CONCATENATE("&gt;","=",D173),Holieday[date],CONCATENATE("&lt;","=",J_SUBDAY(J_ADDDAY(D173,N173,1),1,1)))+SUMIFS(Holieday[Friday],Holieday[date],CONCATENATE("&gt;","=",D173),Holieday[date],CONCATENATE("&lt;","=",J_SUBDAY(J_ADDDAY(D173,N173,1),1,1))))=0,J_SUBDAY(J_ADDDAY(D173,N173,1),1,1),IF((N173-NETWORKDAYS.INTL(J_GregorianDate(D173,1),J_GregorianDate(J_SUBDAY(J_ADDDAY(D173,N173,1),1,1),1),16,1)-SUMIFS(Holieday[ok],Holieday[date],CONCATENATE("&gt;","=",D173),Holieday[date],CONCATENATE("&lt;","=",J_SUBDAY(J_ADDDAY(D173,N173,1),1,1)))+SUMIFS(Holieday[Friday],Holieday[date],CONCATENATE("&gt;","=",D173),Holieday[date],CONCATENATE("&lt;","=",J_SUBDAY(J_ADDDAY(D173,N173,1),1,1))))=1,J_SUBDAY(J_ADDDAY(D173,N173+1,1),1,1),IF((N173-NETWORKDAYS.INTL(J_GregorianDate(D173,1),J_GregorianDate(J_SUBDAY(J_ADDDAY(D173,N173,1),1,1),1),16,1)-SUMIFS(Holieday[ok],Holieday[date],CONCATENATE("&gt;","=",D173),Holieday[date],CONCATENATE("&lt;","=",J_SUBDAY(J_ADDDAY(D173,N173,1),1,1)))+SUMIFS(Holieday[Friday],Holieday[date],CONCATENATE("&gt;","=",D173),Holieday[date],CONCATENATE("&lt;","=",J_SUBDAY(J_ADDDAY(D173,N173,1),1,1))))=2,J_SUBDAY(J_ADDDAY(D173,N173+2,1),1,1),J_SUBDAY(J_ADDDAY(D173,N173+3,1),1,1)))))</f>
        <v>1398/09/13</v>
      </c>
      <c r="G173" s="2">
        <f t="shared" si="51"/>
        <v>13980913</v>
      </c>
      <c r="H173" s="109"/>
      <c r="I173" s="110">
        <v>7.1</v>
      </c>
      <c r="J173" s="9">
        <f>j_WEEKDAY(D173,2)</f>
        <v>5</v>
      </c>
      <c r="K173" s="21">
        <f t="shared" si="54"/>
        <v>0</v>
      </c>
      <c r="L173" s="8">
        <f t="shared" si="55"/>
        <v>0</v>
      </c>
      <c r="M173" s="111">
        <v>0</v>
      </c>
      <c r="N173" s="108">
        <v>0</v>
      </c>
      <c r="O173" s="10">
        <f t="shared" si="58"/>
        <v>0</v>
      </c>
      <c r="P173" s="10">
        <f>VALUE(J_normdate(J_ADDDAY($D173,$O173,1)))</f>
        <v>13980914</v>
      </c>
      <c r="Q173" s="9">
        <f t="shared" si="59"/>
        <v>0</v>
      </c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/>
      <c r="CQ173" s="7"/>
      <c r="CR173" s="7"/>
      <c r="CS173" s="7"/>
      <c r="CT173" s="7"/>
      <c r="CU173" s="7"/>
      <c r="CV173" s="7"/>
      <c r="CW173" s="7"/>
      <c r="CX173" s="7"/>
      <c r="CY173" s="7"/>
      <c r="CZ173" s="7"/>
      <c r="DA173" s="7"/>
      <c r="DB173" s="7"/>
      <c r="DC173" s="7"/>
      <c r="DD173" s="7"/>
      <c r="DE173" s="7"/>
      <c r="DF173" s="7"/>
      <c r="DG173" s="7"/>
      <c r="DH173" s="7"/>
      <c r="DI173" s="7"/>
      <c r="DJ173" s="7"/>
      <c r="DK173" s="7"/>
      <c r="DL173" s="7"/>
      <c r="DM173" s="7"/>
      <c r="DN173" s="7"/>
      <c r="DO173" s="7"/>
      <c r="DP173" s="7"/>
      <c r="DQ173" s="7"/>
      <c r="DR173" s="7"/>
      <c r="DS173" s="7"/>
      <c r="DT173" s="7"/>
      <c r="DU173" s="7"/>
      <c r="DV173" s="7"/>
      <c r="DW173" s="7"/>
      <c r="DX173" s="7"/>
      <c r="DY173" s="7"/>
      <c r="DZ173" s="7"/>
      <c r="EA173" s="7"/>
      <c r="EB173" s="7"/>
      <c r="EC173" s="7"/>
      <c r="ED173" s="7"/>
      <c r="EE173" s="7"/>
      <c r="EF173" s="7"/>
      <c r="EG173" s="7"/>
      <c r="EH173" s="7"/>
      <c r="EI173" s="7"/>
      <c r="EJ173" s="7"/>
      <c r="EK173" s="7"/>
      <c r="EL173" s="7"/>
      <c r="EM173" s="7"/>
      <c r="EN173" s="7"/>
      <c r="EO173" s="7"/>
      <c r="EP173" s="7"/>
      <c r="EQ173" s="7"/>
      <c r="ER173" s="7"/>
      <c r="ES173" s="7"/>
      <c r="ET173" s="7"/>
      <c r="EU173" s="7"/>
      <c r="EV173" s="7"/>
      <c r="EW173" s="7"/>
      <c r="EX173" s="7"/>
      <c r="EY173" s="7"/>
      <c r="EZ173" s="7"/>
      <c r="FA173" s="7"/>
      <c r="FB173" s="7"/>
      <c r="FC173" s="7"/>
      <c r="FD173" s="7"/>
      <c r="FE173" s="7"/>
      <c r="FF173" s="7"/>
      <c r="FG173" s="7"/>
      <c r="FH173" s="7"/>
      <c r="FI173" s="7"/>
      <c r="FJ173" s="7"/>
      <c r="FK173" s="7"/>
      <c r="FL173" s="7"/>
      <c r="FM173" s="7"/>
      <c r="FN173" s="7"/>
      <c r="FO173" s="7"/>
      <c r="FP173" s="7"/>
      <c r="FQ173" s="7"/>
      <c r="FR173" s="7"/>
      <c r="FS173" s="7"/>
      <c r="FT173" s="7"/>
      <c r="FU173" s="7"/>
      <c r="FV173" s="7"/>
      <c r="FW173" s="7"/>
      <c r="FX173" s="7"/>
      <c r="FY173" s="7"/>
      <c r="FZ173" s="7"/>
      <c r="GA173" s="7"/>
      <c r="GB173" s="7"/>
      <c r="GC173" s="7"/>
      <c r="GD173" s="7"/>
      <c r="GE173" s="7"/>
      <c r="GF173" s="7"/>
      <c r="GG173" s="7"/>
      <c r="GH173" s="7"/>
      <c r="GI173" s="7"/>
      <c r="GJ173" s="7"/>
      <c r="GK173" s="7"/>
      <c r="GL173" s="7"/>
      <c r="GM173" s="7"/>
      <c r="GN173" s="7"/>
      <c r="GO173" s="7"/>
      <c r="GP173" s="7"/>
      <c r="GQ173" s="7"/>
      <c r="GR173" s="7"/>
      <c r="GS173" s="7"/>
      <c r="GT173" s="7"/>
      <c r="GU173" s="7"/>
      <c r="GV173" s="7"/>
      <c r="GW173" s="7"/>
      <c r="GX173" s="7"/>
      <c r="GY173" s="7"/>
      <c r="GZ173" s="7"/>
      <c r="HA173" s="7"/>
      <c r="HB173" s="7"/>
      <c r="HC173" s="7"/>
      <c r="HD173" s="7"/>
      <c r="HE173" s="7"/>
      <c r="HF173" s="7"/>
      <c r="HG173" s="7"/>
      <c r="HH173" s="7"/>
      <c r="HI173" s="7"/>
      <c r="HJ173" s="7"/>
      <c r="HK173" s="7"/>
      <c r="HL173" s="7"/>
      <c r="HM173" s="7"/>
      <c r="HN173" s="7"/>
      <c r="HO173" s="7"/>
      <c r="HP173" s="7"/>
      <c r="HQ173" s="7"/>
      <c r="HR173" s="7"/>
      <c r="HS173" s="7"/>
      <c r="HT173" s="7"/>
      <c r="HU173" s="7"/>
      <c r="HV173" s="7"/>
      <c r="HW173" s="7"/>
      <c r="HX173" s="7"/>
      <c r="HY173" s="7"/>
      <c r="HZ173" s="7"/>
      <c r="IA173" s="7"/>
      <c r="IB173" s="7"/>
      <c r="IC173" s="7"/>
      <c r="ID173" s="7"/>
      <c r="IE173" s="7"/>
      <c r="IF173" s="7"/>
      <c r="IG173" s="7"/>
      <c r="IH173" s="7"/>
      <c r="II173" s="7"/>
      <c r="IJ173" s="7"/>
      <c r="IK173" s="7"/>
      <c r="IL173" s="7"/>
      <c r="IM173" s="7"/>
      <c r="IN173" s="7"/>
      <c r="IO173" s="7"/>
      <c r="IP173" s="7"/>
      <c r="IQ173" s="7"/>
      <c r="IR173" s="7"/>
      <c r="IS173" s="7"/>
      <c r="IT173" s="7"/>
      <c r="IU173" s="7"/>
      <c r="IV173" s="7"/>
      <c r="IW173" s="7"/>
      <c r="IX173" s="7"/>
      <c r="JA173" s="113"/>
      <c r="JB173" s="113"/>
      <c r="JC173" s="113"/>
      <c r="JD173" s="66">
        <f>SUM((TEXT(JA173,"[M]")/60)*'Income Person-hours'!$D$3,(TEXT(JB173,"[M]")/60)*'Income Person-hours'!$D$4,(TEXT(JC173,"[M]")/60)*'Income Person-hours'!$D$5)</f>
        <v>0</v>
      </c>
    </row>
    <row r="174" spans="1:264 16383:16384" s="11" customFormat="1" ht="11.25" hidden="1">
      <c r="A174" s="30">
        <v>7.14</v>
      </c>
      <c r="B174" s="116"/>
      <c r="C174" s="107"/>
      <c r="D174" s="12" t="str">
        <f>IF(OR(j_WEEKDAY(J_ADDDAY(VLOOKUP(I174,A:F,6,FALSE),H174,1),0)=6,SUMIFS(Holieday[ok],Holieday[date],J_ADDDAY(VLOOKUP(I174,A:F,6,FALSE),H174,1)))=FALSE(),J_ADDDAY(VLOOKUP(I174,A:F,6,FALSE),H174,1),IF(OR(j_WEEKDAY(J_ADDDAY(VLOOKUP(I174,A:F,6,FALSE),H174+1,1),0)=6,SUMIFS(Holieday[ok],Holieday[date],J_ADDDAY(VLOOKUP(I174,A:F,6,FALSE),H174+1,1)))=FALSE(),J_ADDDAY(VLOOKUP(I174,A:F,6,FALSE),H174+1,1),IF(OR(j_WEEKDAY(J_ADDDAY(VLOOKUP(I174,A:F,6,FALSE),H174+2,1),0)=6,SUMIFS(Holieday[ok],Holieday[date],J_ADDDAY(VLOOKUP(I174,A:F,6,FALSE),H174+2,1)))=FALSE(),J_ADDDAY(VLOOKUP(I174,A:F,6,FALSE),H174+2,1),IF(OR(j_WEEKDAY(J_ADDDAY(VLOOKUP(I174,A:F,6,FALSE),H174+3,1),0)=6,SUMIFS(Holieday[ok],Holieday[date],J_ADDDAY(VLOOKUP(I174,A:F,6,FALSE),H174+3,1)))=FALSE(),J_ADDDAY(VLOOKUP(I174,A:F,6,FALSE),H174+3,1),IF(OR(j_WEEKDAY(J_ADDDAY(VLOOKUP(I174,A:F,6,FALSE),H174+4,1),0)=6,SUMIFS(Holieday[ok],Holieday[date],J_ADDDAY(VLOOKUP(I174,A:F,6,FALSE),H174+4,1)))=FALSE(),J_ADDDAY(VLOOKUP(I174,A:F,6,FALSE),H174+4,1),J_ADDDAY(VLOOKUP(I174,A:F,6,FALSE),H174+5,1))))))</f>
        <v>1398/09/14</v>
      </c>
      <c r="E174" s="1">
        <f t="shared" si="50"/>
        <v>13980914</v>
      </c>
      <c r="F174" s="12" t="str">
        <f>IF(N174=0,J_SUBDAY(D174,1,1),IF((N174-NETWORKDAYS.INTL(J_GregorianDate(D174,1),J_GregorianDate(J_SUBDAY(J_ADDDAY(D174,N174,1),1,1),1),16,1)-SUMIFS(Holieday[ok],Holieday[date],CONCATENATE("&gt;","=",D174),Holieday[date],CONCATENATE("&lt;","=",J_SUBDAY(J_ADDDAY(D174,N174,1),1,1)))+SUMIFS(Holieday[Friday],Holieday[date],CONCATENATE("&gt;","=",D174),Holieday[date],CONCATENATE("&lt;","=",J_SUBDAY(J_ADDDAY(D174,N174,1),1,1))))=0,J_SUBDAY(J_ADDDAY(D174,N174,1),1,1),IF((N174-NETWORKDAYS.INTL(J_GregorianDate(D174,1),J_GregorianDate(J_SUBDAY(J_ADDDAY(D174,N174,1),1,1),1),16,1)-SUMIFS(Holieday[ok],Holieday[date],CONCATENATE("&gt;","=",D174),Holieday[date],CONCATENATE("&lt;","=",J_SUBDAY(J_ADDDAY(D174,N174,1),1,1)))+SUMIFS(Holieday[Friday],Holieday[date],CONCATENATE("&gt;","=",D174),Holieday[date],CONCATENATE("&lt;","=",J_SUBDAY(J_ADDDAY(D174,N174,1),1,1))))=1,J_SUBDAY(J_ADDDAY(D174,N174+1,1),1,1),IF((N174-NETWORKDAYS.INTL(J_GregorianDate(D174,1),J_GregorianDate(J_SUBDAY(J_ADDDAY(D174,N174,1),1,1),1),16,1)-SUMIFS(Holieday[ok],Holieday[date],CONCATENATE("&gt;","=",D174),Holieday[date],CONCATENATE("&lt;","=",J_SUBDAY(J_ADDDAY(D174,N174,1),1,1)))+SUMIFS(Holieday[Friday],Holieday[date],CONCATENATE("&gt;","=",D174),Holieday[date],CONCATENATE("&lt;","=",J_SUBDAY(J_ADDDAY(D174,N174,1),1,1))))=2,J_SUBDAY(J_ADDDAY(D174,N174+2,1),1,1),J_SUBDAY(J_ADDDAY(D174,N174+3,1),1,1)))))</f>
        <v>1398/09/13</v>
      </c>
      <c r="G174" s="2">
        <f t="shared" si="51"/>
        <v>13980913</v>
      </c>
      <c r="H174" s="109"/>
      <c r="I174" s="110">
        <v>7.1</v>
      </c>
      <c r="J174" s="9">
        <f>j_WEEKDAY(D174,2)</f>
        <v>5</v>
      </c>
      <c r="K174" s="21">
        <f t="shared" si="54"/>
        <v>0</v>
      </c>
      <c r="L174" s="8">
        <f t="shared" si="55"/>
        <v>0</v>
      </c>
      <c r="M174" s="111">
        <v>0</v>
      </c>
      <c r="N174" s="108">
        <v>0</v>
      </c>
      <c r="O174" s="10">
        <f t="shared" si="58"/>
        <v>0</v>
      </c>
      <c r="P174" s="10">
        <f>VALUE(J_normdate(J_ADDDAY($D174,$O174,1)))</f>
        <v>13980914</v>
      </c>
      <c r="Q174" s="9">
        <f t="shared" si="59"/>
        <v>0</v>
      </c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/>
      <c r="CQ174" s="7"/>
      <c r="CR174" s="7"/>
      <c r="CS174" s="7"/>
      <c r="CT174" s="7"/>
      <c r="CU174" s="7"/>
      <c r="CV174" s="7"/>
      <c r="CW174" s="7"/>
      <c r="CX174" s="7"/>
      <c r="CY174" s="7"/>
      <c r="CZ174" s="7"/>
      <c r="DA174" s="7"/>
      <c r="DB174" s="7"/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7"/>
      <c r="DO174" s="7"/>
      <c r="DP174" s="7"/>
      <c r="DQ174" s="7"/>
      <c r="DR174" s="7"/>
      <c r="DS174" s="7"/>
      <c r="DT174" s="7"/>
      <c r="DU174" s="7"/>
      <c r="DV174" s="7"/>
      <c r="DW174" s="7"/>
      <c r="DX174" s="7"/>
      <c r="DY174" s="7"/>
      <c r="DZ174" s="7"/>
      <c r="EA174" s="7"/>
      <c r="EB174" s="7"/>
      <c r="EC174" s="7"/>
      <c r="ED174" s="7"/>
      <c r="EE174" s="7"/>
      <c r="EF174" s="7"/>
      <c r="EG174" s="7"/>
      <c r="EH174" s="7"/>
      <c r="EI174" s="7"/>
      <c r="EJ174" s="7"/>
      <c r="EK174" s="7"/>
      <c r="EL174" s="7"/>
      <c r="EM174" s="7"/>
      <c r="EN174" s="7"/>
      <c r="EO174" s="7"/>
      <c r="EP174" s="7"/>
      <c r="EQ174" s="7"/>
      <c r="ER174" s="7"/>
      <c r="ES174" s="7"/>
      <c r="ET174" s="7"/>
      <c r="EU174" s="7"/>
      <c r="EV174" s="7"/>
      <c r="EW174" s="7"/>
      <c r="EX174" s="7"/>
      <c r="EY174" s="7"/>
      <c r="EZ174" s="7"/>
      <c r="FA174" s="7"/>
      <c r="FB174" s="7"/>
      <c r="FC174" s="7"/>
      <c r="FD174" s="7"/>
      <c r="FE174" s="7"/>
      <c r="FF174" s="7"/>
      <c r="FG174" s="7"/>
      <c r="FH174" s="7"/>
      <c r="FI174" s="7"/>
      <c r="FJ174" s="7"/>
      <c r="FK174" s="7"/>
      <c r="FL174" s="7"/>
      <c r="FM174" s="7"/>
      <c r="FN174" s="7"/>
      <c r="FO174" s="7"/>
      <c r="FP174" s="7"/>
      <c r="FQ174" s="7"/>
      <c r="FR174" s="7"/>
      <c r="FS174" s="7"/>
      <c r="FT174" s="7"/>
      <c r="FU174" s="7"/>
      <c r="FV174" s="7"/>
      <c r="FW174" s="7"/>
      <c r="FX174" s="7"/>
      <c r="FY174" s="7"/>
      <c r="FZ174" s="7"/>
      <c r="GA174" s="7"/>
      <c r="GB174" s="7"/>
      <c r="GC174" s="7"/>
      <c r="GD174" s="7"/>
      <c r="GE174" s="7"/>
      <c r="GF174" s="7"/>
      <c r="GG174" s="7"/>
      <c r="GH174" s="7"/>
      <c r="GI174" s="7"/>
      <c r="GJ174" s="7"/>
      <c r="GK174" s="7"/>
      <c r="GL174" s="7"/>
      <c r="GM174" s="7"/>
      <c r="GN174" s="7"/>
      <c r="GO174" s="7"/>
      <c r="GP174" s="7"/>
      <c r="GQ174" s="7"/>
      <c r="GR174" s="7"/>
      <c r="GS174" s="7"/>
      <c r="GT174" s="7"/>
      <c r="GU174" s="7"/>
      <c r="GV174" s="7"/>
      <c r="GW174" s="7"/>
      <c r="GX174" s="7"/>
      <c r="GY174" s="7"/>
      <c r="GZ174" s="7"/>
      <c r="HA174" s="7"/>
      <c r="HB174" s="7"/>
      <c r="HC174" s="7"/>
      <c r="HD174" s="7"/>
      <c r="HE174" s="7"/>
      <c r="HF174" s="7"/>
      <c r="HG174" s="7"/>
      <c r="HH174" s="7"/>
      <c r="HI174" s="7"/>
      <c r="HJ174" s="7"/>
      <c r="HK174" s="7"/>
      <c r="HL174" s="7"/>
      <c r="HM174" s="7"/>
      <c r="HN174" s="7"/>
      <c r="HO174" s="7"/>
      <c r="HP174" s="7"/>
      <c r="HQ174" s="7"/>
      <c r="HR174" s="7"/>
      <c r="HS174" s="7"/>
      <c r="HT174" s="7"/>
      <c r="HU174" s="7"/>
      <c r="HV174" s="7"/>
      <c r="HW174" s="7"/>
      <c r="HX174" s="7"/>
      <c r="HY174" s="7"/>
      <c r="HZ174" s="7"/>
      <c r="IA174" s="7"/>
      <c r="IB174" s="7"/>
      <c r="IC174" s="7"/>
      <c r="ID174" s="7"/>
      <c r="IE174" s="7"/>
      <c r="IF174" s="7"/>
      <c r="IG174" s="7"/>
      <c r="IH174" s="7"/>
      <c r="II174" s="7"/>
      <c r="IJ174" s="7"/>
      <c r="IK174" s="7"/>
      <c r="IL174" s="7"/>
      <c r="IM174" s="7"/>
      <c r="IN174" s="7"/>
      <c r="IO174" s="7"/>
      <c r="IP174" s="7"/>
      <c r="IQ174" s="7"/>
      <c r="IR174" s="7"/>
      <c r="IS174" s="7"/>
      <c r="IT174" s="7"/>
      <c r="IU174" s="7"/>
      <c r="IV174" s="7"/>
      <c r="IW174" s="7"/>
      <c r="IX174" s="7"/>
      <c r="JA174" s="113"/>
      <c r="JB174" s="113"/>
      <c r="JC174" s="113"/>
      <c r="JD174" s="66">
        <f>SUM((TEXT(JA174,"[M]")/60)*'Income Person-hours'!$D$3,(TEXT(JB174,"[M]")/60)*'Income Person-hours'!$D$4,(TEXT(JC174,"[M]")/60)*'Income Person-hours'!$D$5)</f>
        <v>0</v>
      </c>
    </row>
    <row r="175" spans="1:264 16383:16384" s="11" customFormat="1" ht="11.25" hidden="1">
      <c r="A175" s="30">
        <v>7.15</v>
      </c>
      <c r="B175" s="116"/>
      <c r="C175" s="107"/>
      <c r="D175" s="12" t="str">
        <f>IF(OR(j_WEEKDAY(J_ADDDAY(VLOOKUP(I175,A:F,6,FALSE),H175,1),0)=6,SUMIFS(Holieday[ok],Holieday[date],J_ADDDAY(VLOOKUP(I175,A:F,6,FALSE),H175,1)))=FALSE(),J_ADDDAY(VLOOKUP(I175,A:F,6,FALSE),H175,1),IF(OR(j_WEEKDAY(J_ADDDAY(VLOOKUP(I175,A:F,6,FALSE),H175+1,1),0)=6,SUMIFS(Holieday[ok],Holieday[date],J_ADDDAY(VLOOKUP(I175,A:F,6,FALSE),H175+1,1)))=FALSE(),J_ADDDAY(VLOOKUP(I175,A:F,6,FALSE),H175+1,1),IF(OR(j_WEEKDAY(J_ADDDAY(VLOOKUP(I175,A:F,6,FALSE),H175+2,1),0)=6,SUMIFS(Holieday[ok],Holieday[date],J_ADDDAY(VLOOKUP(I175,A:F,6,FALSE),H175+2,1)))=FALSE(),J_ADDDAY(VLOOKUP(I175,A:F,6,FALSE),H175+2,1),IF(OR(j_WEEKDAY(J_ADDDAY(VLOOKUP(I175,A:F,6,FALSE),H175+3,1),0)=6,SUMIFS(Holieday[ok],Holieday[date],J_ADDDAY(VLOOKUP(I175,A:F,6,FALSE),H175+3,1)))=FALSE(),J_ADDDAY(VLOOKUP(I175,A:F,6,FALSE),H175+3,1),IF(OR(j_WEEKDAY(J_ADDDAY(VLOOKUP(I175,A:F,6,FALSE),H175+4,1),0)=6,SUMIFS(Holieday[ok],Holieday[date],J_ADDDAY(VLOOKUP(I175,A:F,6,FALSE),H175+4,1)))=FALSE(),J_ADDDAY(VLOOKUP(I175,A:F,6,FALSE),H175+4,1),J_ADDDAY(VLOOKUP(I175,A:F,6,FALSE),H175+5,1))))))</f>
        <v>1398/09/14</v>
      </c>
      <c r="E175" s="1">
        <f t="shared" si="50"/>
        <v>13980914</v>
      </c>
      <c r="F175" s="12" t="str">
        <f>IF(N175=0,J_SUBDAY(D175,1,1),IF((N175-NETWORKDAYS.INTL(J_GregorianDate(D175,1),J_GregorianDate(J_SUBDAY(J_ADDDAY(D175,N175,1),1,1),1),16,1)-SUMIFS(Holieday[ok],Holieday[date],CONCATENATE("&gt;","=",D175),Holieday[date],CONCATENATE("&lt;","=",J_SUBDAY(J_ADDDAY(D175,N175,1),1,1)))+SUMIFS(Holieday[Friday],Holieday[date],CONCATENATE("&gt;","=",D175),Holieday[date],CONCATENATE("&lt;","=",J_SUBDAY(J_ADDDAY(D175,N175,1),1,1))))=0,J_SUBDAY(J_ADDDAY(D175,N175,1),1,1),IF((N175-NETWORKDAYS.INTL(J_GregorianDate(D175,1),J_GregorianDate(J_SUBDAY(J_ADDDAY(D175,N175,1),1,1),1),16,1)-SUMIFS(Holieday[ok],Holieday[date],CONCATENATE("&gt;","=",D175),Holieday[date],CONCATENATE("&lt;","=",J_SUBDAY(J_ADDDAY(D175,N175,1),1,1)))+SUMIFS(Holieday[Friday],Holieday[date],CONCATENATE("&gt;","=",D175),Holieday[date],CONCATENATE("&lt;","=",J_SUBDAY(J_ADDDAY(D175,N175,1),1,1))))=1,J_SUBDAY(J_ADDDAY(D175,N175+1,1),1,1),IF((N175-NETWORKDAYS.INTL(J_GregorianDate(D175,1),J_GregorianDate(J_SUBDAY(J_ADDDAY(D175,N175,1),1,1),1),16,1)-SUMIFS(Holieday[ok],Holieday[date],CONCATENATE("&gt;","=",D175),Holieday[date],CONCATENATE("&lt;","=",J_SUBDAY(J_ADDDAY(D175,N175,1),1,1)))+SUMIFS(Holieday[Friday],Holieday[date],CONCATENATE("&gt;","=",D175),Holieday[date],CONCATENATE("&lt;","=",J_SUBDAY(J_ADDDAY(D175,N175,1),1,1))))=2,J_SUBDAY(J_ADDDAY(D175,N175+2,1),1,1),J_SUBDAY(J_ADDDAY(D175,N175+3,1),1,1)))))</f>
        <v>1398/09/13</v>
      </c>
      <c r="G175" s="2">
        <f t="shared" si="51"/>
        <v>13980913</v>
      </c>
      <c r="H175" s="109"/>
      <c r="I175" s="110">
        <v>7.1</v>
      </c>
      <c r="J175" s="9">
        <f>j_WEEKDAY(D175,2)</f>
        <v>5</v>
      </c>
      <c r="K175" s="21">
        <f t="shared" si="54"/>
        <v>0</v>
      </c>
      <c r="L175" s="8">
        <f t="shared" si="55"/>
        <v>0</v>
      </c>
      <c r="M175" s="111">
        <v>0</v>
      </c>
      <c r="N175" s="108">
        <v>0</v>
      </c>
      <c r="O175" s="10">
        <f t="shared" si="58"/>
        <v>0</v>
      </c>
      <c r="P175" s="10">
        <f>VALUE(J_normdate(J_ADDDAY($D175,$O175,1)))</f>
        <v>13980914</v>
      </c>
      <c r="Q175" s="9">
        <f t="shared" si="59"/>
        <v>0</v>
      </c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/>
      <c r="CQ175" s="7"/>
      <c r="CR175" s="7"/>
      <c r="CS175" s="7"/>
      <c r="CT175" s="7"/>
      <c r="CU175" s="7"/>
      <c r="CV175" s="7"/>
      <c r="CW175" s="7"/>
      <c r="CX175" s="7"/>
      <c r="CY175" s="7"/>
      <c r="CZ175" s="7"/>
      <c r="DA175" s="7"/>
      <c r="DB175" s="7"/>
      <c r="DC175" s="7"/>
      <c r="DD175" s="7"/>
      <c r="DE175" s="7"/>
      <c r="DF175" s="7"/>
      <c r="DG175" s="7"/>
      <c r="DH175" s="7"/>
      <c r="DI175" s="7"/>
      <c r="DJ175" s="7"/>
      <c r="DK175" s="7"/>
      <c r="DL175" s="7"/>
      <c r="DM175" s="7"/>
      <c r="DN175" s="7"/>
      <c r="DO175" s="7"/>
      <c r="DP175" s="7"/>
      <c r="DQ175" s="7"/>
      <c r="DR175" s="7"/>
      <c r="DS175" s="7"/>
      <c r="DT175" s="7"/>
      <c r="DU175" s="7"/>
      <c r="DV175" s="7"/>
      <c r="DW175" s="7"/>
      <c r="DX175" s="7"/>
      <c r="DY175" s="7"/>
      <c r="DZ175" s="7"/>
      <c r="EA175" s="7"/>
      <c r="EB175" s="7"/>
      <c r="EC175" s="7"/>
      <c r="ED175" s="7"/>
      <c r="EE175" s="7"/>
      <c r="EF175" s="7"/>
      <c r="EG175" s="7"/>
      <c r="EH175" s="7"/>
      <c r="EI175" s="7"/>
      <c r="EJ175" s="7"/>
      <c r="EK175" s="7"/>
      <c r="EL175" s="7"/>
      <c r="EM175" s="7"/>
      <c r="EN175" s="7"/>
      <c r="EO175" s="7"/>
      <c r="EP175" s="7"/>
      <c r="EQ175" s="7"/>
      <c r="ER175" s="7"/>
      <c r="ES175" s="7"/>
      <c r="ET175" s="7"/>
      <c r="EU175" s="7"/>
      <c r="EV175" s="7"/>
      <c r="EW175" s="7"/>
      <c r="EX175" s="7"/>
      <c r="EY175" s="7"/>
      <c r="EZ175" s="7"/>
      <c r="FA175" s="7"/>
      <c r="FB175" s="7"/>
      <c r="FC175" s="7"/>
      <c r="FD175" s="7"/>
      <c r="FE175" s="7"/>
      <c r="FF175" s="7"/>
      <c r="FG175" s="7"/>
      <c r="FH175" s="7"/>
      <c r="FI175" s="7"/>
      <c r="FJ175" s="7"/>
      <c r="FK175" s="7"/>
      <c r="FL175" s="7"/>
      <c r="FM175" s="7"/>
      <c r="FN175" s="7"/>
      <c r="FO175" s="7"/>
      <c r="FP175" s="7"/>
      <c r="FQ175" s="7"/>
      <c r="FR175" s="7"/>
      <c r="FS175" s="7"/>
      <c r="FT175" s="7"/>
      <c r="FU175" s="7"/>
      <c r="FV175" s="7"/>
      <c r="FW175" s="7"/>
      <c r="FX175" s="7"/>
      <c r="FY175" s="7"/>
      <c r="FZ175" s="7"/>
      <c r="GA175" s="7"/>
      <c r="GB175" s="7"/>
      <c r="GC175" s="7"/>
      <c r="GD175" s="7"/>
      <c r="GE175" s="7"/>
      <c r="GF175" s="7"/>
      <c r="GG175" s="7"/>
      <c r="GH175" s="7"/>
      <c r="GI175" s="7"/>
      <c r="GJ175" s="7"/>
      <c r="GK175" s="7"/>
      <c r="GL175" s="7"/>
      <c r="GM175" s="7"/>
      <c r="GN175" s="7"/>
      <c r="GO175" s="7"/>
      <c r="GP175" s="7"/>
      <c r="GQ175" s="7"/>
      <c r="GR175" s="7"/>
      <c r="GS175" s="7"/>
      <c r="GT175" s="7"/>
      <c r="GU175" s="7"/>
      <c r="GV175" s="7"/>
      <c r="GW175" s="7"/>
      <c r="GX175" s="7"/>
      <c r="GY175" s="7"/>
      <c r="GZ175" s="7"/>
      <c r="HA175" s="7"/>
      <c r="HB175" s="7"/>
      <c r="HC175" s="7"/>
      <c r="HD175" s="7"/>
      <c r="HE175" s="7"/>
      <c r="HF175" s="7"/>
      <c r="HG175" s="7"/>
      <c r="HH175" s="7"/>
      <c r="HI175" s="7"/>
      <c r="HJ175" s="7"/>
      <c r="HK175" s="7"/>
      <c r="HL175" s="7"/>
      <c r="HM175" s="7"/>
      <c r="HN175" s="7"/>
      <c r="HO175" s="7"/>
      <c r="HP175" s="7"/>
      <c r="HQ175" s="7"/>
      <c r="HR175" s="7"/>
      <c r="HS175" s="7"/>
      <c r="HT175" s="7"/>
      <c r="HU175" s="7"/>
      <c r="HV175" s="7"/>
      <c r="HW175" s="7"/>
      <c r="HX175" s="7"/>
      <c r="HY175" s="7"/>
      <c r="HZ175" s="7"/>
      <c r="IA175" s="7"/>
      <c r="IB175" s="7"/>
      <c r="IC175" s="7"/>
      <c r="ID175" s="7"/>
      <c r="IE175" s="7"/>
      <c r="IF175" s="7"/>
      <c r="IG175" s="7"/>
      <c r="IH175" s="7"/>
      <c r="II175" s="7"/>
      <c r="IJ175" s="7"/>
      <c r="IK175" s="7"/>
      <c r="IL175" s="7"/>
      <c r="IM175" s="7"/>
      <c r="IN175" s="7"/>
      <c r="IO175" s="7"/>
      <c r="IP175" s="7"/>
      <c r="IQ175" s="7"/>
      <c r="IR175" s="7"/>
      <c r="IS175" s="7"/>
      <c r="IT175" s="7"/>
      <c r="IU175" s="7"/>
      <c r="IV175" s="7"/>
      <c r="IW175" s="7"/>
      <c r="IX175" s="7"/>
      <c r="JA175" s="113"/>
      <c r="JB175" s="113"/>
      <c r="JC175" s="113"/>
      <c r="JD175" s="66">
        <f>SUM((TEXT(JA175,"[M]")/60)*'Income Person-hours'!$D$3,(TEXT(JB175,"[M]")/60)*'Income Person-hours'!$D$4,(TEXT(JC175,"[M]")/60)*'Income Person-hours'!$D$5)</f>
        <v>0</v>
      </c>
    </row>
    <row r="176" spans="1:264 16383:16384" s="11" customFormat="1" ht="11.25" hidden="1">
      <c r="A176" s="30">
        <v>7.16</v>
      </c>
      <c r="B176" s="116"/>
      <c r="C176" s="107"/>
      <c r="D176" s="12" t="str">
        <f>IF(OR(j_WEEKDAY(J_ADDDAY(VLOOKUP(I176,A:F,6,FALSE),H176,1),0)=6,SUMIFS(Holieday[ok],Holieday[date],J_ADDDAY(VLOOKUP(I176,A:F,6,FALSE),H176,1)))=FALSE(),J_ADDDAY(VLOOKUP(I176,A:F,6,FALSE),H176,1),IF(OR(j_WEEKDAY(J_ADDDAY(VLOOKUP(I176,A:F,6,FALSE),H176+1,1),0)=6,SUMIFS(Holieday[ok],Holieday[date],J_ADDDAY(VLOOKUP(I176,A:F,6,FALSE),H176+1,1)))=FALSE(),J_ADDDAY(VLOOKUP(I176,A:F,6,FALSE),H176+1,1),IF(OR(j_WEEKDAY(J_ADDDAY(VLOOKUP(I176,A:F,6,FALSE),H176+2,1),0)=6,SUMIFS(Holieday[ok],Holieday[date],J_ADDDAY(VLOOKUP(I176,A:F,6,FALSE),H176+2,1)))=FALSE(),J_ADDDAY(VLOOKUP(I176,A:F,6,FALSE),H176+2,1),IF(OR(j_WEEKDAY(J_ADDDAY(VLOOKUP(I176,A:F,6,FALSE),H176+3,1),0)=6,SUMIFS(Holieday[ok],Holieday[date],J_ADDDAY(VLOOKUP(I176,A:F,6,FALSE),H176+3,1)))=FALSE(),J_ADDDAY(VLOOKUP(I176,A:F,6,FALSE),H176+3,1),IF(OR(j_WEEKDAY(J_ADDDAY(VLOOKUP(I176,A:F,6,FALSE),H176+4,1),0)=6,SUMIFS(Holieday[ok],Holieday[date],J_ADDDAY(VLOOKUP(I176,A:F,6,FALSE),H176+4,1)))=FALSE(),J_ADDDAY(VLOOKUP(I176,A:F,6,FALSE),H176+4,1),J_ADDDAY(VLOOKUP(I176,A:F,6,FALSE),H176+5,1))))))</f>
        <v>1398/09/14</v>
      </c>
      <c r="E176" s="1">
        <f t="shared" si="50"/>
        <v>13980914</v>
      </c>
      <c r="F176" s="12" t="str">
        <f>IF(N176=0,J_SUBDAY(D176,1,1),IF((N176-NETWORKDAYS.INTL(J_GregorianDate(D176,1),J_GregorianDate(J_SUBDAY(J_ADDDAY(D176,N176,1),1,1),1),16,1)-SUMIFS(Holieday[ok],Holieday[date],CONCATENATE("&gt;","=",D176),Holieday[date],CONCATENATE("&lt;","=",J_SUBDAY(J_ADDDAY(D176,N176,1),1,1)))+SUMIFS(Holieday[Friday],Holieday[date],CONCATENATE("&gt;","=",D176),Holieday[date],CONCATENATE("&lt;","=",J_SUBDAY(J_ADDDAY(D176,N176,1),1,1))))=0,J_SUBDAY(J_ADDDAY(D176,N176,1),1,1),IF((N176-NETWORKDAYS.INTL(J_GregorianDate(D176,1),J_GregorianDate(J_SUBDAY(J_ADDDAY(D176,N176,1),1,1),1),16,1)-SUMIFS(Holieday[ok],Holieday[date],CONCATENATE("&gt;","=",D176),Holieday[date],CONCATENATE("&lt;","=",J_SUBDAY(J_ADDDAY(D176,N176,1),1,1)))+SUMIFS(Holieday[Friday],Holieday[date],CONCATENATE("&gt;","=",D176),Holieday[date],CONCATENATE("&lt;","=",J_SUBDAY(J_ADDDAY(D176,N176,1),1,1))))=1,J_SUBDAY(J_ADDDAY(D176,N176+1,1),1,1),IF((N176-NETWORKDAYS.INTL(J_GregorianDate(D176,1),J_GregorianDate(J_SUBDAY(J_ADDDAY(D176,N176,1),1,1),1),16,1)-SUMIFS(Holieday[ok],Holieday[date],CONCATENATE("&gt;","=",D176),Holieday[date],CONCATENATE("&lt;","=",J_SUBDAY(J_ADDDAY(D176,N176,1),1,1)))+SUMIFS(Holieday[Friday],Holieday[date],CONCATENATE("&gt;","=",D176),Holieday[date],CONCATENATE("&lt;","=",J_SUBDAY(J_ADDDAY(D176,N176,1),1,1))))=2,J_SUBDAY(J_ADDDAY(D176,N176+2,1),1,1),J_SUBDAY(J_ADDDAY(D176,N176+3,1),1,1)))))</f>
        <v>1398/09/13</v>
      </c>
      <c r="G176" s="2">
        <f t="shared" si="51"/>
        <v>13980913</v>
      </c>
      <c r="H176" s="109"/>
      <c r="I176" s="110">
        <v>7.1</v>
      </c>
      <c r="J176" s="9">
        <f>j_WEEKDAY(D176,2)</f>
        <v>5</v>
      </c>
      <c r="K176" s="21">
        <f t="shared" si="54"/>
        <v>0</v>
      </c>
      <c r="L176" s="8">
        <f t="shared" si="55"/>
        <v>0</v>
      </c>
      <c r="M176" s="111">
        <v>0</v>
      </c>
      <c r="N176" s="108">
        <v>0</v>
      </c>
      <c r="O176" s="10">
        <f t="shared" si="58"/>
        <v>0</v>
      </c>
      <c r="P176" s="10">
        <f>VALUE(J_normdate(J_ADDDAY($D176,$O176,1)))</f>
        <v>13980914</v>
      </c>
      <c r="Q176" s="9">
        <f t="shared" si="59"/>
        <v>0</v>
      </c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/>
      <c r="CQ176" s="7"/>
      <c r="CR176" s="7"/>
      <c r="CS176" s="7"/>
      <c r="CT176" s="7"/>
      <c r="CU176" s="7"/>
      <c r="CV176" s="7"/>
      <c r="CW176" s="7"/>
      <c r="CX176" s="7"/>
      <c r="CY176" s="7"/>
      <c r="CZ176" s="7"/>
      <c r="DA176" s="7"/>
      <c r="DB176" s="7"/>
      <c r="DC176" s="7"/>
      <c r="DD176" s="7"/>
      <c r="DE176" s="7"/>
      <c r="DF176" s="7"/>
      <c r="DG176" s="7"/>
      <c r="DH176" s="7"/>
      <c r="DI176" s="7"/>
      <c r="DJ176" s="7"/>
      <c r="DK176" s="7"/>
      <c r="DL176" s="7"/>
      <c r="DM176" s="7"/>
      <c r="DN176" s="7"/>
      <c r="DO176" s="7"/>
      <c r="DP176" s="7"/>
      <c r="DQ176" s="7"/>
      <c r="DR176" s="7"/>
      <c r="DS176" s="7"/>
      <c r="DT176" s="7"/>
      <c r="DU176" s="7"/>
      <c r="DV176" s="7"/>
      <c r="DW176" s="7"/>
      <c r="DX176" s="7"/>
      <c r="DY176" s="7"/>
      <c r="DZ176" s="7"/>
      <c r="EA176" s="7"/>
      <c r="EB176" s="7"/>
      <c r="EC176" s="7"/>
      <c r="ED176" s="7"/>
      <c r="EE176" s="7"/>
      <c r="EF176" s="7"/>
      <c r="EG176" s="7"/>
      <c r="EH176" s="7"/>
      <c r="EI176" s="7"/>
      <c r="EJ176" s="7"/>
      <c r="EK176" s="7"/>
      <c r="EL176" s="7"/>
      <c r="EM176" s="7"/>
      <c r="EN176" s="7"/>
      <c r="EO176" s="7"/>
      <c r="EP176" s="7"/>
      <c r="EQ176" s="7"/>
      <c r="ER176" s="7"/>
      <c r="ES176" s="7"/>
      <c r="ET176" s="7"/>
      <c r="EU176" s="7"/>
      <c r="EV176" s="7"/>
      <c r="EW176" s="7"/>
      <c r="EX176" s="7"/>
      <c r="EY176" s="7"/>
      <c r="EZ176" s="7"/>
      <c r="FA176" s="7"/>
      <c r="FB176" s="7"/>
      <c r="FC176" s="7"/>
      <c r="FD176" s="7"/>
      <c r="FE176" s="7"/>
      <c r="FF176" s="7"/>
      <c r="FG176" s="7"/>
      <c r="FH176" s="7"/>
      <c r="FI176" s="7"/>
      <c r="FJ176" s="7"/>
      <c r="FK176" s="7"/>
      <c r="FL176" s="7"/>
      <c r="FM176" s="7"/>
      <c r="FN176" s="7"/>
      <c r="FO176" s="7"/>
      <c r="FP176" s="7"/>
      <c r="FQ176" s="7"/>
      <c r="FR176" s="7"/>
      <c r="FS176" s="7"/>
      <c r="FT176" s="7"/>
      <c r="FU176" s="7"/>
      <c r="FV176" s="7"/>
      <c r="FW176" s="7"/>
      <c r="FX176" s="7"/>
      <c r="FY176" s="7"/>
      <c r="FZ176" s="7"/>
      <c r="GA176" s="7"/>
      <c r="GB176" s="7"/>
      <c r="GC176" s="7"/>
      <c r="GD176" s="7"/>
      <c r="GE176" s="7"/>
      <c r="GF176" s="7"/>
      <c r="GG176" s="7"/>
      <c r="GH176" s="7"/>
      <c r="GI176" s="7"/>
      <c r="GJ176" s="7"/>
      <c r="GK176" s="7"/>
      <c r="GL176" s="7"/>
      <c r="GM176" s="7"/>
      <c r="GN176" s="7"/>
      <c r="GO176" s="7"/>
      <c r="GP176" s="7"/>
      <c r="GQ176" s="7"/>
      <c r="GR176" s="7"/>
      <c r="GS176" s="7"/>
      <c r="GT176" s="7"/>
      <c r="GU176" s="7"/>
      <c r="GV176" s="7"/>
      <c r="GW176" s="7"/>
      <c r="GX176" s="7"/>
      <c r="GY176" s="7"/>
      <c r="GZ176" s="7"/>
      <c r="HA176" s="7"/>
      <c r="HB176" s="7"/>
      <c r="HC176" s="7"/>
      <c r="HD176" s="7"/>
      <c r="HE176" s="7"/>
      <c r="HF176" s="7"/>
      <c r="HG176" s="7"/>
      <c r="HH176" s="7"/>
      <c r="HI176" s="7"/>
      <c r="HJ176" s="7"/>
      <c r="HK176" s="7"/>
      <c r="HL176" s="7"/>
      <c r="HM176" s="7"/>
      <c r="HN176" s="7"/>
      <c r="HO176" s="7"/>
      <c r="HP176" s="7"/>
      <c r="HQ176" s="7"/>
      <c r="HR176" s="7"/>
      <c r="HS176" s="7"/>
      <c r="HT176" s="7"/>
      <c r="HU176" s="7"/>
      <c r="HV176" s="7"/>
      <c r="HW176" s="7"/>
      <c r="HX176" s="7"/>
      <c r="HY176" s="7"/>
      <c r="HZ176" s="7"/>
      <c r="IA176" s="7"/>
      <c r="IB176" s="7"/>
      <c r="IC176" s="7"/>
      <c r="ID176" s="7"/>
      <c r="IE176" s="7"/>
      <c r="IF176" s="7"/>
      <c r="IG176" s="7"/>
      <c r="IH176" s="7"/>
      <c r="II176" s="7"/>
      <c r="IJ176" s="7"/>
      <c r="IK176" s="7"/>
      <c r="IL176" s="7"/>
      <c r="IM176" s="7"/>
      <c r="IN176" s="7"/>
      <c r="IO176" s="7"/>
      <c r="IP176" s="7"/>
      <c r="IQ176" s="7"/>
      <c r="IR176" s="7"/>
      <c r="IS176" s="7"/>
      <c r="IT176" s="7"/>
      <c r="IU176" s="7"/>
      <c r="IV176" s="7"/>
      <c r="IW176" s="7"/>
      <c r="IX176" s="7"/>
      <c r="JA176" s="113"/>
      <c r="JB176" s="113"/>
      <c r="JC176" s="113"/>
      <c r="JD176" s="66">
        <f>SUM((TEXT(JA176,"[M]")/60)*'Income Person-hours'!$D$3,(TEXT(JB176,"[M]")/60)*'Income Person-hours'!$D$4,(TEXT(JC176,"[M]")/60)*'Income Person-hours'!$D$5)</f>
        <v>0</v>
      </c>
    </row>
    <row r="177" spans="1:264 16383:16384" s="11" customFormat="1" ht="11.25" hidden="1">
      <c r="A177" s="30">
        <v>7.17</v>
      </c>
      <c r="B177" s="116"/>
      <c r="C177" s="107"/>
      <c r="D177" s="12" t="str">
        <f>IF(OR(j_WEEKDAY(J_ADDDAY(VLOOKUP(I177,A:F,6,FALSE),H177,1),0)=6,SUMIFS(Holieday[ok],Holieday[date],J_ADDDAY(VLOOKUP(I177,A:F,6,FALSE),H177,1)))=FALSE(),J_ADDDAY(VLOOKUP(I177,A:F,6,FALSE),H177,1),IF(OR(j_WEEKDAY(J_ADDDAY(VLOOKUP(I177,A:F,6,FALSE),H177+1,1),0)=6,SUMIFS(Holieday[ok],Holieday[date],J_ADDDAY(VLOOKUP(I177,A:F,6,FALSE),H177+1,1)))=FALSE(),J_ADDDAY(VLOOKUP(I177,A:F,6,FALSE),H177+1,1),IF(OR(j_WEEKDAY(J_ADDDAY(VLOOKUP(I177,A:F,6,FALSE),H177+2,1),0)=6,SUMIFS(Holieday[ok],Holieday[date],J_ADDDAY(VLOOKUP(I177,A:F,6,FALSE),H177+2,1)))=FALSE(),J_ADDDAY(VLOOKUP(I177,A:F,6,FALSE),H177+2,1),IF(OR(j_WEEKDAY(J_ADDDAY(VLOOKUP(I177,A:F,6,FALSE),H177+3,1),0)=6,SUMIFS(Holieday[ok],Holieday[date],J_ADDDAY(VLOOKUP(I177,A:F,6,FALSE),H177+3,1)))=FALSE(),J_ADDDAY(VLOOKUP(I177,A:F,6,FALSE),H177+3,1),IF(OR(j_WEEKDAY(J_ADDDAY(VLOOKUP(I177,A:F,6,FALSE),H177+4,1),0)=6,SUMIFS(Holieday[ok],Holieday[date],J_ADDDAY(VLOOKUP(I177,A:F,6,FALSE),H177+4,1)))=FALSE(),J_ADDDAY(VLOOKUP(I177,A:F,6,FALSE),H177+4,1),J_ADDDAY(VLOOKUP(I177,A:F,6,FALSE),H177+5,1))))))</f>
        <v>1398/09/14</v>
      </c>
      <c r="E177" s="1">
        <f t="shared" si="50"/>
        <v>13980914</v>
      </c>
      <c r="F177" s="12" t="str">
        <f>IF(N177=0,J_SUBDAY(D177,1,1),IF((N177-NETWORKDAYS.INTL(J_GregorianDate(D177,1),J_GregorianDate(J_SUBDAY(J_ADDDAY(D177,N177,1),1,1),1),16,1)-SUMIFS(Holieday[ok],Holieday[date],CONCATENATE("&gt;","=",D177),Holieday[date],CONCATENATE("&lt;","=",J_SUBDAY(J_ADDDAY(D177,N177,1),1,1)))+SUMIFS(Holieday[Friday],Holieday[date],CONCATENATE("&gt;","=",D177),Holieday[date],CONCATENATE("&lt;","=",J_SUBDAY(J_ADDDAY(D177,N177,1),1,1))))=0,J_SUBDAY(J_ADDDAY(D177,N177,1),1,1),IF((N177-NETWORKDAYS.INTL(J_GregorianDate(D177,1),J_GregorianDate(J_SUBDAY(J_ADDDAY(D177,N177,1),1,1),1),16,1)-SUMIFS(Holieday[ok],Holieday[date],CONCATENATE("&gt;","=",D177),Holieday[date],CONCATENATE("&lt;","=",J_SUBDAY(J_ADDDAY(D177,N177,1),1,1)))+SUMIFS(Holieday[Friday],Holieday[date],CONCATENATE("&gt;","=",D177),Holieday[date],CONCATENATE("&lt;","=",J_SUBDAY(J_ADDDAY(D177,N177,1),1,1))))=1,J_SUBDAY(J_ADDDAY(D177,N177+1,1),1,1),IF((N177-NETWORKDAYS.INTL(J_GregorianDate(D177,1),J_GregorianDate(J_SUBDAY(J_ADDDAY(D177,N177,1),1,1),1),16,1)-SUMIFS(Holieday[ok],Holieday[date],CONCATENATE("&gt;","=",D177),Holieday[date],CONCATENATE("&lt;","=",J_SUBDAY(J_ADDDAY(D177,N177,1),1,1)))+SUMIFS(Holieday[Friday],Holieday[date],CONCATENATE("&gt;","=",D177),Holieday[date],CONCATENATE("&lt;","=",J_SUBDAY(J_ADDDAY(D177,N177,1),1,1))))=2,J_SUBDAY(J_ADDDAY(D177,N177+2,1),1,1),J_SUBDAY(J_ADDDAY(D177,N177+3,1),1,1)))))</f>
        <v>1398/09/13</v>
      </c>
      <c r="G177" s="2">
        <f t="shared" si="51"/>
        <v>13980913</v>
      </c>
      <c r="H177" s="109"/>
      <c r="I177" s="110">
        <v>7.1</v>
      </c>
      <c r="J177" s="9">
        <f>j_WEEKDAY(D177,2)</f>
        <v>5</v>
      </c>
      <c r="K177" s="21">
        <f t="shared" si="54"/>
        <v>0</v>
      </c>
      <c r="L177" s="8">
        <f t="shared" si="55"/>
        <v>0</v>
      </c>
      <c r="M177" s="111">
        <v>0</v>
      </c>
      <c r="N177" s="108">
        <v>0</v>
      </c>
      <c r="O177" s="10">
        <f t="shared" si="58"/>
        <v>0</v>
      </c>
      <c r="P177" s="10">
        <f>VALUE(J_normdate(J_ADDDAY($D177,$O177,1)))</f>
        <v>13980914</v>
      </c>
      <c r="Q177" s="9">
        <f t="shared" si="59"/>
        <v>0</v>
      </c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/>
      <c r="CQ177" s="7"/>
      <c r="CR177" s="7"/>
      <c r="CS177" s="7"/>
      <c r="CT177" s="7"/>
      <c r="CU177" s="7"/>
      <c r="CV177" s="7"/>
      <c r="CW177" s="7"/>
      <c r="CX177" s="7"/>
      <c r="CY177" s="7"/>
      <c r="CZ177" s="7"/>
      <c r="DA177" s="7"/>
      <c r="DB177" s="7"/>
      <c r="DC177" s="7"/>
      <c r="DD177" s="7"/>
      <c r="DE177" s="7"/>
      <c r="DF177" s="7"/>
      <c r="DG177" s="7"/>
      <c r="DH177" s="7"/>
      <c r="DI177" s="7"/>
      <c r="DJ177" s="7"/>
      <c r="DK177" s="7"/>
      <c r="DL177" s="7"/>
      <c r="DM177" s="7"/>
      <c r="DN177" s="7"/>
      <c r="DO177" s="7"/>
      <c r="DP177" s="7"/>
      <c r="DQ177" s="7"/>
      <c r="DR177" s="7"/>
      <c r="DS177" s="7"/>
      <c r="DT177" s="7"/>
      <c r="DU177" s="7"/>
      <c r="DV177" s="7"/>
      <c r="DW177" s="7"/>
      <c r="DX177" s="7"/>
      <c r="DY177" s="7"/>
      <c r="DZ177" s="7"/>
      <c r="EA177" s="7"/>
      <c r="EB177" s="7"/>
      <c r="EC177" s="7"/>
      <c r="ED177" s="7"/>
      <c r="EE177" s="7"/>
      <c r="EF177" s="7"/>
      <c r="EG177" s="7"/>
      <c r="EH177" s="7"/>
      <c r="EI177" s="7"/>
      <c r="EJ177" s="7"/>
      <c r="EK177" s="7"/>
      <c r="EL177" s="7"/>
      <c r="EM177" s="7"/>
      <c r="EN177" s="7"/>
      <c r="EO177" s="7"/>
      <c r="EP177" s="7"/>
      <c r="EQ177" s="7"/>
      <c r="ER177" s="7"/>
      <c r="ES177" s="7"/>
      <c r="ET177" s="7"/>
      <c r="EU177" s="7"/>
      <c r="EV177" s="7"/>
      <c r="EW177" s="7"/>
      <c r="EX177" s="7"/>
      <c r="EY177" s="7"/>
      <c r="EZ177" s="7"/>
      <c r="FA177" s="7"/>
      <c r="FB177" s="7"/>
      <c r="FC177" s="7"/>
      <c r="FD177" s="7"/>
      <c r="FE177" s="7"/>
      <c r="FF177" s="7"/>
      <c r="FG177" s="7"/>
      <c r="FH177" s="7"/>
      <c r="FI177" s="7"/>
      <c r="FJ177" s="7"/>
      <c r="FK177" s="7"/>
      <c r="FL177" s="7"/>
      <c r="FM177" s="7"/>
      <c r="FN177" s="7"/>
      <c r="FO177" s="7"/>
      <c r="FP177" s="7"/>
      <c r="FQ177" s="7"/>
      <c r="FR177" s="7"/>
      <c r="FS177" s="7"/>
      <c r="FT177" s="7"/>
      <c r="FU177" s="7"/>
      <c r="FV177" s="7"/>
      <c r="FW177" s="7"/>
      <c r="FX177" s="7"/>
      <c r="FY177" s="7"/>
      <c r="FZ177" s="7"/>
      <c r="GA177" s="7"/>
      <c r="GB177" s="7"/>
      <c r="GC177" s="7"/>
      <c r="GD177" s="7"/>
      <c r="GE177" s="7"/>
      <c r="GF177" s="7"/>
      <c r="GG177" s="7"/>
      <c r="GH177" s="7"/>
      <c r="GI177" s="7"/>
      <c r="GJ177" s="7"/>
      <c r="GK177" s="7"/>
      <c r="GL177" s="7"/>
      <c r="GM177" s="7"/>
      <c r="GN177" s="7"/>
      <c r="GO177" s="7"/>
      <c r="GP177" s="7"/>
      <c r="GQ177" s="7"/>
      <c r="GR177" s="7"/>
      <c r="GS177" s="7"/>
      <c r="GT177" s="7"/>
      <c r="GU177" s="7"/>
      <c r="GV177" s="7"/>
      <c r="GW177" s="7"/>
      <c r="GX177" s="7"/>
      <c r="GY177" s="7"/>
      <c r="GZ177" s="7"/>
      <c r="HA177" s="7"/>
      <c r="HB177" s="7"/>
      <c r="HC177" s="7"/>
      <c r="HD177" s="7"/>
      <c r="HE177" s="7"/>
      <c r="HF177" s="7"/>
      <c r="HG177" s="7"/>
      <c r="HH177" s="7"/>
      <c r="HI177" s="7"/>
      <c r="HJ177" s="7"/>
      <c r="HK177" s="7"/>
      <c r="HL177" s="7"/>
      <c r="HM177" s="7"/>
      <c r="HN177" s="7"/>
      <c r="HO177" s="7"/>
      <c r="HP177" s="7"/>
      <c r="HQ177" s="7"/>
      <c r="HR177" s="7"/>
      <c r="HS177" s="7"/>
      <c r="HT177" s="7"/>
      <c r="HU177" s="7"/>
      <c r="HV177" s="7"/>
      <c r="HW177" s="7"/>
      <c r="HX177" s="7"/>
      <c r="HY177" s="7"/>
      <c r="HZ177" s="7"/>
      <c r="IA177" s="7"/>
      <c r="IB177" s="7"/>
      <c r="IC177" s="7"/>
      <c r="ID177" s="7"/>
      <c r="IE177" s="7"/>
      <c r="IF177" s="7"/>
      <c r="IG177" s="7"/>
      <c r="IH177" s="7"/>
      <c r="II177" s="7"/>
      <c r="IJ177" s="7"/>
      <c r="IK177" s="7"/>
      <c r="IL177" s="7"/>
      <c r="IM177" s="7"/>
      <c r="IN177" s="7"/>
      <c r="IO177" s="7"/>
      <c r="IP177" s="7"/>
      <c r="IQ177" s="7"/>
      <c r="IR177" s="7"/>
      <c r="IS177" s="7"/>
      <c r="IT177" s="7"/>
      <c r="IU177" s="7"/>
      <c r="IV177" s="7"/>
      <c r="IW177" s="7"/>
      <c r="IX177" s="7"/>
      <c r="JA177" s="113"/>
      <c r="JB177" s="113"/>
      <c r="JC177" s="113"/>
      <c r="JD177" s="66">
        <f>SUM((TEXT(JA177,"[M]")/60)*'Income Person-hours'!$D$3,(TEXT(JB177,"[M]")/60)*'Income Person-hours'!$D$4,(TEXT(JC177,"[M]")/60)*'Income Person-hours'!$D$5)</f>
        <v>0</v>
      </c>
    </row>
    <row r="178" spans="1:264 16383:16384" s="11" customFormat="1" ht="11.25" hidden="1">
      <c r="A178" s="30">
        <v>7.18</v>
      </c>
      <c r="B178" s="116"/>
      <c r="C178" s="107"/>
      <c r="D178" s="12" t="str">
        <f>IF(OR(j_WEEKDAY(J_ADDDAY(VLOOKUP(I178,A:F,6,FALSE),H178,1),0)=6,SUMIFS(Holieday[ok],Holieday[date],J_ADDDAY(VLOOKUP(I178,A:F,6,FALSE),H178,1)))=FALSE(),J_ADDDAY(VLOOKUP(I178,A:F,6,FALSE),H178,1),IF(OR(j_WEEKDAY(J_ADDDAY(VLOOKUP(I178,A:F,6,FALSE),H178+1,1),0)=6,SUMIFS(Holieday[ok],Holieday[date],J_ADDDAY(VLOOKUP(I178,A:F,6,FALSE),H178+1,1)))=FALSE(),J_ADDDAY(VLOOKUP(I178,A:F,6,FALSE),H178+1,1),IF(OR(j_WEEKDAY(J_ADDDAY(VLOOKUP(I178,A:F,6,FALSE),H178+2,1),0)=6,SUMIFS(Holieday[ok],Holieday[date],J_ADDDAY(VLOOKUP(I178,A:F,6,FALSE),H178+2,1)))=FALSE(),J_ADDDAY(VLOOKUP(I178,A:F,6,FALSE),H178+2,1),IF(OR(j_WEEKDAY(J_ADDDAY(VLOOKUP(I178,A:F,6,FALSE),H178+3,1),0)=6,SUMIFS(Holieday[ok],Holieday[date],J_ADDDAY(VLOOKUP(I178,A:F,6,FALSE),H178+3,1)))=FALSE(),J_ADDDAY(VLOOKUP(I178,A:F,6,FALSE),H178+3,1),IF(OR(j_WEEKDAY(J_ADDDAY(VLOOKUP(I178,A:F,6,FALSE),H178+4,1),0)=6,SUMIFS(Holieday[ok],Holieday[date],J_ADDDAY(VLOOKUP(I178,A:F,6,FALSE),H178+4,1)))=FALSE(),J_ADDDAY(VLOOKUP(I178,A:F,6,FALSE),H178+4,1),J_ADDDAY(VLOOKUP(I178,A:F,6,FALSE),H178+5,1))))))</f>
        <v>1398/09/14</v>
      </c>
      <c r="E178" s="1">
        <f t="shared" si="50"/>
        <v>13980914</v>
      </c>
      <c r="F178" s="12" t="str">
        <f>IF(N178=0,J_SUBDAY(D178,1,1),IF((N178-NETWORKDAYS.INTL(J_GregorianDate(D178,1),J_GregorianDate(J_SUBDAY(J_ADDDAY(D178,N178,1),1,1),1),16,1)-SUMIFS(Holieday[ok],Holieday[date],CONCATENATE("&gt;","=",D178),Holieday[date],CONCATENATE("&lt;","=",J_SUBDAY(J_ADDDAY(D178,N178,1),1,1)))+SUMIFS(Holieday[Friday],Holieday[date],CONCATENATE("&gt;","=",D178),Holieday[date],CONCATENATE("&lt;","=",J_SUBDAY(J_ADDDAY(D178,N178,1),1,1))))=0,J_SUBDAY(J_ADDDAY(D178,N178,1),1,1),IF((N178-NETWORKDAYS.INTL(J_GregorianDate(D178,1),J_GregorianDate(J_SUBDAY(J_ADDDAY(D178,N178,1),1,1),1),16,1)-SUMIFS(Holieday[ok],Holieday[date],CONCATENATE("&gt;","=",D178),Holieday[date],CONCATENATE("&lt;","=",J_SUBDAY(J_ADDDAY(D178,N178,1),1,1)))+SUMIFS(Holieday[Friday],Holieday[date],CONCATENATE("&gt;","=",D178),Holieday[date],CONCATENATE("&lt;","=",J_SUBDAY(J_ADDDAY(D178,N178,1),1,1))))=1,J_SUBDAY(J_ADDDAY(D178,N178+1,1),1,1),IF((N178-NETWORKDAYS.INTL(J_GregorianDate(D178,1),J_GregorianDate(J_SUBDAY(J_ADDDAY(D178,N178,1),1,1),1),16,1)-SUMIFS(Holieday[ok],Holieday[date],CONCATENATE("&gt;","=",D178),Holieday[date],CONCATENATE("&lt;","=",J_SUBDAY(J_ADDDAY(D178,N178,1),1,1)))+SUMIFS(Holieday[Friday],Holieday[date],CONCATENATE("&gt;","=",D178),Holieday[date],CONCATENATE("&lt;","=",J_SUBDAY(J_ADDDAY(D178,N178,1),1,1))))=2,J_SUBDAY(J_ADDDAY(D178,N178+2,1),1,1),J_SUBDAY(J_ADDDAY(D178,N178+3,1),1,1)))))</f>
        <v>1398/09/13</v>
      </c>
      <c r="G178" s="2">
        <f t="shared" si="51"/>
        <v>13980913</v>
      </c>
      <c r="H178" s="109"/>
      <c r="I178" s="110">
        <v>7.1</v>
      </c>
      <c r="J178" s="9">
        <f>j_WEEKDAY(D178,2)</f>
        <v>5</v>
      </c>
      <c r="K178" s="21">
        <f t="shared" si="54"/>
        <v>0</v>
      </c>
      <c r="L178" s="8">
        <f t="shared" si="55"/>
        <v>0</v>
      </c>
      <c r="M178" s="111">
        <v>0</v>
      </c>
      <c r="N178" s="108">
        <v>0</v>
      </c>
      <c r="O178" s="10">
        <f t="shared" si="58"/>
        <v>0</v>
      </c>
      <c r="P178" s="10">
        <f>VALUE(J_normdate(J_ADDDAY($D178,$O178,1)))</f>
        <v>13980914</v>
      </c>
      <c r="Q178" s="9">
        <f t="shared" si="59"/>
        <v>0</v>
      </c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/>
      <c r="CQ178" s="7"/>
      <c r="CR178" s="7"/>
      <c r="CS178" s="7"/>
      <c r="CT178" s="7"/>
      <c r="CU178" s="7"/>
      <c r="CV178" s="7"/>
      <c r="CW178" s="7"/>
      <c r="CX178" s="7"/>
      <c r="CY178" s="7"/>
      <c r="CZ178" s="7"/>
      <c r="DA178" s="7"/>
      <c r="DB178" s="7"/>
      <c r="DC178" s="7"/>
      <c r="DD178" s="7"/>
      <c r="DE178" s="7"/>
      <c r="DF178" s="7"/>
      <c r="DG178" s="7"/>
      <c r="DH178" s="7"/>
      <c r="DI178" s="7"/>
      <c r="DJ178" s="7"/>
      <c r="DK178" s="7"/>
      <c r="DL178" s="7"/>
      <c r="DM178" s="7"/>
      <c r="DN178" s="7"/>
      <c r="DO178" s="7"/>
      <c r="DP178" s="7"/>
      <c r="DQ178" s="7"/>
      <c r="DR178" s="7"/>
      <c r="DS178" s="7"/>
      <c r="DT178" s="7"/>
      <c r="DU178" s="7"/>
      <c r="DV178" s="7"/>
      <c r="DW178" s="7"/>
      <c r="DX178" s="7"/>
      <c r="DY178" s="7"/>
      <c r="DZ178" s="7"/>
      <c r="EA178" s="7"/>
      <c r="EB178" s="7"/>
      <c r="EC178" s="7"/>
      <c r="ED178" s="7"/>
      <c r="EE178" s="7"/>
      <c r="EF178" s="7"/>
      <c r="EG178" s="7"/>
      <c r="EH178" s="7"/>
      <c r="EI178" s="7"/>
      <c r="EJ178" s="7"/>
      <c r="EK178" s="7"/>
      <c r="EL178" s="7"/>
      <c r="EM178" s="7"/>
      <c r="EN178" s="7"/>
      <c r="EO178" s="7"/>
      <c r="EP178" s="7"/>
      <c r="EQ178" s="7"/>
      <c r="ER178" s="7"/>
      <c r="ES178" s="7"/>
      <c r="ET178" s="7"/>
      <c r="EU178" s="7"/>
      <c r="EV178" s="7"/>
      <c r="EW178" s="7"/>
      <c r="EX178" s="7"/>
      <c r="EY178" s="7"/>
      <c r="EZ178" s="7"/>
      <c r="FA178" s="7"/>
      <c r="FB178" s="7"/>
      <c r="FC178" s="7"/>
      <c r="FD178" s="7"/>
      <c r="FE178" s="7"/>
      <c r="FF178" s="7"/>
      <c r="FG178" s="7"/>
      <c r="FH178" s="7"/>
      <c r="FI178" s="7"/>
      <c r="FJ178" s="7"/>
      <c r="FK178" s="7"/>
      <c r="FL178" s="7"/>
      <c r="FM178" s="7"/>
      <c r="FN178" s="7"/>
      <c r="FO178" s="7"/>
      <c r="FP178" s="7"/>
      <c r="FQ178" s="7"/>
      <c r="FR178" s="7"/>
      <c r="FS178" s="7"/>
      <c r="FT178" s="7"/>
      <c r="FU178" s="7"/>
      <c r="FV178" s="7"/>
      <c r="FW178" s="7"/>
      <c r="FX178" s="7"/>
      <c r="FY178" s="7"/>
      <c r="FZ178" s="7"/>
      <c r="GA178" s="7"/>
      <c r="GB178" s="7"/>
      <c r="GC178" s="7"/>
      <c r="GD178" s="7"/>
      <c r="GE178" s="7"/>
      <c r="GF178" s="7"/>
      <c r="GG178" s="7"/>
      <c r="GH178" s="7"/>
      <c r="GI178" s="7"/>
      <c r="GJ178" s="7"/>
      <c r="GK178" s="7"/>
      <c r="GL178" s="7"/>
      <c r="GM178" s="7"/>
      <c r="GN178" s="7"/>
      <c r="GO178" s="7"/>
      <c r="GP178" s="7"/>
      <c r="GQ178" s="7"/>
      <c r="GR178" s="7"/>
      <c r="GS178" s="7"/>
      <c r="GT178" s="7"/>
      <c r="GU178" s="7"/>
      <c r="GV178" s="7"/>
      <c r="GW178" s="7"/>
      <c r="GX178" s="7"/>
      <c r="GY178" s="7"/>
      <c r="GZ178" s="7"/>
      <c r="HA178" s="7"/>
      <c r="HB178" s="7"/>
      <c r="HC178" s="7"/>
      <c r="HD178" s="7"/>
      <c r="HE178" s="7"/>
      <c r="HF178" s="7"/>
      <c r="HG178" s="7"/>
      <c r="HH178" s="7"/>
      <c r="HI178" s="7"/>
      <c r="HJ178" s="7"/>
      <c r="HK178" s="7"/>
      <c r="HL178" s="7"/>
      <c r="HM178" s="7"/>
      <c r="HN178" s="7"/>
      <c r="HO178" s="7"/>
      <c r="HP178" s="7"/>
      <c r="HQ178" s="7"/>
      <c r="HR178" s="7"/>
      <c r="HS178" s="7"/>
      <c r="HT178" s="7"/>
      <c r="HU178" s="7"/>
      <c r="HV178" s="7"/>
      <c r="HW178" s="7"/>
      <c r="HX178" s="7"/>
      <c r="HY178" s="7"/>
      <c r="HZ178" s="7"/>
      <c r="IA178" s="7"/>
      <c r="IB178" s="7"/>
      <c r="IC178" s="7"/>
      <c r="ID178" s="7"/>
      <c r="IE178" s="7"/>
      <c r="IF178" s="7"/>
      <c r="IG178" s="7"/>
      <c r="IH178" s="7"/>
      <c r="II178" s="7"/>
      <c r="IJ178" s="7"/>
      <c r="IK178" s="7"/>
      <c r="IL178" s="7"/>
      <c r="IM178" s="7"/>
      <c r="IN178" s="7"/>
      <c r="IO178" s="7"/>
      <c r="IP178" s="7"/>
      <c r="IQ178" s="7"/>
      <c r="IR178" s="7"/>
      <c r="IS178" s="7"/>
      <c r="IT178" s="7"/>
      <c r="IU178" s="7"/>
      <c r="IV178" s="7"/>
      <c r="IW178" s="7"/>
      <c r="IX178" s="7"/>
      <c r="JA178" s="113"/>
      <c r="JB178" s="113"/>
      <c r="JC178" s="113"/>
      <c r="JD178" s="66">
        <f>SUM((TEXT(JA178,"[M]")/60)*'Income Person-hours'!$D$3,(TEXT(JB178,"[M]")/60)*'Income Person-hours'!$D$4,(TEXT(JC178,"[M]")/60)*'Income Person-hours'!$D$5)</f>
        <v>0</v>
      </c>
    </row>
    <row r="179" spans="1:264 16383:16384" s="11" customFormat="1" ht="11.25" hidden="1">
      <c r="A179" s="30">
        <v>7.19</v>
      </c>
      <c r="B179" s="116"/>
      <c r="C179" s="107"/>
      <c r="D179" s="12" t="str">
        <f>IF(OR(j_WEEKDAY(J_ADDDAY(VLOOKUP(I179,A:F,6,FALSE),H179,1),0)=6,SUMIFS(Holieday[ok],Holieday[date],J_ADDDAY(VLOOKUP(I179,A:F,6,FALSE),H179,1)))=FALSE(),J_ADDDAY(VLOOKUP(I179,A:F,6,FALSE),H179,1),IF(OR(j_WEEKDAY(J_ADDDAY(VLOOKUP(I179,A:F,6,FALSE),H179+1,1),0)=6,SUMIFS(Holieday[ok],Holieday[date],J_ADDDAY(VLOOKUP(I179,A:F,6,FALSE),H179+1,1)))=FALSE(),J_ADDDAY(VLOOKUP(I179,A:F,6,FALSE),H179+1,1),IF(OR(j_WEEKDAY(J_ADDDAY(VLOOKUP(I179,A:F,6,FALSE),H179+2,1),0)=6,SUMIFS(Holieday[ok],Holieday[date],J_ADDDAY(VLOOKUP(I179,A:F,6,FALSE),H179+2,1)))=FALSE(),J_ADDDAY(VLOOKUP(I179,A:F,6,FALSE),H179+2,1),IF(OR(j_WEEKDAY(J_ADDDAY(VLOOKUP(I179,A:F,6,FALSE),H179+3,1),0)=6,SUMIFS(Holieday[ok],Holieday[date],J_ADDDAY(VLOOKUP(I179,A:F,6,FALSE),H179+3,1)))=FALSE(),J_ADDDAY(VLOOKUP(I179,A:F,6,FALSE),H179+3,1),IF(OR(j_WEEKDAY(J_ADDDAY(VLOOKUP(I179,A:F,6,FALSE),H179+4,1),0)=6,SUMIFS(Holieday[ok],Holieday[date],J_ADDDAY(VLOOKUP(I179,A:F,6,FALSE),H179+4,1)))=FALSE(),J_ADDDAY(VLOOKUP(I179,A:F,6,FALSE),H179+4,1),J_ADDDAY(VLOOKUP(I179,A:F,6,FALSE),H179+5,1))))))</f>
        <v>1398/09/14</v>
      </c>
      <c r="E179" s="1">
        <f t="shared" si="50"/>
        <v>13980914</v>
      </c>
      <c r="F179" s="12" t="str">
        <f>IF(N179=0,J_SUBDAY(D179,1,1),IF((N179-NETWORKDAYS.INTL(J_GregorianDate(D179,1),J_GregorianDate(J_SUBDAY(J_ADDDAY(D179,N179,1),1,1),1),16,1)-SUMIFS(Holieday[ok],Holieday[date],CONCATENATE("&gt;","=",D179),Holieday[date],CONCATENATE("&lt;","=",J_SUBDAY(J_ADDDAY(D179,N179,1),1,1)))+SUMIFS(Holieday[Friday],Holieday[date],CONCATENATE("&gt;","=",D179),Holieday[date],CONCATENATE("&lt;","=",J_SUBDAY(J_ADDDAY(D179,N179,1),1,1))))=0,J_SUBDAY(J_ADDDAY(D179,N179,1),1,1),IF((N179-NETWORKDAYS.INTL(J_GregorianDate(D179,1),J_GregorianDate(J_SUBDAY(J_ADDDAY(D179,N179,1),1,1),1),16,1)-SUMIFS(Holieday[ok],Holieday[date],CONCATENATE("&gt;","=",D179),Holieday[date],CONCATENATE("&lt;","=",J_SUBDAY(J_ADDDAY(D179,N179,1),1,1)))+SUMIFS(Holieday[Friday],Holieday[date],CONCATENATE("&gt;","=",D179),Holieday[date],CONCATENATE("&lt;","=",J_SUBDAY(J_ADDDAY(D179,N179,1),1,1))))=1,J_SUBDAY(J_ADDDAY(D179,N179+1,1),1,1),IF((N179-NETWORKDAYS.INTL(J_GregorianDate(D179,1),J_GregorianDate(J_SUBDAY(J_ADDDAY(D179,N179,1),1,1),1),16,1)-SUMIFS(Holieday[ok],Holieday[date],CONCATENATE("&gt;","=",D179),Holieday[date],CONCATENATE("&lt;","=",J_SUBDAY(J_ADDDAY(D179,N179,1),1,1)))+SUMIFS(Holieday[Friday],Holieday[date],CONCATENATE("&gt;","=",D179),Holieday[date],CONCATENATE("&lt;","=",J_SUBDAY(J_ADDDAY(D179,N179,1),1,1))))=2,J_SUBDAY(J_ADDDAY(D179,N179+2,1),1,1),J_SUBDAY(J_ADDDAY(D179,N179+3,1),1,1)))))</f>
        <v>1398/09/13</v>
      </c>
      <c r="G179" s="2">
        <f t="shared" si="51"/>
        <v>13980913</v>
      </c>
      <c r="H179" s="109"/>
      <c r="I179" s="110">
        <v>7.1</v>
      </c>
      <c r="J179" s="9">
        <f>j_WEEKDAY(D179,2)</f>
        <v>5</v>
      </c>
      <c r="K179" s="21">
        <f t="shared" si="54"/>
        <v>0</v>
      </c>
      <c r="L179" s="8">
        <f t="shared" si="55"/>
        <v>0</v>
      </c>
      <c r="M179" s="111">
        <v>0</v>
      </c>
      <c r="N179" s="108">
        <v>0</v>
      </c>
      <c r="O179" s="10">
        <f t="shared" si="58"/>
        <v>0</v>
      </c>
      <c r="P179" s="10">
        <f>VALUE(J_normdate(J_ADDDAY($D179,$O179,1)))</f>
        <v>13980914</v>
      </c>
      <c r="Q179" s="9">
        <f t="shared" si="59"/>
        <v>0</v>
      </c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7"/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/>
      <c r="CQ179" s="7"/>
      <c r="CR179" s="7"/>
      <c r="CS179" s="7"/>
      <c r="CT179" s="7"/>
      <c r="CU179" s="7"/>
      <c r="CV179" s="7"/>
      <c r="CW179" s="7"/>
      <c r="CX179" s="7"/>
      <c r="CY179" s="7"/>
      <c r="CZ179" s="7"/>
      <c r="DA179" s="7"/>
      <c r="DB179" s="7"/>
      <c r="DC179" s="7"/>
      <c r="DD179" s="7"/>
      <c r="DE179" s="7"/>
      <c r="DF179" s="7"/>
      <c r="DG179" s="7"/>
      <c r="DH179" s="7"/>
      <c r="DI179" s="7"/>
      <c r="DJ179" s="7"/>
      <c r="DK179" s="7"/>
      <c r="DL179" s="7"/>
      <c r="DM179" s="7"/>
      <c r="DN179" s="7"/>
      <c r="DO179" s="7"/>
      <c r="DP179" s="7"/>
      <c r="DQ179" s="7"/>
      <c r="DR179" s="7"/>
      <c r="DS179" s="7"/>
      <c r="DT179" s="7"/>
      <c r="DU179" s="7"/>
      <c r="DV179" s="7"/>
      <c r="DW179" s="7"/>
      <c r="DX179" s="7"/>
      <c r="DY179" s="7"/>
      <c r="DZ179" s="7"/>
      <c r="EA179" s="7"/>
      <c r="EB179" s="7"/>
      <c r="EC179" s="7"/>
      <c r="ED179" s="7"/>
      <c r="EE179" s="7"/>
      <c r="EF179" s="7"/>
      <c r="EG179" s="7"/>
      <c r="EH179" s="7"/>
      <c r="EI179" s="7"/>
      <c r="EJ179" s="7"/>
      <c r="EK179" s="7"/>
      <c r="EL179" s="7"/>
      <c r="EM179" s="7"/>
      <c r="EN179" s="7"/>
      <c r="EO179" s="7"/>
      <c r="EP179" s="7"/>
      <c r="EQ179" s="7"/>
      <c r="ER179" s="7"/>
      <c r="ES179" s="7"/>
      <c r="ET179" s="7"/>
      <c r="EU179" s="7"/>
      <c r="EV179" s="7"/>
      <c r="EW179" s="7"/>
      <c r="EX179" s="7"/>
      <c r="EY179" s="7"/>
      <c r="EZ179" s="7"/>
      <c r="FA179" s="7"/>
      <c r="FB179" s="7"/>
      <c r="FC179" s="7"/>
      <c r="FD179" s="7"/>
      <c r="FE179" s="7"/>
      <c r="FF179" s="7"/>
      <c r="FG179" s="7"/>
      <c r="FH179" s="7"/>
      <c r="FI179" s="7"/>
      <c r="FJ179" s="7"/>
      <c r="FK179" s="7"/>
      <c r="FL179" s="7"/>
      <c r="FM179" s="7"/>
      <c r="FN179" s="7"/>
      <c r="FO179" s="7"/>
      <c r="FP179" s="7"/>
      <c r="FQ179" s="7"/>
      <c r="FR179" s="7"/>
      <c r="FS179" s="7"/>
      <c r="FT179" s="7"/>
      <c r="FU179" s="7"/>
      <c r="FV179" s="7"/>
      <c r="FW179" s="7"/>
      <c r="FX179" s="7"/>
      <c r="FY179" s="7"/>
      <c r="FZ179" s="7"/>
      <c r="GA179" s="7"/>
      <c r="GB179" s="7"/>
      <c r="GC179" s="7"/>
      <c r="GD179" s="7"/>
      <c r="GE179" s="7"/>
      <c r="GF179" s="7"/>
      <c r="GG179" s="7"/>
      <c r="GH179" s="7"/>
      <c r="GI179" s="7"/>
      <c r="GJ179" s="7"/>
      <c r="GK179" s="7"/>
      <c r="GL179" s="7"/>
      <c r="GM179" s="7"/>
      <c r="GN179" s="7"/>
      <c r="GO179" s="7"/>
      <c r="GP179" s="7"/>
      <c r="GQ179" s="7"/>
      <c r="GR179" s="7"/>
      <c r="GS179" s="7"/>
      <c r="GT179" s="7"/>
      <c r="GU179" s="7"/>
      <c r="GV179" s="7"/>
      <c r="GW179" s="7"/>
      <c r="GX179" s="7"/>
      <c r="GY179" s="7"/>
      <c r="GZ179" s="7"/>
      <c r="HA179" s="7"/>
      <c r="HB179" s="7"/>
      <c r="HC179" s="7"/>
      <c r="HD179" s="7"/>
      <c r="HE179" s="7"/>
      <c r="HF179" s="7"/>
      <c r="HG179" s="7"/>
      <c r="HH179" s="7"/>
      <c r="HI179" s="7"/>
      <c r="HJ179" s="7"/>
      <c r="HK179" s="7"/>
      <c r="HL179" s="7"/>
      <c r="HM179" s="7"/>
      <c r="HN179" s="7"/>
      <c r="HO179" s="7"/>
      <c r="HP179" s="7"/>
      <c r="HQ179" s="7"/>
      <c r="HR179" s="7"/>
      <c r="HS179" s="7"/>
      <c r="HT179" s="7"/>
      <c r="HU179" s="7"/>
      <c r="HV179" s="7"/>
      <c r="HW179" s="7"/>
      <c r="HX179" s="7"/>
      <c r="HY179" s="7"/>
      <c r="HZ179" s="7"/>
      <c r="IA179" s="7"/>
      <c r="IB179" s="7"/>
      <c r="IC179" s="7"/>
      <c r="ID179" s="7"/>
      <c r="IE179" s="7"/>
      <c r="IF179" s="7"/>
      <c r="IG179" s="7"/>
      <c r="IH179" s="7"/>
      <c r="II179" s="7"/>
      <c r="IJ179" s="7"/>
      <c r="IK179" s="7"/>
      <c r="IL179" s="7"/>
      <c r="IM179" s="7"/>
      <c r="IN179" s="7"/>
      <c r="IO179" s="7"/>
      <c r="IP179" s="7"/>
      <c r="IQ179" s="7"/>
      <c r="IR179" s="7"/>
      <c r="IS179" s="7"/>
      <c r="IT179" s="7"/>
      <c r="IU179" s="7"/>
      <c r="IV179" s="7"/>
      <c r="IW179" s="7"/>
      <c r="IX179" s="7"/>
      <c r="JA179" s="113"/>
      <c r="JB179" s="113"/>
      <c r="JC179" s="113"/>
      <c r="JD179" s="66">
        <f>SUM((TEXT(JA179,"[M]")/60)*'Income Person-hours'!$D$3,(TEXT(JB179,"[M]")/60)*'Income Person-hours'!$D$4,(TEXT(JC179,"[M]")/60)*'Income Person-hours'!$D$5)</f>
        <v>0</v>
      </c>
    </row>
    <row r="180" spans="1:264 16383:16384" s="11" customFormat="1" ht="11.25" hidden="1">
      <c r="A180" s="30">
        <v>7.21</v>
      </c>
      <c r="B180" s="116"/>
      <c r="C180" s="107"/>
      <c r="D180" s="12" t="str">
        <f>IF(OR(j_WEEKDAY(J_ADDDAY(VLOOKUP(I180,A:F,6,FALSE),H180,1),0)=6,SUMIFS(Holieday[ok],Holieday[date],J_ADDDAY(VLOOKUP(I180,A:F,6,FALSE),H180,1)))=FALSE(),J_ADDDAY(VLOOKUP(I180,A:F,6,FALSE),H180,1),IF(OR(j_WEEKDAY(J_ADDDAY(VLOOKUP(I180,A:F,6,FALSE),H180+1,1),0)=6,SUMIFS(Holieday[ok],Holieday[date],J_ADDDAY(VLOOKUP(I180,A:F,6,FALSE),H180+1,1)))=FALSE(),J_ADDDAY(VLOOKUP(I180,A:F,6,FALSE),H180+1,1),IF(OR(j_WEEKDAY(J_ADDDAY(VLOOKUP(I180,A:F,6,FALSE),H180+2,1),0)=6,SUMIFS(Holieday[ok],Holieday[date],J_ADDDAY(VLOOKUP(I180,A:F,6,FALSE),H180+2,1)))=FALSE(),J_ADDDAY(VLOOKUP(I180,A:F,6,FALSE),H180+2,1),IF(OR(j_WEEKDAY(J_ADDDAY(VLOOKUP(I180,A:F,6,FALSE),H180+3,1),0)=6,SUMIFS(Holieday[ok],Holieday[date],J_ADDDAY(VLOOKUP(I180,A:F,6,FALSE),H180+3,1)))=FALSE(),J_ADDDAY(VLOOKUP(I180,A:F,6,FALSE),H180+3,1),IF(OR(j_WEEKDAY(J_ADDDAY(VLOOKUP(I180,A:F,6,FALSE),H180+4,1),0)=6,SUMIFS(Holieday[ok],Holieday[date],J_ADDDAY(VLOOKUP(I180,A:F,6,FALSE),H180+4,1)))=FALSE(),J_ADDDAY(VLOOKUP(I180,A:F,6,FALSE),H180+4,1),J_ADDDAY(VLOOKUP(I180,A:F,6,FALSE),H180+5,1))))))</f>
        <v>1398/09/14</v>
      </c>
      <c r="E180" s="1">
        <f t="shared" si="50"/>
        <v>13980914</v>
      </c>
      <c r="F180" s="12" t="str">
        <f>IF(N180=0,J_SUBDAY(D180,1,1),IF((N180-NETWORKDAYS.INTL(J_GregorianDate(D180,1),J_GregorianDate(J_SUBDAY(J_ADDDAY(D180,N180,1),1,1),1),16,1)-SUMIFS(Holieday[ok],Holieday[date],CONCATENATE("&gt;","=",D180),Holieday[date],CONCATENATE("&lt;","=",J_SUBDAY(J_ADDDAY(D180,N180,1),1,1)))+SUMIFS(Holieday[Friday],Holieday[date],CONCATENATE("&gt;","=",D180),Holieday[date],CONCATENATE("&lt;","=",J_SUBDAY(J_ADDDAY(D180,N180,1),1,1))))=0,J_SUBDAY(J_ADDDAY(D180,N180,1),1,1),IF((N180-NETWORKDAYS.INTL(J_GregorianDate(D180,1),J_GregorianDate(J_SUBDAY(J_ADDDAY(D180,N180,1),1,1),1),16,1)-SUMIFS(Holieday[ok],Holieday[date],CONCATENATE("&gt;","=",D180),Holieday[date],CONCATENATE("&lt;","=",J_SUBDAY(J_ADDDAY(D180,N180,1),1,1)))+SUMIFS(Holieday[Friday],Holieday[date],CONCATENATE("&gt;","=",D180),Holieday[date],CONCATENATE("&lt;","=",J_SUBDAY(J_ADDDAY(D180,N180,1),1,1))))=1,J_SUBDAY(J_ADDDAY(D180,N180+1,1),1,1),IF((N180-NETWORKDAYS.INTL(J_GregorianDate(D180,1),J_GregorianDate(J_SUBDAY(J_ADDDAY(D180,N180,1),1,1),1),16,1)-SUMIFS(Holieday[ok],Holieday[date],CONCATENATE("&gt;","=",D180),Holieday[date],CONCATENATE("&lt;","=",J_SUBDAY(J_ADDDAY(D180,N180,1),1,1)))+SUMIFS(Holieday[Friday],Holieday[date],CONCATENATE("&gt;","=",D180),Holieday[date],CONCATENATE("&lt;","=",J_SUBDAY(J_ADDDAY(D180,N180,1),1,1))))=2,J_SUBDAY(J_ADDDAY(D180,N180+2,1),1,1),J_SUBDAY(J_ADDDAY(D180,N180+3,1),1,1)))))</f>
        <v>1398/09/13</v>
      </c>
      <c r="G180" s="2">
        <f t="shared" si="51"/>
        <v>13980913</v>
      </c>
      <c r="H180" s="109"/>
      <c r="I180" s="110">
        <v>7.1</v>
      </c>
      <c r="J180" s="9">
        <f>j_WEEKDAY(D180,2)</f>
        <v>5</v>
      </c>
      <c r="K180" s="21">
        <f t="shared" si="54"/>
        <v>0</v>
      </c>
      <c r="L180" s="8">
        <f t="shared" si="55"/>
        <v>0</v>
      </c>
      <c r="M180" s="111">
        <v>0</v>
      </c>
      <c r="N180" s="108">
        <v>0</v>
      </c>
      <c r="O180" s="10">
        <f t="shared" si="58"/>
        <v>0</v>
      </c>
      <c r="P180" s="10">
        <f>VALUE(J_normdate(J_ADDDAY($D180,$O180,1)))</f>
        <v>13980914</v>
      </c>
      <c r="Q180" s="9">
        <f t="shared" si="59"/>
        <v>0</v>
      </c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7"/>
      <c r="BV180" s="7"/>
      <c r="BW180" s="7"/>
      <c r="BX180" s="7"/>
      <c r="BY180" s="7"/>
      <c r="BZ180" s="7"/>
      <c r="CA180" s="7"/>
      <c r="CB180" s="7"/>
      <c r="CC180" s="7"/>
      <c r="CD180" s="7"/>
      <c r="CE180" s="7"/>
      <c r="CF180" s="7"/>
      <c r="CG180" s="7"/>
      <c r="CH180" s="7"/>
      <c r="CI180" s="7"/>
      <c r="CJ180" s="7"/>
      <c r="CK180" s="7"/>
      <c r="CL180" s="7"/>
      <c r="CM180" s="7"/>
      <c r="CN180" s="7"/>
      <c r="CO180" s="7"/>
      <c r="CP180" s="7"/>
      <c r="CQ180" s="7"/>
      <c r="CR180" s="7"/>
      <c r="CS180" s="7"/>
      <c r="CT180" s="7"/>
      <c r="CU180" s="7"/>
      <c r="CV180" s="7"/>
      <c r="CW180" s="7"/>
      <c r="CX180" s="7"/>
      <c r="CY180" s="7"/>
      <c r="CZ180" s="7"/>
      <c r="DA180" s="7"/>
      <c r="DB180" s="7"/>
      <c r="DC180" s="7"/>
      <c r="DD180" s="7"/>
      <c r="DE180" s="7"/>
      <c r="DF180" s="7"/>
      <c r="DG180" s="7"/>
      <c r="DH180" s="7"/>
      <c r="DI180" s="7"/>
      <c r="DJ180" s="7"/>
      <c r="DK180" s="7"/>
      <c r="DL180" s="7"/>
      <c r="DM180" s="7"/>
      <c r="DN180" s="7"/>
      <c r="DO180" s="7"/>
      <c r="DP180" s="7"/>
      <c r="DQ180" s="7"/>
      <c r="DR180" s="7"/>
      <c r="DS180" s="7"/>
      <c r="DT180" s="7"/>
      <c r="DU180" s="7"/>
      <c r="DV180" s="7"/>
      <c r="DW180" s="7"/>
      <c r="DX180" s="7"/>
      <c r="DY180" s="7"/>
      <c r="DZ180" s="7"/>
      <c r="EA180" s="7"/>
      <c r="EB180" s="7"/>
      <c r="EC180" s="7"/>
      <c r="ED180" s="7"/>
      <c r="EE180" s="7"/>
      <c r="EF180" s="7"/>
      <c r="EG180" s="7"/>
      <c r="EH180" s="7"/>
      <c r="EI180" s="7"/>
      <c r="EJ180" s="7"/>
      <c r="EK180" s="7"/>
      <c r="EL180" s="7"/>
      <c r="EM180" s="7"/>
      <c r="EN180" s="7"/>
      <c r="EO180" s="7"/>
      <c r="EP180" s="7"/>
      <c r="EQ180" s="7"/>
      <c r="ER180" s="7"/>
      <c r="ES180" s="7"/>
      <c r="ET180" s="7"/>
      <c r="EU180" s="7"/>
      <c r="EV180" s="7"/>
      <c r="EW180" s="7"/>
      <c r="EX180" s="7"/>
      <c r="EY180" s="7"/>
      <c r="EZ180" s="7"/>
      <c r="FA180" s="7"/>
      <c r="FB180" s="7"/>
      <c r="FC180" s="7"/>
      <c r="FD180" s="7"/>
      <c r="FE180" s="7"/>
      <c r="FF180" s="7"/>
      <c r="FG180" s="7"/>
      <c r="FH180" s="7"/>
      <c r="FI180" s="7"/>
      <c r="FJ180" s="7"/>
      <c r="FK180" s="7"/>
      <c r="FL180" s="7"/>
      <c r="FM180" s="7"/>
      <c r="FN180" s="7"/>
      <c r="FO180" s="7"/>
      <c r="FP180" s="7"/>
      <c r="FQ180" s="7"/>
      <c r="FR180" s="7"/>
      <c r="FS180" s="7"/>
      <c r="FT180" s="7"/>
      <c r="FU180" s="7"/>
      <c r="FV180" s="7"/>
      <c r="FW180" s="7"/>
      <c r="FX180" s="7"/>
      <c r="FY180" s="7"/>
      <c r="FZ180" s="7"/>
      <c r="GA180" s="7"/>
      <c r="GB180" s="7"/>
      <c r="GC180" s="7"/>
      <c r="GD180" s="7"/>
      <c r="GE180" s="7"/>
      <c r="GF180" s="7"/>
      <c r="GG180" s="7"/>
      <c r="GH180" s="7"/>
      <c r="GI180" s="7"/>
      <c r="GJ180" s="7"/>
      <c r="GK180" s="7"/>
      <c r="GL180" s="7"/>
      <c r="GM180" s="7"/>
      <c r="GN180" s="7"/>
      <c r="GO180" s="7"/>
      <c r="GP180" s="7"/>
      <c r="GQ180" s="7"/>
      <c r="GR180" s="7"/>
      <c r="GS180" s="7"/>
      <c r="GT180" s="7"/>
      <c r="GU180" s="7"/>
      <c r="GV180" s="7"/>
      <c r="GW180" s="7"/>
      <c r="GX180" s="7"/>
      <c r="GY180" s="7"/>
      <c r="GZ180" s="7"/>
      <c r="HA180" s="7"/>
      <c r="HB180" s="7"/>
      <c r="HC180" s="7"/>
      <c r="HD180" s="7"/>
      <c r="HE180" s="7"/>
      <c r="HF180" s="7"/>
      <c r="HG180" s="7"/>
      <c r="HH180" s="7"/>
      <c r="HI180" s="7"/>
      <c r="HJ180" s="7"/>
      <c r="HK180" s="7"/>
      <c r="HL180" s="7"/>
      <c r="HM180" s="7"/>
      <c r="HN180" s="7"/>
      <c r="HO180" s="7"/>
      <c r="HP180" s="7"/>
      <c r="HQ180" s="7"/>
      <c r="HR180" s="7"/>
      <c r="HS180" s="7"/>
      <c r="HT180" s="7"/>
      <c r="HU180" s="7"/>
      <c r="HV180" s="7"/>
      <c r="HW180" s="7"/>
      <c r="HX180" s="7"/>
      <c r="HY180" s="7"/>
      <c r="HZ180" s="7"/>
      <c r="IA180" s="7"/>
      <c r="IB180" s="7"/>
      <c r="IC180" s="7"/>
      <c r="ID180" s="7"/>
      <c r="IE180" s="7"/>
      <c r="IF180" s="7"/>
      <c r="IG180" s="7"/>
      <c r="IH180" s="7"/>
      <c r="II180" s="7"/>
      <c r="IJ180" s="7"/>
      <c r="IK180" s="7"/>
      <c r="IL180" s="7"/>
      <c r="IM180" s="7"/>
      <c r="IN180" s="7"/>
      <c r="IO180" s="7"/>
      <c r="IP180" s="7"/>
      <c r="IQ180" s="7"/>
      <c r="IR180" s="7"/>
      <c r="IS180" s="7"/>
      <c r="IT180" s="7"/>
      <c r="IU180" s="7"/>
      <c r="IV180" s="7"/>
      <c r="IW180" s="7"/>
      <c r="IX180" s="7"/>
      <c r="JA180" s="113"/>
      <c r="JB180" s="113"/>
      <c r="JC180" s="113"/>
      <c r="JD180" s="66">
        <f>SUM((TEXT(JA180,"[M]")/60)*'Income Person-hours'!$D$3,(TEXT(JB180,"[M]")/60)*'Income Person-hours'!$D$4,(TEXT(JC180,"[M]")/60)*'Income Person-hours'!$D$5)</f>
        <v>0</v>
      </c>
    </row>
    <row r="181" spans="1:264 16383:16384" s="11" customFormat="1" ht="11.25" hidden="1">
      <c r="A181" s="30">
        <v>7.22</v>
      </c>
      <c r="B181" s="116"/>
      <c r="C181" s="107"/>
      <c r="D181" s="12" t="str">
        <f>IF(OR(j_WEEKDAY(J_ADDDAY(VLOOKUP(I181,A:F,6,FALSE),H181,1),0)=6,SUMIFS(Holieday[ok],Holieday[date],J_ADDDAY(VLOOKUP(I181,A:F,6,FALSE),H181,1)))=FALSE(),J_ADDDAY(VLOOKUP(I181,A:F,6,FALSE),H181,1),IF(OR(j_WEEKDAY(J_ADDDAY(VLOOKUP(I181,A:F,6,FALSE),H181+1,1),0)=6,SUMIFS(Holieday[ok],Holieday[date],J_ADDDAY(VLOOKUP(I181,A:F,6,FALSE),H181+1,1)))=FALSE(),J_ADDDAY(VLOOKUP(I181,A:F,6,FALSE),H181+1,1),IF(OR(j_WEEKDAY(J_ADDDAY(VLOOKUP(I181,A:F,6,FALSE),H181+2,1),0)=6,SUMIFS(Holieday[ok],Holieday[date],J_ADDDAY(VLOOKUP(I181,A:F,6,FALSE),H181+2,1)))=FALSE(),J_ADDDAY(VLOOKUP(I181,A:F,6,FALSE),H181+2,1),IF(OR(j_WEEKDAY(J_ADDDAY(VLOOKUP(I181,A:F,6,FALSE),H181+3,1),0)=6,SUMIFS(Holieday[ok],Holieday[date],J_ADDDAY(VLOOKUP(I181,A:F,6,FALSE),H181+3,1)))=FALSE(),J_ADDDAY(VLOOKUP(I181,A:F,6,FALSE),H181+3,1),IF(OR(j_WEEKDAY(J_ADDDAY(VLOOKUP(I181,A:F,6,FALSE),H181+4,1),0)=6,SUMIFS(Holieday[ok],Holieday[date],J_ADDDAY(VLOOKUP(I181,A:F,6,FALSE),H181+4,1)))=FALSE(),J_ADDDAY(VLOOKUP(I181,A:F,6,FALSE),H181+4,1),J_ADDDAY(VLOOKUP(I181,A:F,6,FALSE),H181+5,1))))))</f>
        <v>1398/09/14</v>
      </c>
      <c r="E181" s="1">
        <f t="shared" si="50"/>
        <v>13980914</v>
      </c>
      <c r="F181" s="12" t="str">
        <f>IF(N181=0,J_SUBDAY(D181,1,1),IF((N181-NETWORKDAYS.INTL(J_GregorianDate(D181,1),J_GregorianDate(J_SUBDAY(J_ADDDAY(D181,N181,1),1,1),1),16,1)-SUMIFS(Holieday[ok],Holieday[date],CONCATENATE("&gt;","=",D181),Holieday[date],CONCATENATE("&lt;","=",J_SUBDAY(J_ADDDAY(D181,N181,1),1,1)))+SUMIFS(Holieday[Friday],Holieday[date],CONCATENATE("&gt;","=",D181),Holieday[date],CONCATENATE("&lt;","=",J_SUBDAY(J_ADDDAY(D181,N181,1),1,1))))=0,J_SUBDAY(J_ADDDAY(D181,N181,1),1,1),IF((N181-NETWORKDAYS.INTL(J_GregorianDate(D181,1),J_GregorianDate(J_SUBDAY(J_ADDDAY(D181,N181,1),1,1),1),16,1)-SUMIFS(Holieday[ok],Holieday[date],CONCATENATE("&gt;","=",D181),Holieday[date],CONCATENATE("&lt;","=",J_SUBDAY(J_ADDDAY(D181,N181,1),1,1)))+SUMIFS(Holieday[Friday],Holieday[date],CONCATENATE("&gt;","=",D181),Holieday[date],CONCATENATE("&lt;","=",J_SUBDAY(J_ADDDAY(D181,N181,1),1,1))))=1,J_SUBDAY(J_ADDDAY(D181,N181+1,1),1,1),IF((N181-NETWORKDAYS.INTL(J_GregorianDate(D181,1),J_GregorianDate(J_SUBDAY(J_ADDDAY(D181,N181,1),1,1),1),16,1)-SUMIFS(Holieday[ok],Holieday[date],CONCATENATE("&gt;","=",D181),Holieday[date],CONCATENATE("&lt;","=",J_SUBDAY(J_ADDDAY(D181,N181,1),1,1)))+SUMIFS(Holieday[Friday],Holieday[date],CONCATENATE("&gt;","=",D181),Holieday[date],CONCATENATE("&lt;","=",J_SUBDAY(J_ADDDAY(D181,N181,1),1,1))))=2,J_SUBDAY(J_ADDDAY(D181,N181+2,1),1,1),J_SUBDAY(J_ADDDAY(D181,N181+3,1),1,1)))))</f>
        <v>1398/09/13</v>
      </c>
      <c r="G181" s="2">
        <f t="shared" si="51"/>
        <v>13980913</v>
      </c>
      <c r="H181" s="109"/>
      <c r="I181" s="110">
        <v>7.1</v>
      </c>
      <c r="J181" s="9">
        <f>j_WEEKDAY(D181,2)</f>
        <v>5</v>
      </c>
      <c r="K181" s="21">
        <f t="shared" si="54"/>
        <v>0</v>
      </c>
      <c r="L181" s="8">
        <f t="shared" si="55"/>
        <v>0</v>
      </c>
      <c r="M181" s="111">
        <v>0</v>
      </c>
      <c r="N181" s="108">
        <v>0</v>
      </c>
      <c r="O181" s="10">
        <f t="shared" si="58"/>
        <v>0</v>
      </c>
      <c r="P181" s="10">
        <f>VALUE(J_normdate(J_ADDDAY($D181,$O181,1)))</f>
        <v>13980914</v>
      </c>
      <c r="Q181" s="9">
        <f t="shared" si="59"/>
        <v>0</v>
      </c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7"/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/>
      <c r="CQ181" s="7"/>
      <c r="CR181" s="7"/>
      <c r="CS181" s="7"/>
      <c r="CT181" s="7"/>
      <c r="CU181" s="7"/>
      <c r="CV181" s="7"/>
      <c r="CW181" s="7"/>
      <c r="CX181" s="7"/>
      <c r="CY181" s="7"/>
      <c r="CZ181" s="7"/>
      <c r="DA181" s="7"/>
      <c r="DB181" s="7"/>
      <c r="DC181" s="7"/>
      <c r="DD181" s="7"/>
      <c r="DE181" s="7"/>
      <c r="DF181" s="7"/>
      <c r="DG181" s="7"/>
      <c r="DH181" s="7"/>
      <c r="DI181" s="7"/>
      <c r="DJ181" s="7"/>
      <c r="DK181" s="7"/>
      <c r="DL181" s="7"/>
      <c r="DM181" s="7"/>
      <c r="DN181" s="7"/>
      <c r="DO181" s="7"/>
      <c r="DP181" s="7"/>
      <c r="DQ181" s="7"/>
      <c r="DR181" s="7"/>
      <c r="DS181" s="7"/>
      <c r="DT181" s="7"/>
      <c r="DU181" s="7"/>
      <c r="DV181" s="7"/>
      <c r="DW181" s="7"/>
      <c r="DX181" s="7"/>
      <c r="DY181" s="7"/>
      <c r="DZ181" s="7"/>
      <c r="EA181" s="7"/>
      <c r="EB181" s="7"/>
      <c r="EC181" s="7"/>
      <c r="ED181" s="7"/>
      <c r="EE181" s="7"/>
      <c r="EF181" s="7"/>
      <c r="EG181" s="7"/>
      <c r="EH181" s="7"/>
      <c r="EI181" s="7"/>
      <c r="EJ181" s="7"/>
      <c r="EK181" s="7"/>
      <c r="EL181" s="7"/>
      <c r="EM181" s="7"/>
      <c r="EN181" s="7"/>
      <c r="EO181" s="7"/>
      <c r="EP181" s="7"/>
      <c r="EQ181" s="7"/>
      <c r="ER181" s="7"/>
      <c r="ES181" s="7"/>
      <c r="ET181" s="7"/>
      <c r="EU181" s="7"/>
      <c r="EV181" s="7"/>
      <c r="EW181" s="7"/>
      <c r="EX181" s="7"/>
      <c r="EY181" s="7"/>
      <c r="EZ181" s="7"/>
      <c r="FA181" s="7"/>
      <c r="FB181" s="7"/>
      <c r="FC181" s="7"/>
      <c r="FD181" s="7"/>
      <c r="FE181" s="7"/>
      <c r="FF181" s="7"/>
      <c r="FG181" s="7"/>
      <c r="FH181" s="7"/>
      <c r="FI181" s="7"/>
      <c r="FJ181" s="7"/>
      <c r="FK181" s="7"/>
      <c r="FL181" s="7"/>
      <c r="FM181" s="7"/>
      <c r="FN181" s="7"/>
      <c r="FO181" s="7"/>
      <c r="FP181" s="7"/>
      <c r="FQ181" s="7"/>
      <c r="FR181" s="7"/>
      <c r="FS181" s="7"/>
      <c r="FT181" s="7"/>
      <c r="FU181" s="7"/>
      <c r="FV181" s="7"/>
      <c r="FW181" s="7"/>
      <c r="FX181" s="7"/>
      <c r="FY181" s="7"/>
      <c r="FZ181" s="7"/>
      <c r="GA181" s="7"/>
      <c r="GB181" s="7"/>
      <c r="GC181" s="7"/>
      <c r="GD181" s="7"/>
      <c r="GE181" s="7"/>
      <c r="GF181" s="7"/>
      <c r="GG181" s="7"/>
      <c r="GH181" s="7"/>
      <c r="GI181" s="7"/>
      <c r="GJ181" s="7"/>
      <c r="GK181" s="7"/>
      <c r="GL181" s="7"/>
      <c r="GM181" s="7"/>
      <c r="GN181" s="7"/>
      <c r="GO181" s="7"/>
      <c r="GP181" s="7"/>
      <c r="GQ181" s="7"/>
      <c r="GR181" s="7"/>
      <c r="GS181" s="7"/>
      <c r="GT181" s="7"/>
      <c r="GU181" s="7"/>
      <c r="GV181" s="7"/>
      <c r="GW181" s="7"/>
      <c r="GX181" s="7"/>
      <c r="GY181" s="7"/>
      <c r="GZ181" s="7"/>
      <c r="HA181" s="7"/>
      <c r="HB181" s="7"/>
      <c r="HC181" s="7"/>
      <c r="HD181" s="7"/>
      <c r="HE181" s="7"/>
      <c r="HF181" s="7"/>
      <c r="HG181" s="7"/>
      <c r="HH181" s="7"/>
      <c r="HI181" s="7"/>
      <c r="HJ181" s="7"/>
      <c r="HK181" s="7"/>
      <c r="HL181" s="7"/>
      <c r="HM181" s="7"/>
      <c r="HN181" s="7"/>
      <c r="HO181" s="7"/>
      <c r="HP181" s="7"/>
      <c r="HQ181" s="7"/>
      <c r="HR181" s="7"/>
      <c r="HS181" s="7"/>
      <c r="HT181" s="7"/>
      <c r="HU181" s="7"/>
      <c r="HV181" s="7"/>
      <c r="HW181" s="7"/>
      <c r="HX181" s="7"/>
      <c r="HY181" s="7"/>
      <c r="HZ181" s="7"/>
      <c r="IA181" s="7"/>
      <c r="IB181" s="7"/>
      <c r="IC181" s="7"/>
      <c r="ID181" s="7"/>
      <c r="IE181" s="7"/>
      <c r="IF181" s="7"/>
      <c r="IG181" s="7"/>
      <c r="IH181" s="7"/>
      <c r="II181" s="7"/>
      <c r="IJ181" s="7"/>
      <c r="IK181" s="7"/>
      <c r="IL181" s="7"/>
      <c r="IM181" s="7"/>
      <c r="IN181" s="7"/>
      <c r="IO181" s="7"/>
      <c r="IP181" s="7"/>
      <c r="IQ181" s="7"/>
      <c r="IR181" s="7"/>
      <c r="IS181" s="7"/>
      <c r="IT181" s="7"/>
      <c r="IU181" s="7"/>
      <c r="IV181" s="7"/>
      <c r="IW181" s="7"/>
      <c r="IX181" s="7"/>
      <c r="JA181" s="113"/>
      <c r="JB181" s="113"/>
      <c r="JC181" s="113"/>
      <c r="JD181" s="66">
        <f>SUM((TEXT(JA181,"[M]")/60)*'Income Person-hours'!$D$3,(TEXT(JB181,"[M]")/60)*'Income Person-hours'!$D$4,(TEXT(JC181,"[M]")/60)*'Income Person-hours'!$D$5)</f>
        <v>0</v>
      </c>
    </row>
    <row r="182" spans="1:264 16383:16384" s="11" customFormat="1" ht="11.25" hidden="1">
      <c r="A182" s="30">
        <v>7.23</v>
      </c>
      <c r="B182" s="116"/>
      <c r="C182" s="107"/>
      <c r="D182" s="12" t="str">
        <f>IF(OR(j_WEEKDAY(J_ADDDAY(VLOOKUP(I182,A:F,6,FALSE),H182,1),0)=6,SUMIFS(Holieday[ok],Holieday[date],J_ADDDAY(VLOOKUP(I182,A:F,6,FALSE),H182,1)))=FALSE(),J_ADDDAY(VLOOKUP(I182,A:F,6,FALSE),H182,1),IF(OR(j_WEEKDAY(J_ADDDAY(VLOOKUP(I182,A:F,6,FALSE),H182+1,1),0)=6,SUMIFS(Holieday[ok],Holieday[date],J_ADDDAY(VLOOKUP(I182,A:F,6,FALSE),H182+1,1)))=FALSE(),J_ADDDAY(VLOOKUP(I182,A:F,6,FALSE),H182+1,1),IF(OR(j_WEEKDAY(J_ADDDAY(VLOOKUP(I182,A:F,6,FALSE),H182+2,1),0)=6,SUMIFS(Holieday[ok],Holieday[date],J_ADDDAY(VLOOKUP(I182,A:F,6,FALSE),H182+2,1)))=FALSE(),J_ADDDAY(VLOOKUP(I182,A:F,6,FALSE),H182+2,1),IF(OR(j_WEEKDAY(J_ADDDAY(VLOOKUP(I182,A:F,6,FALSE),H182+3,1),0)=6,SUMIFS(Holieday[ok],Holieday[date],J_ADDDAY(VLOOKUP(I182,A:F,6,FALSE),H182+3,1)))=FALSE(),J_ADDDAY(VLOOKUP(I182,A:F,6,FALSE),H182+3,1),IF(OR(j_WEEKDAY(J_ADDDAY(VLOOKUP(I182,A:F,6,FALSE),H182+4,1),0)=6,SUMIFS(Holieday[ok],Holieday[date],J_ADDDAY(VLOOKUP(I182,A:F,6,FALSE),H182+4,1)))=FALSE(),J_ADDDAY(VLOOKUP(I182,A:F,6,FALSE),H182+4,1),J_ADDDAY(VLOOKUP(I182,A:F,6,FALSE),H182+5,1))))))</f>
        <v>1398/09/14</v>
      </c>
      <c r="E182" s="1">
        <f t="shared" si="50"/>
        <v>13980914</v>
      </c>
      <c r="F182" s="12" t="str">
        <f>IF(N182=0,J_SUBDAY(D182,1,1),IF((N182-NETWORKDAYS.INTL(J_GregorianDate(D182,1),J_GregorianDate(J_SUBDAY(J_ADDDAY(D182,N182,1),1,1),1),16,1)-SUMIFS(Holieday[ok],Holieday[date],CONCATENATE("&gt;","=",D182),Holieday[date],CONCATENATE("&lt;","=",J_SUBDAY(J_ADDDAY(D182,N182,1),1,1)))+SUMIFS(Holieday[Friday],Holieday[date],CONCATENATE("&gt;","=",D182),Holieday[date],CONCATENATE("&lt;","=",J_SUBDAY(J_ADDDAY(D182,N182,1),1,1))))=0,J_SUBDAY(J_ADDDAY(D182,N182,1),1,1),IF((N182-NETWORKDAYS.INTL(J_GregorianDate(D182,1),J_GregorianDate(J_SUBDAY(J_ADDDAY(D182,N182,1),1,1),1),16,1)-SUMIFS(Holieday[ok],Holieday[date],CONCATENATE("&gt;","=",D182),Holieday[date],CONCATENATE("&lt;","=",J_SUBDAY(J_ADDDAY(D182,N182,1),1,1)))+SUMIFS(Holieday[Friday],Holieday[date],CONCATENATE("&gt;","=",D182),Holieday[date],CONCATENATE("&lt;","=",J_SUBDAY(J_ADDDAY(D182,N182,1),1,1))))=1,J_SUBDAY(J_ADDDAY(D182,N182+1,1),1,1),IF((N182-NETWORKDAYS.INTL(J_GregorianDate(D182,1),J_GregorianDate(J_SUBDAY(J_ADDDAY(D182,N182,1),1,1),1),16,1)-SUMIFS(Holieday[ok],Holieday[date],CONCATENATE("&gt;","=",D182),Holieday[date],CONCATENATE("&lt;","=",J_SUBDAY(J_ADDDAY(D182,N182,1),1,1)))+SUMIFS(Holieday[Friday],Holieday[date],CONCATENATE("&gt;","=",D182),Holieday[date],CONCATENATE("&lt;","=",J_SUBDAY(J_ADDDAY(D182,N182,1),1,1))))=2,J_SUBDAY(J_ADDDAY(D182,N182+2,1),1,1),J_SUBDAY(J_ADDDAY(D182,N182+3,1),1,1)))))</f>
        <v>1398/09/13</v>
      </c>
      <c r="G182" s="2">
        <f t="shared" si="51"/>
        <v>13980913</v>
      </c>
      <c r="H182" s="109"/>
      <c r="I182" s="110">
        <v>7.1</v>
      </c>
      <c r="J182" s="9">
        <f>j_WEEKDAY(D182,2)</f>
        <v>5</v>
      </c>
      <c r="K182" s="21">
        <f t="shared" si="54"/>
        <v>0</v>
      </c>
      <c r="L182" s="8">
        <f t="shared" si="55"/>
        <v>0</v>
      </c>
      <c r="M182" s="111">
        <v>0</v>
      </c>
      <c r="N182" s="108">
        <v>0</v>
      </c>
      <c r="O182" s="10">
        <f t="shared" si="58"/>
        <v>0</v>
      </c>
      <c r="P182" s="10">
        <f>VALUE(J_normdate(J_ADDDAY($D182,$O182,1)))</f>
        <v>13980914</v>
      </c>
      <c r="Q182" s="9">
        <f t="shared" si="59"/>
        <v>0</v>
      </c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7"/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/>
      <c r="CQ182" s="7"/>
      <c r="CR182" s="7"/>
      <c r="CS182" s="7"/>
      <c r="CT182" s="7"/>
      <c r="CU182" s="7"/>
      <c r="CV182" s="7"/>
      <c r="CW182" s="7"/>
      <c r="CX182" s="7"/>
      <c r="CY182" s="7"/>
      <c r="CZ182" s="7"/>
      <c r="DA182" s="7"/>
      <c r="DB182" s="7"/>
      <c r="DC182" s="7"/>
      <c r="DD182" s="7"/>
      <c r="DE182" s="7"/>
      <c r="DF182" s="7"/>
      <c r="DG182" s="7"/>
      <c r="DH182" s="7"/>
      <c r="DI182" s="7"/>
      <c r="DJ182" s="7"/>
      <c r="DK182" s="7"/>
      <c r="DL182" s="7"/>
      <c r="DM182" s="7"/>
      <c r="DN182" s="7"/>
      <c r="DO182" s="7"/>
      <c r="DP182" s="7"/>
      <c r="DQ182" s="7"/>
      <c r="DR182" s="7"/>
      <c r="DS182" s="7"/>
      <c r="DT182" s="7"/>
      <c r="DU182" s="7"/>
      <c r="DV182" s="7"/>
      <c r="DW182" s="7"/>
      <c r="DX182" s="7"/>
      <c r="DY182" s="7"/>
      <c r="DZ182" s="7"/>
      <c r="EA182" s="7"/>
      <c r="EB182" s="7"/>
      <c r="EC182" s="7"/>
      <c r="ED182" s="7"/>
      <c r="EE182" s="7"/>
      <c r="EF182" s="7"/>
      <c r="EG182" s="7"/>
      <c r="EH182" s="7"/>
      <c r="EI182" s="7"/>
      <c r="EJ182" s="7"/>
      <c r="EK182" s="7"/>
      <c r="EL182" s="7"/>
      <c r="EM182" s="7"/>
      <c r="EN182" s="7"/>
      <c r="EO182" s="7"/>
      <c r="EP182" s="7"/>
      <c r="EQ182" s="7"/>
      <c r="ER182" s="7"/>
      <c r="ES182" s="7"/>
      <c r="ET182" s="7"/>
      <c r="EU182" s="7"/>
      <c r="EV182" s="7"/>
      <c r="EW182" s="7"/>
      <c r="EX182" s="7"/>
      <c r="EY182" s="7"/>
      <c r="EZ182" s="7"/>
      <c r="FA182" s="7"/>
      <c r="FB182" s="7"/>
      <c r="FC182" s="7"/>
      <c r="FD182" s="7"/>
      <c r="FE182" s="7"/>
      <c r="FF182" s="7"/>
      <c r="FG182" s="7"/>
      <c r="FH182" s="7"/>
      <c r="FI182" s="7"/>
      <c r="FJ182" s="7"/>
      <c r="FK182" s="7"/>
      <c r="FL182" s="7"/>
      <c r="FM182" s="7"/>
      <c r="FN182" s="7"/>
      <c r="FO182" s="7"/>
      <c r="FP182" s="7"/>
      <c r="FQ182" s="7"/>
      <c r="FR182" s="7"/>
      <c r="FS182" s="7"/>
      <c r="FT182" s="7"/>
      <c r="FU182" s="7"/>
      <c r="FV182" s="7"/>
      <c r="FW182" s="7"/>
      <c r="FX182" s="7"/>
      <c r="FY182" s="7"/>
      <c r="FZ182" s="7"/>
      <c r="GA182" s="7"/>
      <c r="GB182" s="7"/>
      <c r="GC182" s="7"/>
      <c r="GD182" s="7"/>
      <c r="GE182" s="7"/>
      <c r="GF182" s="7"/>
      <c r="GG182" s="7"/>
      <c r="GH182" s="7"/>
      <c r="GI182" s="7"/>
      <c r="GJ182" s="7"/>
      <c r="GK182" s="7"/>
      <c r="GL182" s="7"/>
      <c r="GM182" s="7"/>
      <c r="GN182" s="7"/>
      <c r="GO182" s="7"/>
      <c r="GP182" s="7"/>
      <c r="GQ182" s="7"/>
      <c r="GR182" s="7"/>
      <c r="GS182" s="7"/>
      <c r="GT182" s="7"/>
      <c r="GU182" s="7"/>
      <c r="GV182" s="7"/>
      <c r="GW182" s="7"/>
      <c r="GX182" s="7"/>
      <c r="GY182" s="7"/>
      <c r="GZ182" s="7"/>
      <c r="HA182" s="7"/>
      <c r="HB182" s="7"/>
      <c r="HC182" s="7"/>
      <c r="HD182" s="7"/>
      <c r="HE182" s="7"/>
      <c r="HF182" s="7"/>
      <c r="HG182" s="7"/>
      <c r="HH182" s="7"/>
      <c r="HI182" s="7"/>
      <c r="HJ182" s="7"/>
      <c r="HK182" s="7"/>
      <c r="HL182" s="7"/>
      <c r="HM182" s="7"/>
      <c r="HN182" s="7"/>
      <c r="HO182" s="7"/>
      <c r="HP182" s="7"/>
      <c r="HQ182" s="7"/>
      <c r="HR182" s="7"/>
      <c r="HS182" s="7"/>
      <c r="HT182" s="7"/>
      <c r="HU182" s="7"/>
      <c r="HV182" s="7"/>
      <c r="HW182" s="7"/>
      <c r="HX182" s="7"/>
      <c r="HY182" s="7"/>
      <c r="HZ182" s="7"/>
      <c r="IA182" s="7"/>
      <c r="IB182" s="7"/>
      <c r="IC182" s="7"/>
      <c r="ID182" s="7"/>
      <c r="IE182" s="7"/>
      <c r="IF182" s="7"/>
      <c r="IG182" s="7"/>
      <c r="IH182" s="7"/>
      <c r="II182" s="7"/>
      <c r="IJ182" s="7"/>
      <c r="IK182" s="7"/>
      <c r="IL182" s="7"/>
      <c r="IM182" s="7"/>
      <c r="IN182" s="7"/>
      <c r="IO182" s="7"/>
      <c r="IP182" s="7"/>
      <c r="IQ182" s="7"/>
      <c r="IR182" s="7"/>
      <c r="IS182" s="7"/>
      <c r="IT182" s="7"/>
      <c r="IU182" s="7"/>
      <c r="IV182" s="7"/>
      <c r="IW182" s="7"/>
      <c r="IX182" s="7"/>
      <c r="JA182" s="113"/>
      <c r="JB182" s="113"/>
      <c r="JC182" s="113"/>
      <c r="JD182" s="66">
        <f>SUM((TEXT(JA182,"[M]")/60)*'Income Person-hours'!$D$3,(TEXT(JB182,"[M]")/60)*'Income Person-hours'!$D$4,(TEXT(JC182,"[M]")/60)*'Income Person-hours'!$D$5)</f>
        <v>0</v>
      </c>
    </row>
    <row r="183" spans="1:264 16383:16384" s="160" customFormat="1" ht="11.25" hidden="1">
      <c r="A183" s="193">
        <v>8</v>
      </c>
      <c r="B183" s="102"/>
      <c r="C183" s="103"/>
      <c r="D183" s="162" t="str">
        <f>FDate(MIN(E184:E204))</f>
        <v>1398/06/31</v>
      </c>
      <c r="E183" s="160">
        <f t="shared" si="50"/>
        <v>13980631</v>
      </c>
      <c r="F183" s="162" t="str">
        <f>J_SUBDAY(J_ADDDAY(D183,L183,1),1,1)</f>
        <v>1398/06/30</v>
      </c>
      <c r="G183" s="163">
        <f t="shared" si="51"/>
        <v>13980630</v>
      </c>
      <c r="H183" s="104"/>
      <c r="I183" s="105"/>
      <c r="J183" s="162">
        <f>j_WEEKDAY(D183,2)</f>
        <v>1</v>
      </c>
      <c r="K183" s="164">
        <f>SUM(K184:K204)</f>
        <v>0</v>
      </c>
      <c r="L183" s="165">
        <f>J_DIFF(D183,FDate(MAX(G184:G204)))+1</f>
        <v>0</v>
      </c>
      <c r="M183" s="166">
        <f>IF(SUM(L184:L204)&lt;&gt;0,SUMPRODUCT(L184:L204,M184:M204)/SUM(L184:L204),0)</f>
        <v>0</v>
      </c>
      <c r="N183" s="167">
        <f>IF(F183&gt;=D183,NETWORKDAYS.INTL(J_GregorianDate(D183,1),J_GregorianDate(F183,1),16,1)-SUMIFS(Holieday[ok],Holieday[date],CONCATENATE("&gt;","=",D183),Holieday[date],CONCATENATE("&lt;","=",F183))+SUMIFS(Holieday[Friday],Holieday[date],CONCATENATE("&gt;","=",D183),Holieday[date],CONCATENATE("&lt;","=",F183)),0)</f>
        <v>0</v>
      </c>
      <c r="O183" s="159">
        <f t="shared" ref="O183:O204" si="60">ROUNDDOWN(M183*L183,0)</f>
        <v>0</v>
      </c>
      <c r="P183" s="159">
        <f>VALUE(J_normdate(J_ADDDAY($D183,$O183,1)))</f>
        <v>13980631</v>
      </c>
      <c r="Q183" s="162">
        <f t="shared" ref="Q183:Q204" si="61">L183-O183</f>
        <v>0</v>
      </c>
      <c r="IY183" s="59"/>
      <c r="IZ183" s="59"/>
      <c r="JA183" s="188"/>
      <c r="JB183" s="194"/>
      <c r="XFC183" s="162"/>
      <c r="XFD183" s="162"/>
    </row>
    <row r="184" spans="1:264 16383:16384" s="191" customFormat="1" ht="11.25" hidden="1">
      <c r="A184" s="176">
        <v>8.1</v>
      </c>
      <c r="B184" s="106"/>
      <c r="C184" s="107"/>
      <c r="D184" s="172" t="str">
        <f>IF(OR(j_WEEKDAY(J_ADDDAY(VLOOKUP(I184,A:F,6,FALSE),H184,1),0)=6,SUMIFS(Holieday[ok],Holieday[date],J_ADDDAY(VLOOKUP(I184,A:F,6,FALSE),H184,1)))=FALSE(),J_ADDDAY(VLOOKUP(I184,A:F,6,FALSE),H184,1),IF(OR(j_WEEKDAY(J_ADDDAY(VLOOKUP(I184,A:F,6,FALSE),H184+1,1),0)=6,SUMIFS(Holieday[ok],Holieday[date],J_ADDDAY(VLOOKUP(I184,A:F,6,FALSE),H184+1,1)))=FALSE(),J_ADDDAY(VLOOKUP(I184,A:F,6,FALSE),H184+1,1),IF(OR(j_WEEKDAY(J_ADDDAY(VLOOKUP(I184,A:F,6,FALSE),H184+2,1),0)=6,SUMIFS(Holieday[ok],Holieday[date],J_ADDDAY(VLOOKUP(I184,A:F,6,FALSE),H184+2,1)))=FALSE(),J_ADDDAY(VLOOKUP(I184,A:F,6,FALSE),H184+2,1),IF(OR(j_WEEKDAY(J_ADDDAY(VLOOKUP(I184,A:F,6,FALSE),H184+3,1),0)=6,SUMIFS(Holieday[ok],Holieday[date],J_ADDDAY(VLOOKUP(I184,A:F,6,FALSE),H184+3,1)))=FALSE(),J_ADDDAY(VLOOKUP(I184,A:F,6,FALSE),H184+3,1),IF(OR(j_WEEKDAY(J_ADDDAY(VLOOKUP(I184,A:F,6,FALSE),H184+4,1),0)=6,SUMIFS(Holieday[ok],Holieday[date],J_ADDDAY(VLOOKUP(I184,A:F,6,FALSE),H184+4,1)))=FALSE(),J_ADDDAY(VLOOKUP(I184,A:F,6,FALSE),H184+4,1),J_ADDDAY(VLOOKUP(I184,A:F,6,FALSE),H184+5,1))))))</f>
        <v>1398/06/31</v>
      </c>
      <c r="E184" s="160">
        <f t="shared" si="50"/>
        <v>13980631</v>
      </c>
      <c r="F184" s="172" t="str">
        <f>IF(N184=0,J_SUBDAY(D184,1,1),IF((N184-NETWORKDAYS.INTL(J_GregorianDate(D184,1),J_GregorianDate(J_SUBDAY(J_ADDDAY(D184,N184,1),1,1),1),16,1)-SUMIFS(Holieday[ok],Holieday[date],CONCATENATE("&gt;","=",D184),Holieday[date],CONCATENATE("&lt;","=",J_SUBDAY(J_ADDDAY(D184,N184,1),1,1)))+SUMIFS(Holieday[Friday],Holieday[date],CONCATENATE("&gt;","=",D184),Holieday[date],CONCATENATE("&lt;","=",J_SUBDAY(J_ADDDAY(D184,N184,1),1,1))))=0,J_SUBDAY(J_ADDDAY(D184,N184,1),1,1),IF((N184-NETWORKDAYS.INTL(J_GregorianDate(D184,1),J_GregorianDate(J_SUBDAY(J_ADDDAY(D184,N184,1),1,1),1),16,1)-SUMIFS(Holieday[ok],Holieday[date],CONCATENATE("&gt;","=",D184),Holieday[date],CONCATENATE("&lt;","=",J_SUBDAY(J_ADDDAY(D184,N184,1),1,1)))+SUMIFS(Holieday[Friday],Holieday[date],CONCATENATE("&gt;","=",D184),Holieday[date],CONCATENATE("&lt;","=",J_SUBDAY(J_ADDDAY(D184,N184,1),1,1))))=1,J_SUBDAY(J_ADDDAY(D184,N184+1,1),1,1),IF((N184-NETWORKDAYS.INTL(J_GregorianDate(D184,1),J_GregorianDate(J_SUBDAY(J_ADDDAY(D184,N184,1),1,1),1),16,1)-SUMIFS(Holieday[ok],Holieday[date],CONCATENATE("&gt;","=",D184),Holieday[date],CONCATENATE("&lt;","=",J_SUBDAY(J_ADDDAY(D184,N184,1),1,1)))+SUMIFS(Holieday[Friday],Holieday[date],CONCATENATE("&gt;","=",D184),Holieday[date],CONCATENATE("&lt;","=",J_SUBDAY(J_ADDDAY(D184,N184,1),1,1))))=2,J_SUBDAY(J_ADDDAY(D184,N184+2,1),1,1),J_SUBDAY(J_ADDDAY(D184,N184+3,1),1,1)))))</f>
        <v>1398/06/30</v>
      </c>
      <c r="G184" s="163">
        <f t="shared" si="51"/>
        <v>13980630</v>
      </c>
      <c r="H184" s="109"/>
      <c r="I184" s="110">
        <v>1.1000000000000001</v>
      </c>
      <c r="J184" s="171">
        <f>j_WEEKDAY(D184,2)</f>
        <v>1</v>
      </c>
      <c r="K184" s="173">
        <f t="shared" ref="K184:K204" si="62">SUM(JA184:JC184)</f>
        <v>0</v>
      </c>
      <c r="L184" s="174">
        <f t="shared" ref="L184:L204" si="63">J_DIFF(D184,F184)+1</f>
        <v>0</v>
      </c>
      <c r="M184" s="111">
        <v>0</v>
      </c>
      <c r="N184" s="108">
        <v>0</v>
      </c>
      <c r="O184" s="175">
        <f t="shared" si="60"/>
        <v>0</v>
      </c>
      <c r="P184" s="175">
        <f>VALUE(J_normdate(J_ADDDAY($D184,$O184,1)))</f>
        <v>13980631</v>
      </c>
      <c r="Q184" s="171">
        <f t="shared" si="61"/>
        <v>0</v>
      </c>
      <c r="R184" s="169"/>
      <c r="S184" s="169"/>
      <c r="T184" s="169"/>
      <c r="U184" s="169"/>
      <c r="V184" s="169"/>
      <c r="W184" s="169"/>
      <c r="X184" s="169"/>
      <c r="Y184" s="169"/>
      <c r="Z184" s="169"/>
      <c r="AA184" s="169"/>
      <c r="AB184" s="169"/>
      <c r="AC184" s="169"/>
      <c r="AD184" s="169"/>
      <c r="AE184" s="169"/>
      <c r="AF184" s="169"/>
      <c r="AG184" s="169"/>
      <c r="AH184" s="169"/>
      <c r="AI184" s="169"/>
      <c r="AJ184" s="169"/>
      <c r="AK184" s="169"/>
      <c r="AL184" s="169"/>
      <c r="AM184" s="169"/>
      <c r="AN184" s="169"/>
      <c r="AO184" s="169"/>
      <c r="AP184" s="169"/>
      <c r="AQ184" s="169"/>
      <c r="AR184" s="169"/>
      <c r="AS184" s="169"/>
      <c r="AT184" s="169"/>
      <c r="AU184" s="169"/>
      <c r="AV184" s="169"/>
      <c r="AW184" s="169"/>
      <c r="AX184" s="169"/>
      <c r="AY184" s="169"/>
      <c r="AZ184" s="169"/>
      <c r="BA184" s="169"/>
      <c r="BB184" s="169"/>
      <c r="BC184" s="169"/>
      <c r="BD184" s="169"/>
      <c r="BE184" s="169"/>
      <c r="BF184" s="169"/>
      <c r="BG184" s="169"/>
      <c r="BH184" s="169"/>
      <c r="BI184" s="169"/>
      <c r="BJ184" s="169"/>
      <c r="BK184" s="169"/>
      <c r="BL184" s="169"/>
      <c r="BM184" s="169"/>
      <c r="BN184" s="169"/>
      <c r="BO184" s="169"/>
      <c r="BP184" s="169"/>
      <c r="BQ184" s="169"/>
      <c r="BR184" s="169"/>
      <c r="BS184" s="169"/>
      <c r="BT184" s="169"/>
      <c r="BU184" s="169"/>
      <c r="BV184" s="169"/>
      <c r="BW184" s="169"/>
      <c r="BX184" s="169"/>
      <c r="BY184" s="169"/>
      <c r="BZ184" s="169"/>
      <c r="CA184" s="169"/>
      <c r="CB184" s="169"/>
      <c r="CC184" s="169"/>
      <c r="CD184" s="169"/>
      <c r="CE184" s="169"/>
      <c r="CF184" s="169"/>
      <c r="CG184" s="169"/>
      <c r="CH184" s="169"/>
      <c r="CI184" s="169"/>
      <c r="CJ184" s="169"/>
      <c r="CK184" s="169"/>
      <c r="CL184" s="169"/>
      <c r="CM184" s="169"/>
      <c r="CN184" s="169"/>
      <c r="CO184" s="169"/>
      <c r="CP184" s="169"/>
      <c r="CQ184" s="169"/>
      <c r="CR184" s="169"/>
      <c r="CS184" s="169"/>
      <c r="CT184" s="169"/>
      <c r="CU184" s="169"/>
      <c r="CV184" s="169"/>
      <c r="CW184" s="169"/>
      <c r="CX184" s="169"/>
      <c r="CY184" s="169"/>
      <c r="CZ184" s="169"/>
      <c r="DA184" s="169"/>
      <c r="DB184" s="169"/>
      <c r="DC184" s="169"/>
      <c r="DD184" s="169"/>
      <c r="DE184" s="169"/>
      <c r="DF184" s="169"/>
      <c r="DG184" s="169"/>
      <c r="DH184" s="169"/>
      <c r="DI184" s="169"/>
      <c r="DJ184" s="169"/>
      <c r="DK184" s="169"/>
      <c r="DL184" s="169"/>
      <c r="DM184" s="169"/>
      <c r="DN184" s="169"/>
      <c r="DO184" s="169"/>
      <c r="DP184" s="169"/>
      <c r="DQ184" s="169"/>
      <c r="DR184" s="169"/>
      <c r="DS184" s="169"/>
      <c r="DT184" s="169"/>
      <c r="DU184" s="169"/>
      <c r="DV184" s="169"/>
      <c r="DW184" s="169"/>
      <c r="DX184" s="169"/>
      <c r="DY184" s="169"/>
      <c r="DZ184" s="169"/>
      <c r="EA184" s="169"/>
      <c r="EB184" s="169"/>
      <c r="EC184" s="169"/>
      <c r="ED184" s="169"/>
      <c r="EE184" s="169"/>
      <c r="EF184" s="169"/>
      <c r="EG184" s="169"/>
      <c r="EH184" s="169"/>
      <c r="EI184" s="169"/>
      <c r="EJ184" s="169"/>
      <c r="EK184" s="169"/>
      <c r="EL184" s="169"/>
      <c r="EM184" s="169"/>
      <c r="EN184" s="169"/>
      <c r="EO184" s="169"/>
      <c r="EP184" s="169"/>
      <c r="EQ184" s="169"/>
      <c r="ER184" s="169"/>
      <c r="ES184" s="169"/>
      <c r="ET184" s="169"/>
      <c r="EU184" s="169"/>
      <c r="EV184" s="169"/>
      <c r="EW184" s="169"/>
      <c r="EX184" s="169"/>
      <c r="EY184" s="169"/>
      <c r="EZ184" s="169"/>
      <c r="FA184" s="169"/>
      <c r="FB184" s="169"/>
      <c r="FC184" s="169"/>
      <c r="FD184" s="169"/>
      <c r="FE184" s="169"/>
      <c r="FF184" s="169"/>
      <c r="FG184" s="169"/>
      <c r="FH184" s="169"/>
      <c r="FI184" s="169"/>
      <c r="FJ184" s="169"/>
      <c r="FK184" s="169"/>
      <c r="FL184" s="169"/>
      <c r="FM184" s="169"/>
      <c r="FN184" s="169"/>
      <c r="FO184" s="169"/>
      <c r="FP184" s="169"/>
      <c r="FQ184" s="169"/>
      <c r="FR184" s="169"/>
      <c r="FS184" s="169"/>
      <c r="FT184" s="169"/>
      <c r="FU184" s="169"/>
      <c r="FV184" s="169"/>
      <c r="FW184" s="169"/>
      <c r="FX184" s="169"/>
      <c r="FY184" s="169"/>
      <c r="FZ184" s="169"/>
      <c r="GA184" s="169"/>
      <c r="GB184" s="169"/>
      <c r="GC184" s="169"/>
      <c r="GD184" s="169"/>
      <c r="GE184" s="169"/>
      <c r="GF184" s="169"/>
      <c r="GG184" s="169"/>
      <c r="GH184" s="169"/>
      <c r="GI184" s="169"/>
      <c r="GJ184" s="169"/>
      <c r="GK184" s="169"/>
      <c r="GL184" s="169"/>
      <c r="GM184" s="169"/>
      <c r="GN184" s="169"/>
      <c r="GO184" s="169"/>
      <c r="GP184" s="169"/>
      <c r="GQ184" s="169"/>
      <c r="GR184" s="169"/>
      <c r="GS184" s="169"/>
      <c r="GT184" s="169"/>
      <c r="GU184" s="169"/>
      <c r="GV184" s="169"/>
      <c r="GW184" s="169"/>
      <c r="GX184" s="169"/>
      <c r="GY184" s="169"/>
      <c r="GZ184" s="169"/>
      <c r="HA184" s="169"/>
      <c r="HB184" s="169"/>
      <c r="HC184" s="169"/>
      <c r="HD184" s="169"/>
      <c r="HE184" s="169"/>
      <c r="HF184" s="169"/>
      <c r="HG184" s="169"/>
      <c r="HH184" s="169"/>
      <c r="HI184" s="169"/>
      <c r="HJ184" s="169"/>
      <c r="HK184" s="169"/>
      <c r="HL184" s="169"/>
      <c r="HM184" s="169"/>
      <c r="HN184" s="169"/>
      <c r="HO184" s="169"/>
      <c r="HP184" s="169"/>
      <c r="HQ184" s="169"/>
      <c r="HR184" s="169"/>
      <c r="HS184" s="169"/>
      <c r="HT184" s="169"/>
      <c r="HU184" s="169"/>
      <c r="HV184" s="169"/>
      <c r="HW184" s="169"/>
      <c r="HX184" s="169"/>
      <c r="HY184" s="169"/>
      <c r="HZ184" s="169"/>
      <c r="IA184" s="169"/>
      <c r="IB184" s="169"/>
      <c r="IC184" s="169"/>
      <c r="ID184" s="169"/>
      <c r="IE184" s="169"/>
      <c r="IF184" s="169"/>
      <c r="IG184" s="169"/>
      <c r="IH184" s="169"/>
      <c r="II184" s="169"/>
      <c r="IJ184" s="169"/>
      <c r="IK184" s="169"/>
      <c r="IL184" s="169"/>
      <c r="IM184" s="169"/>
      <c r="IN184" s="169"/>
      <c r="IO184" s="169"/>
      <c r="IP184" s="169"/>
      <c r="IQ184" s="169"/>
      <c r="IR184" s="169"/>
      <c r="IS184" s="169"/>
      <c r="IT184" s="169"/>
      <c r="IU184" s="169"/>
      <c r="IV184" s="169"/>
      <c r="IW184" s="169"/>
      <c r="IX184" s="169"/>
      <c r="IY184" s="11"/>
      <c r="IZ184" s="11"/>
      <c r="JA184" s="113"/>
      <c r="JB184" s="118"/>
      <c r="JC184" s="113"/>
      <c r="JD184" s="192">
        <f>SUM((TEXT(JA184,"[M]")/60)*'Income Person-hours'!$D$3,(TEXT(JB184,"[M]")/60)*'Income Person-hours'!$D$4,(TEXT(JC184,"[M]")/60)*'Income Person-hours'!$D$5)</f>
        <v>0</v>
      </c>
    </row>
    <row r="185" spans="1:264 16383:16384" s="11" customFormat="1" ht="11.25" hidden="1">
      <c r="A185" s="30">
        <v>8.1999999999999993</v>
      </c>
      <c r="B185" s="106"/>
      <c r="C185" s="107"/>
      <c r="D185" s="12" t="str">
        <f>IF(OR(j_WEEKDAY(J_ADDDAY(VLOOKUP(I185,A:F,6,FALSE),H185,1),0)=6,SUMIFS(Holieday[ok],Holieday[date],J_ADDDAY(VLOOKUP(I185,A:F,6,FALSE),H185,1)))=FALSE(),J_ADDDAY(VLOOKUP(I185,A:F,6,FALSE),H185,1),IF(OR(j_WEEKDAY(J_ADDDAY(VLOOKUP(I185,A:F,6,FALSE),H185+1,1),0)=6,SUMIFS(Holieday[ok],Holieday[date],J_ADDDAY(VLOOKUP(I185,A:F,6,FALSE),H185+1,1)))=FALSE(),J_ADDDAY(VLOOKUP(I185,A:F,6,FALSE),H185+1,1),IF(OR(j_WEEKDAY(J_ADDDAY(VLOOKUP(I185,A:F,6,FALSE),H185+2,1),0)=6,SUMIFS(Holieday[ok],Holieday[date],J_ADDDAY(VLOOKUP(I185,A:F,6,FALSE),H185+2,1)))=FALSE(),J_ADDDAY(VLOOKUP(I185,A:F,6,FALSE),H185+2,1),IF(OR(j_WEEKDAY(J_ADDDAY(VLOOKUP(I185,A:F,6,FALSE),H185+3,1),0)=6,SUMIFS(Holieday[ok],Holieday[date],J_ADDDAY(VLOOKUP(I185,A:F,6,FALSE),H185+3,1)))=FALSE(),J_ADDDAY(VLOOKUP(I185,A:F,6,FALSE),H185+3,1),IF(OR(j_WEEKDAY(J_ADDDAY(VLOOKUP(I185,A:F,6,FALSE),H185+4,1),0)=6,SUMIFS(Holieday[ok],Holieday[date],J_ADDDAY(VLOOKUP(I185,A:F,6,FALSE),H185+4,1)))=FALSE(),J_ADDDAY(VLOOKUP(I185,A:F,6,FALSE),H185+4,1),J_ADDDAY(VLOOKUP(I185,A:F,6,FALSE),H185+5,1))))))</f>
        <v>1398/06/31</v>
      </c>
      <c r="E185" s="1">
        <f t="shared" si="50"/>
        <v>13980631</v>
      </c>
      <c r="F185" s="12" t="str">
        <f>IF(N185=0,J_SUBDAY(D185,1,1),IF((N185-NETWORKDAYS.INTL(J_GregorianDate(D185,1),J_GregorianDate(J_SUBDAY(J_ADDDAY(D185,N185,1),1,1),1),16,1)-SUMIFS(Holieday[ok],Holieday[date],CONCATENATE("&gt;","=",D185),Holieday[date],CONCATENATE("&lt;","=",J_SUBDAY(J_ADDDAY(D185,N185,1),1,1)))+SUMIFS(Holieday[Friday],Holieday[date],CONCATENATE("&gt;","=",D185),Holieday[date],CONCATENATE("&lt;","=",J_SUBDAY(J_ADDDAY(D185,N185,1),1,1))))=0,J_SUBDAY(J_ADDDAY(D185,N185,1),1,1),IF((N185-NETWORKDAYS.INTL(J_GregorianDate(D185,1),J_GregorianDate(J_SUBDAY(J_ADDDAY(D185,N185,1),1,1),1),16,1)-SUMIFS(Holieday[ok],Holieday[date],CONCATENATE("&gt;","=",D185),Holieday[date],CONCATENATE("&lt;","=",J_SUBDAY(J_ADDDAY(D185,N185,1),1,1)))+SUMIFS(Holieday[Friday],Holieday[date],CONCATENATE("&gt;","=",D185),Holieday[date],CONCATENATE("&lt;","=",J_SUBDAY(J_ADDDAY(D185,N185,1),1,1))))=1,J_SUBDAY(J_ADDDAY(D185,N185+1,1),1,1),IF((N185-NETWORKDAYS.INTL(J_GregorianDate(D185,1),J_GregorianDate(J_SUBDAY(J_ADDDAY(D185,N185,1),1,1),1),16,1)-SUMIFS(Holieday[ok],Holieday[date],CONCATENATE("&gt;","=",D185),Holieday[date],CONCATENATE("&lt;","=",J_SUBDAY(J_ADDDAY(D185,N185,1),1,1)))+SUMIFS(Holieday[Friday],Holieday[date],CONCATENATE("&gt;","=",D185),Holieday[date],CONCATENATE("&lt;","=",J_SUBDAY(J_ADDDAY(D185,N185,1),1,1))))=2,J_SUBDAY(J_ADDDAY(D185,N185+2,1),1,1),J_SUBDAY(J_ADDDAY(D185,N185+3,1),1,1)))))</f>
        <v>1398/06/30</v>
      </c>
      <c r="G185" s="2">
        <f t="shared" si="51"/>
        <v>13980630</v>
      </c>
      <c r="H185" s="109"/>
      <c r="I185" s="110">
        <v>1.1000000000000001</v>
      </c>
      <c r="J185" s="9">
        <f>j_WEEKDAY(D185,2)</f>
        <v>1</v>
      </c>
      <c r="K185" s="21">
        <f>SUM(JA185:JC185)</f>
        <v>0</v>
      </c>
      <c r="L185" s="8">
        <f t="shared" si="63"/>
        <v>0</v>
      </c>
      <c r="M185" s="111">
        <v>0</v>
      </c>
      <c r="N185" s="108">
        <v>0</v>
      </c>
      <c r="O185" s="10">
        <f t="shared" si="60"/>
        <v>0</v>
      </c>
      <c r="P185" s="10">
        <f>VALUE(J_normdate(J_ADDDAY($D185,$O185,1)))</f>
        <v>13980631</v>
      </c>
      <c r="Q185" s="9">
        <f t="shared" si="61"/>
        <v>0</v>
      </c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/>
      <c r="CQ185" s="7"/>
      <c r="CR185" s="7"/>
      <c r="CS185" s="7"/>
      <c r="CT185" s="7"/>
      <c r="CU185" s="7"/>
      <c r="CV185" s="7"/>
      <c r="CW185" s="7"/>
      <c r="CX185" s="7"/>
      <c r="CY185" s="7"/>
      <c r="CZ185" s="7"/>
      <c r="DA185" s="7"/>
      <c r="DB185" s="7"/>
      <c r="DC185" s="7"/>
      <c r="DD185" s="7"/>
      <c r="DE185" s="7"/>
      <c r="DF185" s="7"/>
      <c r="DG185" s="7"/>
      <c r="DH185" s="7"/>
      <c r="DI185" s="7"/>
      <c r="DJ185" s="7"/>
      <c r="DK185" s="7"/>
      <c r="DL185" s="7"/>
      <c r="DM185" s="7"/>
      <c r="DN185" s="7"/>
      <c r="DO185" s="7"/>
      <c r="DP185" s="7"/>
      <c r="DQ185" s="7"/>
      <c r="DR185" s="7"/>
      <c r="DS185" s="7"/>
      <c r="DT185" s="7"/>
      <c r="DU185" s="7"/>
      <c r="DV185" s="7"/>
      <c r="DW185" s="7"/>
      <c r="DX185" s="7"/>
      <c r="DY185" s="7"/>
      <c r="DZ185" s="7"/>
      <c r="EA185" s="7"/>
      <c r="EB185" s="7"/>
      <c r="EC185" s="7"/>
      <c r="ED185" s="7"/>
      <c r="EE185" s="7"/>
      <c r="EF185" s="7"/>
      <c r="EG185" s="7"/>
      <c r="EH185" s="7"/>
      <c r="EI185" s="7"/>
      <c r="EJ185" s="7"/>
      <c r="EK185" s="7"/>
      <c r="EL185" s="7"/>
      <c r="EM185" s="7"/>
      <c r="EN185" s="7"/>
      <c r="EO185" s="7"/>
      <c r="EP185" s="7"/>
      <c r="EQ185" s="7"/>
      <c r="ER185" s="7"/>
      <c r="ES185" s="7"/>
      <c r="ET185" s="7"/>
      <c r="EU185" s="7"/>
      <c r="EV185" s="7"/>
      <c r="EW185" s="7"/>
      <c r="EX185" s="7"/>
      <c r="EY185" s="7"/>
      <c r="EZ185" s="7"/>
      <c r="FA185" s="7"/>
      <c r="FB185" s="7"/>
      <c r="FC185" s="7"/>
      <c r="FD185" s="7"/>
      <c r="FE185" s="7"/>
      <c r="FF185" s="7"/>
      <c r="FG185" s="7"/>
      <c r="FH185" s="7"/>
      <c r="FI185" s="7"/>
      <c r="FJ185" s="7"/>
      <c r="FK185" s="7"/>
      <c r="FL185" s="7"/>
      <c r="FM185" s="7"/>
      <c r="FN185" s="7"/>
      <c r="FO185" s="7"/>
      <c r="FP185" s="7"/>
      <c r="FQ185" s="7"/>
      <c r="FR185" s="7"/>
      <c r="FS185" s="7"/>
      <c r="FT185" s="7"/>
      <c r="FU185" s="7"/>
      <c r="FV185" s="7"/>
      <c r="FW185" s="7"/>
      <c r="FX185" s="7"/>
      <c r="FY185" s="7"/>
      <c r="FZ185" s="7"/>
      <c r="GA185" s="7"/>
      <c r="GB185" s="7"/>
      <c r="GC185" s="7"/>
      <c r="GD185" s="7"/>
      <c r="GE185" s="7"/>
      <c r="GF185" s="7"/>
      <c r="GG185" s="7"/>
      <c r="GH185" s="7"/>
      <c r="GI185" s="7"/>
      <c r="GJ185" s="7"/>
      <c r="GK185" s="7"/>
      <c r="GL185" s="7"/>
      <c r="GM185" s="7"/>
      <c r="GN185" s="7"/>
      <c r="GO185" s="7"/>
      <c r="GP185" s="7"/>
      <c r="GQ185" s="7"/>
      <c r="GR185" s="7"/>
      <c r="GS185" s="7"/>
      <c r="GT185" s="7"/>
      <c r="GU185" s="7"/>
      <c r="GV185" s="7"/>
      <c r="GW185" s="7"/>
      <c r="GX185" s="7"/>
      <c r="GY185" s="7"/>
      <c r="GZ185" s="7"/>
      <c r="HA185" s="7"/>
      <c r="HB185" s="7"/>
      <c r="HC185" s="7"/>
      <c r="HD185" s="7"/>
      <c r="HE185" s="7"/>
      <c r="HF185" s="7"/>
      <c r="HG185" s="7"/>
      <c r="HH185" s="7"/>
      <c r="HI185" s="7"/>
      <c r="HJ185" s="7"/>
      <c r="HK185" s="7"/>
      <c r="HL185" s="7"/>
      <c r="HM185" s="7"/>
      <c r="HN185" s="7"/>
      <c r="HO185" s="7"/>
      <c r="HP185" s="7"/>
      <c r="HQ185" s="7"/>
      <c r="HR185" s="7"/>
      <c r="HS185" s="7"/>
      <c r="HT185" s="7"/>
      <c r="HU185" s="7"/>
      <c r="HV185" s="7"/>
      <c r="HW185" s="7"/>
      <c r="HX185" s="7"/>
      <c r="HY185" s="7"/>
      <c r="HZ185" s="7"/>
      <c r="IA185" s="7"/>
      <c r="IB185" s="7"/>
      <c r="IC185" s="7"/>
      <c r="ID185" s="7"/>
      <c r="IE185" s="7"/>
      <c r="IF185" s="7"/>
      <c r="IG185" s="7"/>
      <c r="IH185" s="7"/>
      <c r="II185" s="7"/>
      <c r="IJ185" s="7"/>
      <c r="IK185" s="7"/>
      <c r="IL185" s="7"/>
      <c r="IM185" s="7"/>
      <c r="IN185" s="7"/>
      <c r="IO185" s="7"/>
      <c r="IP185" s="7"/>
      <c r="IQ185" s="7"/>
      <c r="IR185" s="7"/>
      <c r="IS185" s="7"/>
      <c r="IT185" s="7"/>
      <c r="IU185" s="7"/>
      <c r="IV185" s="7"/>
      <c r="IW185" s="7"/>
      <c r="IX185" s="7"/>
      <c r="JA185" s="113"/>
      <c r="JB185" s="118"/>
      <c r="JC185" s="117"/>
      <c r="JD185" s="192">
        <f>SUM((TEXT(JA185,"[M]")/60)*'Income Person-hours'!$D$3,(TEXT(JB185,"[M]")/60)*'Income Person-hours'!$D$4,(TEXT(JC185,"[M]")/60)*'Income Person-hours'!$D$5)</f>
        <v>0</v>
      </c>
    </row>
    <row r="186" spans="1:264 16383:16384" s="11" customFormat="1" ht="11.25" hidden="1">
      <c r="A186" s="30">
        <v>8.3000000000000007</v>
      </c>
      <c r="B186" s="106"/>
      <c r="C186" s="107"/>
      <c r="D186" s="12" t="str">
        <f>IF(OR(j_WEEKDAY(J_ADDDAY(VLOOKUP(I186,A:F,6,FALSE),H186,1),0)=6,SUMIFS(Holieday[ok],Holieday[date],J_ADDDAY(VLOOKUP(I186,A:F,6,FALSE),H186,1)))=FALSE(),J_ADDDAY(VLOOKUP(I186,A:F,6,FALSE),H186,1),IF(OR(j_WEEKDAY(J_ADDDAY(VLOOKUP(I186,A:F,6,FALSE),H186+1,1),0)=6,SUMIFS(Holieday[ok],Holieday[date],J_ADDDAY(VLOOKUP(I186,A:F,6,FALSE),H186+1,1)))=FALSE(),J_ADDDAY(VLOOKUP(I186,A:F,6,FALSE),H186+1,1),IF(OR(j_WEEKDAY(J_ADDDAY(VLOOKUP(I186,A:F,6,FALSE),H186+2,1),0)=6,SUMIFS(Holieday[ok],Holieday[date],J_ADDDAY(VLOOKUP(I186,A:F,6,FALSE),H186+2,1)))=FALSE(),J_ADDDAY(VLOOKUP(I186,A:F,6,FALSE),H186+2,1),IF(OR(j_WEEKDAY(J_ADDDAY(VLOOKUP(I186,A:F,6,FALSE),H186+3,1),0)=6,SUMIFS(Holieday[ok],Holieday[date],J_ADDDAY(VLOOKUP(I186,A:F,6,FALSE),H186+3,1)))=FALSE(),J_ADDDAY(VLOOKUP(I186,A:F,6,FALSE),H186+3,1),IF(OR(j_WEEKDAY(J_ADDDAY(VLOOKUP(I186,A:F,6,FALSE),H186+4,1),0)=6,SUMIFS(Holieday[ok],Holieday[date],J_ADDDAY(VLOOKUP(I186,A:F,6,FALSE),H186+4,1)))=FALSE(),J_ADDDAY(VLOOKUP(I186,A:F,6,FALSE),H186+4,1),J_ADDDAY(VLOOKUP(I186,A:F,6,FALSE),H186+5,1))))))</f>
        <v>1398/06/31</v>
      </c>
      <c r="E186" s="1">
        <f t="shared" si="50"/>
        <v>13980631</v>
      </c>
      <c r="F186" s="12" t="str">
        <f>IF(N186=0,J_SUBDAY(D186,1,1),IF((N186-NETWORKDAYS.INTL(J_GregorianDate(D186,1),J_GregorianDate(J_SUBDAY(J_ADDDAY(D186,N186,1),1,1),1),16,1)-SUMIFS(Holieday[ok],Holieday[date],CONCATENATE("&gt;","=",D186),Holieday[date],CONCATENATE("&lt;","=",J_SUBDAY(J_ADDDAY(D186,N186,1),1,1)))+SUMIFS(Holieday[Friday],Holieday[date],CONCATENATE("&gt;","=",D186),Holieday[date],CONCATENATE("&lt;","=",J_SUBDAY(J_ADDDAY(D186,N186,1),1,1))))=0,J_SUBDAY(J_ADDDAY(D186,N186,1),1,1),IF((N186-NETWORKDAYS.INTL(J_GregorianDate(D186,1),J_GregorianDate(J_SUBDAY(J_ADDDAY(D186,N186,1),1,1),1),16,1)-SUMIFS(Holieday[ok],Holieday[date],CONCATENATE("&gt;","=",D186),Holieday[date],CONCATENATE("&lt;","=",J_SUBDAY(J_ADDDAY(D186,N186,1),1,1)))+SUMIFS(Holieday[Friday],Holieday[date],CONCATENATE("&gt;","=",D186),Holieday[date],CONCATENATE("&lt;","=",J_SUBDAY(J_ADDDAY(D186,N186,1),1,1))))=1,J_SUBDAY(J_ADDDAY(D186,N186+1,1),1,1),IF((N186-NETWORKDAYS.INTL(J_GregorianDate(D186,1),J_GregorianDate(J_SUBDAY(J_ADDDAY(D186,N186,1),1,1),1),16,1)-SUMIFS(Holieday[ok],Holieday[date],CONCATENATE("&gt;","=",D186),Holieday[date],CONCATENATE("&lt;","=",J_SUBDAY(J_ADDDAY(D186,N186,1),1,1)))+SUMIFS(Holieday[Friday],Holieday[date],CONCATENATE("&gt;","=",D186),Holieday[date],CONCATENATE("&lt;","=",J_SUBDAY(J_ADDDAY(D186,N186,1),1,1))))=2,J_SUBDAY(J_ADDDAY(D186,N186+2,1),1,1),J_SUBDAY(J_ADDDAY(D186,N186+3,1),1,1)))))</f>
        <v>1398/06/30</v>
      </c>
      <c r="G186" s="2">
        <f t="shared" si="51"/>
        <v>13980630</v>
      </c>
      <c r="H186" s="109"/>
      <c r="I186" s="110">
        <v>1.1000000000000001</v>
      </c>
      <c r="J186" s="9">
        <f>j_WEEKDAY(D186,2)</f>
        <v>1</v>
      </c>
      <c r="K186" s="21">
        <f t="shared" si="62"/>
        <v>0</v>
      </c>
      <c r="L186" s="8">
        <f t="shared" si="63"/>
        <v>0</v>
      </c>
      <c r="M186" s="111">
        <v>0</v>
      </c>
      <c r="N186" s="108">
        <v>0</v>
      </c>
      <c r="O186" s="10">
        <f t="shared" si="60"/>
        <v>0</v>
      </c>
      <c r="P186" s="10">
        <f>VALUE(J_normdate(J_ADDDAY($D186,$O186,1)))</f>
        <v>13980631</v>
      </c>
      <c r="Q186" s="9">
        <f t="shared" si="61"/>
        <v>0</v>
      </c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/>
      <c r="CQ186" s="7"/>
      <c r="CR186" s="7"/>
      <c r="CS186" s="7"/>
      <c r="CT186" s="7"/>
      <c r="CU186" s="7"/>
      <c r="CV186" s="7"/>
      <c r="CW186" s="7"/>
      <c r="CX186" s="7"/>
      <c r="CY186" s="7"/>
      <c r="CZ186" s="7"/>
      <c r="DA186" s="7"/>
      <c r="DB186" s="7"/>
      <c r="DC186" s="7"/>
      <c r="DD186" s="7"/>
      <c r="DE186" s="7"/>
      <c r="DF186" s="7"/>
      <c r="DG186" s="7"/>
      <c r="DH186" s="7"/>
      <c r="DI186" s="7"/>
      <c r="DJ186" s="7"/>
      <c r="DK186" s="7"/>
      <c r="DL186" s="7"/>
      <c r="DM186" s="7"/>
      <c r="DN186" s="7"/>
      <c r="DO186" s="7"/>
      <c r="DP186" s="7"/>
      <c r="DQ186" s="7"/>
      <c r="DR186" s="7"/>
      <c r="DS186" s="7"/>
      <c r="DT186" s="7"/>
      <c r="DU186" s="7"/>
      <c r="DV186" s="7"/>
      <c r="DW186" s="7"/>
      <c r="DX186" s="7"/>
      <c r="DY186" s="7"/>
      <c r="DZ186" s="7"/>
      <c r="EA186" s="7"/>
      <c r="EB186" s="7"/>
      <c r="EC186" s="7"/>
      <c r="ED186" s="7"/>
      <c r="EE186" s="7"/>
      <c r="EF186" s="7"/>
      <c r="EG186" s="7"/>
      <c r="EH186" s="7"/>
      <c r="EI186" s="7"/>
      <c r="EJ186" s="7"/>
      <c r="EK186" s="7"/>
      <c r="EL186" s="7"/>
      <c r="EM186" s="7"/>
      <c r="EN186" s="7"/>
      <c r="EO186" s="7"/>
      <c r="EP186" s="7"/>
      <c r="EQ186" s="7"/>
      <c r="ER186" s="7"/>
      <c r="ES186" s="7"/>
      <c r="ET186" s="7"/>
      <c r="EU186" s="7"/>
      <c r="EV186" s="7"/>
      <c r="EW186" s="7"/>
      <c r="EX186" s="7"/>
      <c r="EY186" s="7"/>
      <c r="EZ186" s="7"/>
      <c r="FA186" s="7"/>
      <c r="FB186" s="7"/>
      <c r="FC186" s="7"/>
      <c r="FD186" s="7"/>
      <c r="FE186" s="7"/>
      <c r="FF186" s="7"/>
      <c r="FG186" s="7"/>
      <c r="FH186" s="7"/>
      <c r="FI186" s="7"/>
      <c r="FJ186" s="7"/>
      <c r="FK186" s="7"/>
      <c r="FL186" s="7"/>
      <c r="FM186" s="7"/>
      <c r="FN186" s="7"/>
      <c r="FO186" s="7"/>
      <c r="FP186" s="7"/>
      <c r="FQ186" s="7"/>
      <c r="FR186" s="7"/>
      <c r="FS186" s="7"/>
      <c r="FT186" s="7"/>
      <c r="FU186" s="7"/>
      <c r="FV186" s="7"/>
      <c r="FW186" s="7"/>
      <c r="FX186" s="7"/>
      <c r="FY186" s="7"/>
      <c r="FZ186" s="7"/>
      <c r="GA186" s="7"/>
      <c r="GB186" s="7"/>
      <c r="GC186" s="7"/>
      <c r="GD186" s="7"/>
      <c r="GE186" s="7"/>
      <c r="GF186" s="7"/>
      <c r="GG186" s="7"/>
      <c r="GH186" s="7"/>
      <c r="GI186" s="7"/>
      <c r="GJ186" s="7"/>
      <c r="GK186" s="7"/>
      <c r="GL186" s="7"/>
      <c r="GM186" s="7"/>
      <c r="GN186" s="7"/>
      <c r="GO186" s="7"/>
      <c r="GP186" s="7"/>
      <c r="GQ186" s="7"/>
      <c r="GR186" s="7"/>
      <c r="GS186" s="7"/>
      <c r="GT186" s="7"/>
      <c r="GU186" s="7"/>
      <c r="GV186" s="7"/>
      <c r="GW186" s="7"/>
      <c r="GX186" s="7"/>
      <c r="GY186" s="7"/>
      <c r="GZ186" s="7"/>
      <c r="HA186" s="7"/>
      <c r="HB186" s="7"/>
      <c r="HC186" s="7"/>
      <c r="HD186" s="7"/>
      <c r="HE186" s="7"/>
      <c r="HF186" s="7"/>
      <c r="HG186" s="7"/>
      <c r="HH186" s="7"/>
      <c r="HI186" s="7"/>
      <c r="HJ186" s="7"/>
      <c r="HK186" s="7"/>
      <c r="HL186" s="7"/>
      <c r="HM186" s="7"/>
      <c r="HN186" s="7"/>
      <c r="HO186" s="7"/>
      <c r="HP186" s="7"/>
      <c r="HQ186" s="7"/>
      <c r="HR186" s="7"/>
      <c r="HS186" s="7"/>
      <c r="HT186" s="7"/>
      <c r="HU186" s="7"/>
      <c r="HV186" s="7"/>
      <c r="HW186" s="7"/>
      <c r="HX186" s="7"/>
      <c r="HY186" s="7"/>
      <c r="HZ186" s="7"/>
      <c r="IA186" s="7"/>
      <c r="IB186" s="7"/>
      <c r="IC186" s="7"/>
      <c r="ID186" s="7"/>
      <c r="IE186" s="7"/>
      <c r="IF186" s="7"/>
      <c r="IG186" s="7"/>
      <c r="IH186" s="7"/>
      <c r="II186" s="7"/>
      <c r="IJ186" s="7"/>
      <c r="IK186" s="7"/>
      <c r="IL186" s="7"/>
      <c r="IM186" s="7"/>
      <c r="IN186" s="7"/>
      <c r="IO186" s="7"/>
      <c r="IP186" s="7"/>
      <c r="IQ186" s="7"/>
      <c r="IR186" s="7"/>
      <c r="IS186" s="7"/>
      <c r="IT186" s="7"/>
      <c r="IU186" s="7"/>
      <c r="IV186" s="7"/>
      <c r="IW186" s="7"/>
      <c r="IX186" s="7"/>
      <c r="JA186" s="113"/>
      <c r="JB186" s="113"/>
      <c r="JC186" s="117"/>
      <c r="JD186" s="192">
        <f>SUM((TEXT(JA186,"[M]")/60)*'Income Person-hours'!$D$3,(TEXT(JB186,"[M]")/60)*'Income Person-hours'!$D$4,(TEXT(JC186,"[M]")/60)*'Income Person-hours'!$D$5)</f>
        <v>0</v>
      </c>
    </row>
    <row r="187" spans="1:264 16383:16384" s="191" customFormat="1" ht="11.25" hidden="1">
      <c r="A187" s="176">
        <v>8.4</v>
      </c>
      <c r="B187" s="106"/>
      <c r="C187" s="107"/>
      <c r="D187" s="172" t="str">
        <f>IF(OR(j_WEEKDAY(J_ADDDAY(VLOOKUP(I187,A:F,6,FALSE),H187,1),0)=6,SUMIFS(Holieday[ok],Holieday[date],J_ADDDAY(VLOOKUP(I187,A:F,6,FALSE),H187,1)))=FALSE(),J_ADDDAY(VLOOKUP(I187,A:F,6,FALSE),H187,1),IF(OR(j_WEEKDAY(J_ADDDAY(VLOOKUP(I187,A:F,6,FALSE),H187+1,1),0)=6,SUMIFS(Holieday[ok],Holieday[date],J_ADDDAY(VLOOKUP(I187,A:F,6,FALSE),H187+1,1)))=FALSE(),J_ADDDAY(VLOOKUP(I187,A:F,6,FALSE),H187+1,1),IF(OR(j_WEEKDAY(J_ADDDAY(VLOOKUP(I187,A:F,6,FALSE),H187+2,1),0)=6,SUMIFS(Holieday[ok],Holieday[date],J_ADDDAY(VLOOKUP(I187,A:F,6,FALSE),H187+2,1)))=FALSE(),J_ADDDAY(VLOOKUP(I187,A:F,6,FALSE),H187+2,1),IF(OR(j_WEEKDAY(J_ADDDAY(VLOOKUP(I187,A:F,6,FALSE),H187+3,1),0)=6,SUMIFS(Holieday[ok],Holieday[date],J_ADDDAY(VLOOKUP(I187,A:F,6,FALSE),H187+3,1)))=FALSE(),J_ADDDAY(VLOOKUP(I187,A:F,6,FALSE),H187+3,1),IF(OR(j_WEEKDAY(J_ADDDAY(VLOOKUP(I187,A:F,6,FALSE),H187+4,1),0)=6,SUMIFS(Holieday[ok],Holieday[date],J_ADDDAY(VLOOKUP(I187,A:F,6,FALSE),H187+4,1)))=FALSE(),J_ADDDAY(VLOOKUP(I187,A:F,6,FALSE),H187+4,1),J_ADDDAY(VLOOKUP(I187,A:F,6,FALSE),H187+5,1))))))</f>
        <v>1398/06/31</v>
      </c>
      <c r="E187" s="160">
        <f t="shared" si="50"/>
        <v>13980631</v>
      </c>
      <c r="F187" s="172" t="str">
        <f>IF(N187=0,J_SUBDAY(D187,1,1),IF((N187-NETWORKDAYS.INTL(J_GregorianDate(D187,1),J_GregorianDate(J_SUBDAY(J_ADDDAY(D187,N187,1),1,1),1),16,1)-SUMIFS(Holieday[ok],Holieday[date],CONCATENATE("&gt;","=",D187),Holieday[date],CONCATENATE("&lt;","=",J_SUBDAY(J_ADDDAY(D187,N187,1),1,1)))+SUMIFS(Holieday[Friday],Holieday[date],CONCATENATE("&gt;","=",D187),Holieday[date],CONCATENATE("&lt;","=",J_SUBDAY(J_ADDDAY(D187,N187,1),1,1))))=0,J_SUBDAY(J_ADDDAY(D187,N187,1),1,1),IF((N187-NETWORKDAYS.INTL(J_GregorianDate(D187,1),J_GregorianDate(J_SUBDAY(J_ADDDAY(D187,N187,1),1,1),1),16,1)-SUMIFS(Holieday[ok],Holieday[date],CONCATENATE("&gt;","=",D187),Holieday[date],CONCATENATE("&lt;","=",J_SUBDAY(J_ADDDAY(D187,N187,1),1,1)))+SUMIFS(Holieday[Friday],Holieday[date],CONCATENATE("&gt;","=",D187),Holieday[date],CONCATENATE("&lt;","=",J_SUBDAY(J_ADDDAY(D187,N187,1),1,1))))=1,J_SUBDAY(J_ADDDAY(D187,N187+1,1),1,1),IF((N187-NETWORKDAYS.INTL(J_GregorianDate(D187,1),J_GregorianDate(J_SUBDAY(J_ADDDAY(D187,N187,1),1,1),1),16,1)-SUMIFS(Holieday[ok],Holieday[date],CONCATENATE("&gt;","=",D187),Holieday[date],CONCATENATE("&lt;","=",J_SUBDAY(J_ADDDAY(D187,N187,1),1,1)))+SUMIFS(Holieday[Friday],Holieday[date],CONCATENATE("&gt;","=",D187),Holieday[date],CONCATENATE("&lt;","=",J_SUBDAY(J_ADDDAY(D187,N187,1),1,1))))=2,J_SUBDAY(J_ADDDAY(D187,N187+2,1),1,1),J_SUBDAY(J_ADDDAY(D187,N187+3,1),1,1)))))</f>
        <v>1398/06/30</v>
      </c>
      <c r="G187" s="163">
        <f t="shared" si="51"/>
        <v>13980630</v>
      </c>
      <c r="H187" s="109"/>
      <c r="I187" s="110">
        <v>1.1000000000000001</v>
      </c>
      <c r="J187" s="171">
        <f>j_WEEKDAY(D187,2)</f>
        <v>1</v>
      </c>
      <c r="K187" s="173">
        <f t="shared" si="62"/>
        <v>0</v>
      </c>
      <c r="L187" s="174">
        <f t="shared" si="63"/>
        <v>0</v>
      </c>
      <c r="M187" s="111">
        <v>0</v>
      </c>
      <c r="N187" s="108">
        <v>0</v>
      </c>
      <c r="O187" s="175">
        <f t="shared" si="60"/>
        <v>0</v>
      </c>
      <c r="P187" s="175">
        <f>VALUE(J_normdate(J_ADDDAY($D187,$O187,1)))</f>
        <v>13980631</v>
      </c>
      <c r="Q187" s="171">
        <f t="shared" si="61"/>
        <v>0</v>
      </c>
      <c r="R187" s="169"/>
      <c r="S187" s="169"/>
      <c r="T187" s="169"/>
      <c r="U187" s="169"/>
      <c r="V187" s="169"/>
      <c r="W187" s="169"/>
      <c r="X187" s="169"/>
      <c r="Y187" s="169"/>
      <c r="Z187" s="169"/>
      <c r="AA187" s="169"/>
      <c r="AB187" s="169"/>
      <c r="AC187" s="169"/>
      <c r="AD187" s="169"/>
      <c r="AE187" s="169"/>
      <c r="AF187" s="169"/>
      <c r="AG187" s="169"/>
      <c r="AH187" s="169"/>
      <c r="AI187" s="169"/>
      <c r="AJ187" s="169"/>
      <c r="AK187" s="169"/>
      <c r="AL187" s="169"/>
      <c r="AM187" s="169"/>
      <c r="AN187" s="169"/>
      <c r="AO187" s="169"/>
      <c r="AP187" s="169"/>
      <c r="AQ187" s="169"/>
      <c r="AR187" s="169"/>
      <c r="AS187" s="169"/>
      <c r="AT187" s="169"/>
      <c r="AU187" s="169"/>
      <c r="AV187" s="169"/>
      <c r="AW187" s="169"/>
      <c r="AX187" s="169"/>
      <c r="AY187" s="169"/>
      <c r="AZ187" s="169"/>
      <c r="BA187" s="169"/>
      <c r="BB187" s="169"/>
      <c r="BC187" s="169"/>
      <c r="BD187" s="169"/>
      <c r="BE187" s="169"/>
      <c r="BF187" s="169"/>
      <c r="BG187" s="169"/>
      <c r="BH187" s="169"/>
      <c r="BI187" s="169"/>
      <c r="BJ187" s="169"/>
      <c r="BK187" s="169"/>
      <c r="BL187" s="169"/>
      <c r="BM187" s="169"/>
      <c r="BN187" s="169"/>
      <c r="BO187" s="169"/>
      <c r="BP187" s="169"/>
      <c r="BQ187" s="169"/>
      <c r="BR187" s="169"/>
      <c r="BS187" s="169"/>
      <c r="BT187" s="169"/>
      <c r="BU187" s="169"/>
      <c r="BV187" s="169"/>
      <c r="BW187" s="169"/>
      <c r="BX187" s="169"/>
      <c r="BY187" s="169"/>
      <c r="BZ187" s="169"/>
      <c r="CA187" s="169"/>
      <c r="CB187" s="169"/>
      <c r="CC187" s="169"/>
      <c r="CD187" s="169"/>
      <c r="CE187" s="169"/>
      <c r="CF187" s="169"/>
      <c r="CG187" s="169"/>
      <c r="CH187" s="169"/>
      <c r="CI187" s="169"/>
      <c r="CJ187" s="169"/>
      <c r="CK187" s="169"/>
      <c r="CL187" s="169"/>
      <c r="CM187" s="169"/>
      <c r="CN187" s="169"/>
      <c r="CO187" s="169"/>
      <c r="CP187" s="169"/>
      <c r="CQ187" s="169"/>
      <c r="CR187" s="169"/>
      <c r="CS187" s="169"/>
      <c r="CT187" s="169"/>
      <c r="CU187" s="169"/>
      <c r="CV187" s="169"/>
      <c r="CW187" s="169"/>
      <c r="CX187" s="169"/>
      <c r="CY187" s="169"/>
      <c r="CZ187" s="169"/>
      <c r="DA187" s="169"/>
      <c r="DB187" s="169"/>
      <c r="DC187" s="169"/>
      <c r="DD187" s="169"/>
      <c r="DE187" s="169"/>
      <c r="DF187" s="169"/>
      <c r="DG187" s="169"/>
      <c r="DH187" s="169"/>
      <c r="DI187" s="169"/>
      <c r="DJ187" s="169"/>
      <c r="DK187" s="169"/>
      <c r="DL187" s="169"/>
      <c r="DM187" s="169"/>
      <c r="DN187" s="169"/>
      <c r="DO187" s="169"/>
      <c r="DP187" s="169"/>
      <c r="DQ187" s="169"/>
      <c r="DR187" s="169"/>
      <c r="DS187" s="169"/>
      <c r="DT187" s="169"/>
      <c r="DU187" s="169"/>
      <c r="DV187" s="169"/>
      <c r="DW187" s="169"/>
      <c r="DX187" s="169"/>
      <c r="DY187" s="169"/>
      <c r="DZ187" s="169"/>
      <c r="EA187" s="169"/>
      <c r="EB187" s="169"/>
      <c r="EC187" s="169"/>
      <c r="ED187" s="169"/>
      <c r="EE187" s="169"/>
      <c r="EF187" s="169"/>
      <c r="EG187" s="169"/>
      <c r="EH187" s="169"/>
      <c r="EI187" s="169"/>
      <c r="EJ187" s="169"/>
      <c r="EK187" s="169"/>
      <c r="EL187" s="169"/>
      <c r="EM187" s="169"/>
      <c r="EN187" s="169"/>
      <c r="EO187" s="169"/>
      <c r="EP187" s="169"/>
      <c r="EQ187" s="169"/>
      <c r="ER187" s="169"/>
      <c r="ES187" s="169"/>
      <c r="ET187" s="169"/>
      <c r="EU187" s="169"/>
      <c r="EV187" s="169"/>
      <c r="EW187" s="169"/>
      <c r="EX187" s="169"/>
      <c r="EY187" s="169"/>
      <c r="EZ187" s="169"/>
      <c r="FA187" s="169"/>
      <c r="FB187" s="169"/>
      <c r="FC187" s="169"/>
      <c r="FD187" s="169"/>
      <c r="FE187" s="169"/>
      <c r="FF187" s="169"/>
      <c r="FG187" s="169"/>
      <c r="FH187" s="169"/>
      <c r="FI187" s="169"/>
      <c r="FJ187" s="169"/>
      <c r="FK187" s="169"/>
      <c r="FL187" s="169"/>
      <c r="FM187" s="169"/>
      <c r="FN187" s="169"/>
      <c r="FO187" s="169"/>
      <c r="FP187" s="169"/>
      <c r="FQ187" s="169"/>
      <c r="FR187" s="169"/>
      <c r="FS187" s="169"/>
      <c r="FT187" s="169"/>
      <c r="FU187" s="169"/>
      <c r="FV187" s="169"/>
      <c r="FW187" s="169"/>
      <c r="FX187" s="169"/>
      <c r="FY187" s="169"/>
      <c r="FZ187" s="169"/>
      <c r="GA187" s="169"/>
      <c r="GB187" s="169"/>
      <c r="GC187" s="169"/>
      <c r="GD187" s="169"/>
      <c r="GE187" s="169"/>
      <c r="GF187" s="169"/>
      <c r="GG187" s="169"/>
      <c r="GH187" s="169"/>
      <c r="GI187" s="169"/>
      <c r="GJ187" s="169"/>
      <c r="GK187" s="169"/>
      <c r="GL187" s="169"/>
      <c r="GM187" s="169"/>
      <c r="GN187" s="169"/>
      <c r="GO187" s="169"/>
      <c r="GP187" s="169"/>
      <c r="GQ187" s="169"/>
      <c r="GR187" s="169"/>
      <c r="GS187" s="169"/>
      <c r="GT187" s="169"/>
      <c r="GU187" s="169"/>
      <c r="GV187" s="169"/>
      <c r="GW187" s="169"/>
      <c r="GX187" s="169"/>
      <c r="GY187" s="169"/>
      <c r="GZ187" s="169"/>
      <c r="HA187" s="169"/>
      <c r="HB187" s="169"/>
      <c r="HC187" s="169"/>
      <c r="HD187" s="169"/>
      <c r="HE187" s="169"/>
      <c r="HF187" s="169"/>
      <c r="HG187" s="169"/>
      <c r="HH187" s="169"/>
      <c r="HI187" s="169"/>
      <c r="HJ187" s="169"/>
      <c r="HK187" s="169"/>
      <c r="HL187" s="169"/>
      <c r="HM187" s="169"/>
      <c r="HN187" s="169"/>
      <c r="HO187" s="169"/>
      <c r="HP187" s="169"/>
      <c r="HQ187" s="169"/>
      <c r="HR187" s="169"/>
      <c r="HS187" s="169"/>
      <c r="HT187" s="169"/>
      <c r="HU187" s="169"/>
      <c r="HV187" s="169"/>
      <c r="HW187" s="169"/>
      <c r="HX187" s="169"/>
      <c r="HY187" s="169"/>
      <c r="HZ187" s="169"/>
      <c r="IA187" s="169"/>
      <c r="IB187" s="169"/>
      <c r="IC187" s="169"/>
      <c r="ID187" s="169"/>
      <c r="IE187" s="169"/>
      <c r="IF187" s="169"/>
      <c r="IG187" s="169"/>
      <c r="IH187" s="169"/>
      <c r="II187" s="169"/>
      <c r="IJ187" s="169"/>
      <c r="IK187" s="169"/>
      <c r="IL187" s="169"/>
      <c r="IM187" s="169"/>
      <c r="IN187" s="169"/>
      <c r="IO187" s="169"/>
      <c r="IP187" s="169"/>
      <c r="IQ187" s="169"/>
      <c r="IR187" s="169"/>
      <c r="IS187" s="169"/>
      <c r="IT187" s="169"/>
      <c r="IU187" s="169"/>
      <c r="IV187" s="169"/>
      <c r="IW187" s="169"/>
      <c r="IX187" s="169"/>
      <c r="IY187" s="11"/>
      <c r="IZ187" s="11"/>
      <c r="JA187" s="113"/>
      <c r="JC187" s="204"/>
      <c r="JD187" s="192">
        <f>SUM((TEXT(JA187,"[M]")/60)*'Income Person-hours'!$D$3,(TEXT(JB187,"[M]")/60)*'Income Person-hours'!$D$4,(TEXT(JC187,"[M]")/60)*'Income Person-hours'!$D$5)</f>
        <v>0</v>
      </c>
    </row>
    <row r="188" spans="1:264 16383:16384" s="11" customFormat="1" ht="11.25" hidden="1">
      <c r="A188" s="176">
        <v>8.5</v>
      </c>
      <c r="B188" s="106"/>
      <c r="C188" s="107"/>
      <c r="D188" s="12" t="str">
        <f>IF(OR(j_WEEKDAY(J_ADDDAY(VLOOKUP(I188,A:F,6,FALSE),H188,1),0)=6,SUMIFS(Holieday[ok],Holieday[date],J_ADDDAY(VLOOKUP(I188,A:F,6,FALSE),H188,1)))=FALSE(),J_ADDDAY(VLOOKUP(I188,A:F,6,FALSE),H188,1),IF(OR(j_WEEKDAY(J_ADDDAY(VLOOKUP(I188,A:F,6,FALSE),H188+1,1),0)=6,SUMIFS(Holieday[ok],Holieday[date],J_ADDDAY(VLOOKUP(I188,A:F,6,FALSE),H188+1,1)))=FALSE(),J_ADDDAY(VLOOKUP(I188,A:F,6,FALSE),H188+1,1),IF(OR(j_WEEKDAY(J_ADDDAY(VLOOKUP(I188,A:F,6,FALSE),H188+2,1),0)=6,SUMIFS(Holieday[ok],Holieday[date],J_ADDDAY(VLOOKUP(I188,A:F,6,FALSE),H188+2,1)))=FALSE(),J_ADDDAY(VLOOKUP(I188,A:F,6,FALSE),H188+2,1),IF(OR(j_WEEKDAY(J_ADDDAY(VLOOKUP(I188,A:F,6,FALSE),H188+3,1),0)=6,SUMIFS(Holieday[ok],Holieday[date],J_ADDDAY(VLOOKUP(I188,A:F,6,FALSE),H188+3,1)))=FALSE(),J_ADDDAY(VLOOKUP(I188,A:F,6,FALSE),H188+3,1),IF(OR(j_WEEKDAY(J_ADDDAY(VLOOKUP(I188,A:F,6,FALSE),H188+4,1),0)=6,SUMIFS(Holieday[ok],Holieday[date],J_ADDDAY(VLOOKUP(I188,A:F,6,FALSE),H188+4,1)))=FALSE(),J_ADDDAY(VLOOKUP(I188,A:F,6,FALSE),H188+4,1),J_ADDDAY(VLOOKUP(I188,A:F,6,FALSE),H188+5,1))))))</f>
        <v>1398/06/31</v>
      </c>
      <c r="E188" s="1">
        <f t="shared" si="50"/>
        <v>13980631</v>
      </c>
      <c r="F188" s="12" t="str">
        <f>IF(N188=0,J_SUBDAY(D188,1,1),IF((N188-NETWORKDAYS.INTL(J_GregorianDate(D188,1),J_GregorianDate(J_SUBDAY(J_ADDDAY(D188,N188,1),1,1),1),16,1)-SUMIFS(Holieday[ok],Holieday[date],CONCATENATE("&gt;","=",D188),Holieday[date],CONCATENATE("&lt;","=",J_SUBDAY(J_ADDDAY(D188,N188,1),1,1)))+SUMIFS(Holieday[Friday],Holieday[date],CONCATENATE("&gt;","=",D188),Holieday[date],CONCATENATE("&lt;","=",J_SUBDAY(J_ADDDAY(D188,N188,1),1,1))))=0,J_SUBDAY(J_ADDDAY(D188,N188,1),1,1),IF((N188-NETWORKDAYS.INTL(J_GregorianDate(D188,1),J_GregorianDate(J_SUBDAY(J_ADDDAY(D188,N188,1),1,1),1),16,1)-SUMIFS(Holieday[ok],Holieday[date],CONCATENATE("&gt;","=",D188),Holieday[date],CONCATENATE("&lt;","=",J_SUBDAY(J_ADDDAY(D188,N188,1),1,1)))+SUMIFS(Holieday[Friday],Holieday[date],CONCATENATE("&gt;","=",D188),Holieday[date],CONCATENATE("&lt;","=",J_SUBDAY(J_ADDDAY(D188,N188,1),1,1))))=1,J_SUBDAY(J_ADDDAY(D188,N188+1,1),1,1),IF((N188-NETWORKDAYS.INTL(J_GregorianDate(D188,1),J_GregorianDate(J_SUBDAY(J_ADDDAY(D188,N188,1),1,1),1),16,1)-SUMIFS(Holieday[ok],Holieday[date],CONCATENATE("&gt;","=",D188),Holieday[date],CONCATENATE("&lt;","=",J_SUBDAY(J_ADDDAY(D188,N188,1),1,1)))+SUMIFS(Holieday[Friday],Holieday[date],CONCATENATE("&gt;","=",D188),Holieday[date],CONCATENATE("&lt;","=",J_SUBDAY(J_ADDDAY(D188,N188,1),1,1))))=2,J_SUBDAY(J_ADDDAY(D188,N188+2,1),1,1),J_SUBDAY(J_ADDDAY(D188,N188+3,1),1,1)))))</f>
        <v>1398/06/30</v>
      </c>
      <c r="G188" s="2">
        <f t="shared" si="51"/>
        <v>13980630</v>
      </c>
      <c r="H188" s="109"/>
      <c r="I188" s="110">
        <v>1.1000000000000001</v>
      </c>
      <c r="J188" s="9">
        <f>j_WEEKDAY(D188,2)</f>
        <v>1</v>
      </c>
      <c r="K188" s="21">
        <f t="shared" si="62"/>
        <v>0</v>
      </c>
      <c r="L188" s="8">
        <f t="shared" si="63"/>
        <v>0</v>
      </c>
      <c r="M188" s="111">
        <v>0</v>
      </c>
      <c r="N188" s="108">
        <v>0</v>
      </c>
      <c r="O188" s="10">
        <f t="shared" si="60"/>
        <v>0</v>
      </c>
      <c r="P188" s="10">
        <f>VALUE(J_normdate(J_ADDDAY($D188,$O188,1)))</f>
        <v>13980631</v>
      </c>
      <c r="Q188" s="9">
        <f t="shared" si="61"/>
        <v>0</v>
      </c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/>
      <c r="CA188" s="7"/>
      <c r="CB188" s="7"/>
      <c r="CC188" s="7"/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/>
      <c r="CQ188" s="7"/>
      <c r="CR188" s="7"/>
      <c r="CS188" s="7"/>
      <c r="CT188" s="7"/>
      <c r="CU188" s="7"/>
      <c r="CV188" s="7"/>
      <c r="CW188" s="7"/>
      <c r="CX188" s="7"/>
      <c r="CY188" s="7"/>
      <c r="CZ188" s="7"/>
      <c r="DA188" s="7"/>
      <c r="DB188" s="7"/>
      <c r="DC188" s="7"/>
      <c r="DD188" s="7"/>
      <c r="DE188" s="7"/>
      <c r="DF188" s="7"/>
      <c r="DG188" s="7"/>
      <c r="DH188" s="7"/>
      <c r="DI188" s="7"/>
      <c r="DJ188" s="7"/>
      <c r="DK188" s="7"/>
      <c r="DL188" s="7"/>
      <c r="DM188" s="7"/>
      <c r="DN188" s="7"/>
      <c r="DO188" s="7"/>
      <c r="DP188" s="7"/>
      <c r="DQ188" s="7"/>
      <c r="DR188" s="7"/>
      <c r="DS188" s="7"/>
      <c r="DT188" s="7"/>
      <c r="DU188" s="7"/>
      <c r="DV188" s="7"/>
      <c r="DW188" s="7"/>
      <c r="DX188" s="7"/>
      <c r="DY188" s="7"/>
      <c r="DZ188" s="7"/>
      <c r="EA188" s="7"/>
      <c r="EB188" s="7"/>
      <c r="EC188" s="7"/>
      <c r="ED188" s="7"/>
      <c r="EE188" s="7"/>
      <c r="EF188" s="7"/>
      <c r="EG188" s="7"/>
      <c r="EH188" s="7"/>
      <c r="EI188" s="7"/>
      <c r="EJ188" s="7"/>
      <c r="EK188" s="7"/>
      <c r="EL188" s="7"/>
      <c r="EM188" s="7"/>
      <c r="EN188" s="7"/>
      <c r="EO188" s="7"/>
      <c r="EP188" s="7"/>
      <c r="EQ188" s="7"/>
      <c r="ER188" s="7"/>
      <c r="ES188" s="7"/>
      <c r="ET188" s="7"/>
      <c r="EU188" s="7"/>
      <c r="EV188" s="7"/>
      <c r="EW188" s="7"/>
      <c r="EX188" s="7"/>
      <c r="EY188" s="7"/>
      <c r="EZ188" s="7"/>
      <c r="FA188" s="7"/>
      <c r="FB188" s="7"/>
      <c r="FC188" s="7"/>
      <c r="FD188" s="7"/>
      <c r="FE188" s="7"/>
      <c r="FF188" s="7"/>
      <c r="FG188" s="7"/>
      <c r="FH188" s="7"/>
      <c r="FI188" s="7"/>
      <c r="FJ188" s="7"/>
      <c r="FK188" s="7"/>
      <c r="FL188" s="7"/>
      <c r="FM188" s="7"/>
      <c r="FN188" s="7"/>
      <c r="FO188" s="7"/>
      <c r="FP188" s="7"/>
      <c r="FQ188" s="7"/>
      <c r="FR188" s="7"/>
      <c r="FS188" s="7"/>
      <c r="FT188" s="7"/>
      <c r="FU188" s="7"/>
      <c r="FV188" s="7"/>
      <c r="FW188" s="7"/>
      <c r="FX188" s="7"/>
      <c r="FY188" s="7"/>
      <c r="FZ188" s="7"/>
      <c r="GA188" s="7"/>
      <c r="GB188" s="7"/>
      <c r="GC188" s="7"/>
      <c r="GD188" s="7"/>
      <c r="GE188" s="7"/>
      <c r="GF188" s="7"/>
      <c r="GG188" s="7"/>
      <c r="GH188" s="7"/>
      <c r="GI188" s="7"/>
      <c r="GJ188" s="7"/>
      <c r="GK188" s="7"/>
      <c r="GL188" s="7"/>
      <c r="GM188" s="7"/>
      <c r="GN188" s="7"/>
      <c r="GO188" s="7"/>
      <c r="GP188" s="7"/>
      <c r="GQ188" s="7"/>
      <c r="GR188" s="7"/>
      <c r="GS188" s="7"/>
      <c r="GT188" s="7"/>
      <c r="GU188" s="7"/>
      <c r="GV188" s="7"/>
      <c r="GW188" s="7"/>
      <c r="GX188" s="7"/>
      <c r="GY188" s="7"/>
      <c r="GZ188" s="7"/>
      <c r="HA188" s="7"/>
      <c r="HB188" s="7"/>
      <c r="HC188" s="7"/>
      <c r="HD188" s="7"/>
      <c r="HE188" s="7"/>
      <c r="HF188" s="7"/>
      <c r="HG188" s="7"/>
      <c r="HH188" s="7"/>
      <c r="HI188" s="7"/>
      <c r="HJ188" s="7"/>
      <c r="HK188" s="7"/>
      <c r="HL188" s="7"/>
      <c r="HM188" s="7"/>
      <c r="HN188" s="7"/>
      <c r="HO188" s="7"/>
      <c r="HP188" s="7"/>
      <c r="HQ188" s="7"/>
      <c r="HR188" s="7"/>
      <c r="HS188" s="7"/>
      <c r="HT188" s="7"/>
      <c r="HU188" s="7"/>
      <c r="HV188" s="7"/>
      <c r="HW188" s="7"/>
      <c r="HX188" s="7"/>
      <c r="HY188" s="7"/>
      <c r="HZ188" s="7"/>
      <c r="IA188" s="7"/>
      <c r="IB188" s="7"/>
      <c r="IC188" s="7"/>
      <c r="ID188" s="7"/>
      <c r="IE188" s="7"/>
      <c r="IF188" s="7"/>
      <c r="IG188" s="7"/>
      <c r="IH188" s="7"/>
      <c r="II188" s="7"/>
      <c r="IJ188" s="7"/>
      <c r="IK188" s="7"/>
      <c r="IL188" s="7"/>
      <c r="IM188" s="7"/>
      <c r="IN188" s="7"/>
      <c r="IO188" s="7"/>
      <c r="IP188" s="7"/>
      <c r="IQ188" s="7"/>
      <c r="IR188" s="7"/>
      <c r="IS188" s="7"/>
      <c r="IT188" s="7"/>
      <c r="IU188" s="7"/>
      <c r="IV188" s="7"/>
      <c r="IW188" s="7"/>
      <c r="IX188" s="7"/>
      <c r="JA188" s="113"/>
      <c r="JB188" s="113"/>
      <c r="JC188" s="113"/>
      <c r="JD188" s="192">
        <f>SUM((TEXT(JA188,"[M]")/60)*'Income Person-hours'!$D$3,(TEXT(JB188,"[M]")/60)*'Income Person-hours'!$D$4,(TEXT(JC188,"[M]")/60)*'Income Person-hours'!$D$5)</f>
        <v>0</v>
      </c>
    </row>
    <row r="189" spans="1:264 16383:16384" s="11" customFormat="1" ht="11.25" hidden="1">
      <c r="A189" s="30">
        <v>8.6</v>
      </c>
      <c r="B189" s="106"/>
      <c r="C189" s="107"/>
      <c r="D189" s="12" t="str">
        <f>IF(OR(j_WEEKDAY(J_ADDDAY(VLOOKUP(I189,A:F,6,FALSE),H189,1),0)=6,SUMIFS(Holieday[ok],Holieday[date],J_ADDDAY(VLOOKUP(I189,A:F,6,FALSE),H189,1)))=FALSE(),J_ADDDAY(VLOOKUP(I189,A:F,6,FALSE),H189,1),IF(OR(j_WEEKDAY(J_ADDDAY(VLOOKUP(I189,A:F,6,FALSE),H189+1,1),0)=6,SUMIFS(Holieday[ok],Holieday[date],J_ADDDAY(VLOOKUP(I189,A:F,6,FALSE),H189+1,1)))=FALSE(),J_ADDDAY(VLOOKUP(I189,A:F,6,FALSE),H189+1,1),IF(OR(j_WEEKDAY(J_ADDDAY(VLOOKUP(I189,A:F,6,FALSE),H189+2,1),0)=6,SUMIFS(Holieday[ok],Holieday[date],J_ADDDAY(VLOOKUP(I189,A:F,6,FALSE),H189+2,1)))=FALSE(),J_ADDDAY(VLOOKUP(I189,A:F,6,FALSE),H189+2,1),IF(OR(j_WEEKDAY(J_ADDDAY(VLOOKUP(I189,A:F,6,FALSE),H189+3,1),0)=6,SUMIFS(Holieday[ok],Holieday[date],J_ADDDAY(VLOOKUP(I189,A:F,6,FALSE),H189+3,1)))=FALSE(),J_ADDDAY(VLOOKUP(I189,A:F,6,FALSE),H189+3,1),IF(OR(j_WEEKDAY(J_ADDDAY(VLOOKUP(I189,A:F,6,FALSE),H189+4,1),0)=6,SUMIFS(Holieday[ok],Holieday[date],J_ADDDAY(VLOOKUP(I189,A:F,6,FALSE),H189+4,1)))=FALSE(),J_ADDDAY(VLOOKUP(I189,A:F,6,FALSE),H189+4,1),J_ADDDAY(VLOOKUP(I189,A:F,6,FALSE),H189+5,1))))))</f>
        <v>1398/06/31</v>
      </c>
      <c r="E189" s="1">
        <f t="shared" si="50"/>
        <v>13980631</v>
      </c>
      <c r="F189" s="12" t="str">
        <f>IF(N189=0,J_SUBDAY(D189,1,1),IF((N189-NETWORKDAYS.INTL(J_GregorianDate(D189,1),J_GregorianDate(J_SUBDAY(J_ADDDAY(D189,N189,1),1,1),1),16,1)-SUMIFS(Holieday[ok],Holieday[date],CONCATENATE("&gt;","=",D189),Holieday[date],CONCATENATE("&lt;","=",J_SUBDAY(J_ADDDAY(D189,N189,1),1,1)))+SUMIFS(Holieday[Friday],Holieday[date],CONCATENATE("&gt;","=",D189),Holieday[date],CONCATENATE("&lt;","=",J_SUBDAY(J_ADDDAY(D189,N189,1),1,1))))=0,J_SUBDAY(J_ADDDAY(D189,N189,1),1,1),IF((N189-NETWORKDAYS.INTL(J_GregorianDate(D189,1),J_GregorianDate(J_SUBDAY(J_ADDDAY(D189,N189,1),1,1),1),16,1)-SUMIFS(Holieday[ok],Holieday[date],CONCATENATE("&gt;","=",D189),Holieday[date],CONCATENATE("&lt;","=",J_SUBDAY(J_ADDDAY(D189,N189,1),1,1)))+SUMIFS(Holieday[Friday],Holieday[date],CONCATENATE("&gt;","=",D189),Holieday[date],CONCATENATE("&lt;","=",J_SUBDAY(J_ADDDAY(D189,N189,1),1,1))))=1,J_SUBDAY(J_ADDDAY(D189,N189+1,1),1,1),IF((N189-NETWORKDAYS.INTL(J_GregorianDate(D189,1),J_GregorianDate(J_SUBDAY(J_ADDDAY(D189,N189,1),1,1),1),16,1)-SUMIFS(Holieday[ok],Holieday[date],CONCATENATE("&gt;","=",D189),Holieday[date],CONCATENATE("&lt;","=",J_SUBDAY(J_ADDDAY(D189,N189,1),1,1)))+SUMIFS(Holieday[Friday],Holieday[date],CONCATENATE("&gt;","=",D189),Holieday[date],CONCATENATE("&lt;","=",J_SUBDAY(J_ADDDAY(D189,N189,1),1,1))))=2,J_SUBDAY(J_ADDDAY(D189,N189+2,1),1,1),J_SUBDAY(J_ADDDAY(D189,N189+3,1),1,1)))))</f>
        <v>1398/06/30</v>
      </c>
      <c r="G189" s="2">
        <f t="shared" si="51"/>
        <v>13980630</v>
      </c>
      <c r="H189" s="109"/>
      <c r="I189" s="110">
        <v>1.1000000000000001</v>
      </c>
      <c r="J189" s="9">
        <f>j_WEEKDAY(D189,2)</f>
        <v>1</v>
      </c>
      <c r="K189" s="21">
        <f t="shared" si="62"/>
        <v>0</v>
      </c>
      <c r="L189" s="8">
        <f t="shared" si="63"/>
        <v>0</v>
      </c>
      <c r="M189" s="111">
        <v>0</v>
      </c>
      <c r="N189" s="108">
        <v>0</v>
      </c>
      <c r="O189" s="10">
        <f t="shared" si="60"/>
        <v>0</v>
      </c>
      <c r="P189" s="10">
        <f>VALUE(J_normdate(J_ADDDAY($D189,$O189,1)))</f>
        <v>13980631</v>
      </c>
      <c r="Q189" s="9">
        <f t="shared" si="61"/>
        <v>0</v>
      </c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/>
      <c r="CQ189" s="7"/>
      <c r="CR189" s="7"/>
      <c r="CS189" s="7"/>
      <c r="CT189" s="7"/>
      <c r="CU189" s="7"/>
      <c r="CV189" s="7"/>
      <c r="CW189" s="7"/>
      <c r="CX189" s="7"/>
      <c r="CY189" s="7"/>
      <c r="CZ189" s="7"/>
      <c r="DA189" s="7"/>
      <c r="DB189" s="7"/>
      <c r="DC189" s="7"/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7"/>
      <c r="DO189" s="7"/>
      <c r="DP189" s="7"/>
      <c r="DQ189" s="7"/>
      <c r="DR189" s="7"/>
      <c r="DS189" s="7"/>
      <c r="DT189" s="7"/>
      <c r="DU189" s="7"/>
      <c r="DV189" s="7"/>
      <c r="DW189" s="7"/>
      <c r="DX189" s="7"/>
      <c r="DY189" s="7"/>
      <c r="DZ189" s="7"/>
      <c r="EA189" s="7"/>
      <c r="EB189" s="7"/>
      <c r="EC189" s="7"/>
      <c r="ED189" s="7"/>
      <c r="EE189" s="7"/>
      <c r="EF189" s="7"/>
      <c r="EG189" s="7"/>
      <c r="EH189" s="7"/>
      <c r="EI189" s="7"/>
      <c r="EJ189" s="7"/>
      <c r="EK189" s="7"/>
      <c r="EL189" s="7"/>
      <c r="EM189" s="7"/>
      <c r="EN189" s="7"/>
      <c r="EO189" s="7"/>
      <c r="EP189" s="7"/>
      <c r="EQ189" s="7"/>
      <c r="ER189" s="7"/>
      <c r="ES189" s="7"/>
      <c r="ET189" s="7"/>
      <c r="EU189" s="7"/>
      <c r="EV189" s="7"/>
      <c r="EW189" s="7"/>
      <c r="EX189" s="7"/>
      <c r="EY189" s="7"/>
      <c r="EZ189" s="7"/>
      <c r="FA189" s="7"/>
      <c r="FB189" s="7"/>
      <c r="FC189" s="7"/>
      <c r="FD189" s="7"/>
      <c r="FE189" s="7"/>
      <c r="FF189" s="7"/>
      <c r="FG189" s="7"/>
      <c r="FH189" s="7"/>
      <c r="FI189" s="7"/>
      <c r="FJ189" s="7"/>
      <c r="FK189" s="7"/>
      <c r="FL189" s="7"/>
      <c r="FM189" s="7"/>
      <c r="FN189" s="7"/>
      <c r="FO189" s="7"/>
      <c r="FP189" s="7"/>
      <c r="FQ189" s="7"/>
      <c r="FR189" s="7"/>
      <c r="FS189" s="7"/>
      <c r="FT189" s="7"/>
      <c r="FU189" s="7"/>
      <c r="FV189" s="7"/>
      <c r="FW189" s="7"/>
      <c r="FX189" s="7"/>
      <c r="FY189" s="7"/>
      <c r="FZ189" s="7"/>
      <c r="GA189" s="7"/>
      <c r="GB189" s="7"/>
      <c r="GC189" s="7"/>
      <c r="GD189" s="7"/>
      <c r="GE189" s="7"/>
      <c r="GF189" s="7"/>
      <c r="GG189" s="7"/>
      <c r="GH189" s="7"/>
      <c r="GI189" s="7"/>
      <c r="GJ189" s="7"/>
      <c r="GK189" s="7"/>
      <c r="GL189" s="7"/>
      <c r="GM189" s="7"/>
      <c r="GN189" s="7"/>
      <c r="GO189" s="7"/>
      <c r="GP189" s="7"/>
      <c r="GQ189" s="7"/>
      <c r="GR189" s="7"/>
      <c r="GS189" s="7"/>
      <c r="GT189" s="7"/>
      <c r="GU189" s="7"/>
      <c r="GV189" s="7"/>
      <c r="GW189" s="7"/>
      <c r="GX189" s="7"/>
      <c r="GY189" s="7"/>
      <c r="GZ189" s="7"/>
      <c r="HA189" s="7"/>
      <c r="HB189" s="7"/>
      <c r="HC189" s="7"/>
      <c r="HD189" s="7"/>
      <c r="HE189" s="7"/>
      <c r="HF189" s="7"/>
      <c r="HG189" s="7"/>
      <c r="HH189" s="7"/>
      <c r="HI189" s="7"/>
      <c r="HJ189" s="7"/>
      <c r="HK189" s="7"/>
      <c r="HL189" s="7"/>
      <c r="HM189" s="7"/>
      <c r="HN189" s="7"/>
      <c r="HO189" s="7"/>
      <c r="HP189" s="7"/>
      <c r="HQ189" s="7"/>
      <c r="HR189" s="7"/>
      <c r="HS189" s="7"/>
      <c r="HT189" s="7"/>
      <c r="HU189" s="7"/>
      <c r="HV189" s="7"/>
      <c r="HW189" s="7"/>
      <c r="HX189" s="7"/>
      <c r="HY189" s="7"/>
      <c r="HZ189" s="7"/>
      <c r="IA189" s="7"/>
      <c r="IB189" s="7"/>
      <c r="IC189" s="7"/>
      <c r="ID189" s="7"/>
      <c r="IE189" s="7"/>
      <c r="IF189" s="7"/>
      <c r="IG189" s="7"/>
      <c r="IH189" s="7"/>
      <c r="II189" s="7"/>
      <c r="IJ189" s="7"/>
      <c r="IK189" s="7"/>
      <c r="IL189" s="7"/>
      <c r="IM189" s="7"/>
      <c r="IN189" s="7"/>
      <c r="IO189" s="7"/>
      <c r="IP189" s="7"/>
      <c r="IQ189" s="7"/>
      <c r="IR189" s="7"/>
      <c r="IS189" s="7"/>
      <c r="IT189" s="7"/>
      <c r="IU189" s="7"/>
      <c r="IV189" s="7"/>
      <c r="IW189" s="7"/>
      <c r="IX189" s="7"/>
      <c r="JA189" s="113"/>
      <c r="JB189" s="113"/>
      <c r="JC189" s="113"/>
      <c r="JD189" s="66">
        <f>SUM((TEXT(JA189,"[M]")/60)*'Income Person-hours'!$D$3,(TEXT(JB189,"[M]")/60)*'Income Person-hours'!$D$4,(TEXT(JC189,"[M]")/60)*'Income Person-hours'!$D$5)</f>
        <v>0</v>
      </c>
    </row>
    <row r="190" spans="1:264 16383:16384" s="11" customFormat="1" ht="11.25" hidden="1">
      <c r="A190" s="30">
        <v>8.6999999999999993</v>
      </c>
      <c r="B190" s="116"/>
      <c r="C190" s="107"/>
      <c r="D190" s="12" t="str">
        <f>IF(OR(j_WEEKDAY(J_ADDDAY(VLOOKUP(I190,A:F,6,FALSE),H190,1),0)=6,SUMIFS(Holieday[ok],Holieday[date],J_ADDDAY(VLOOKUP(I190,A:F,6,FALSE),H190,1)))=FALSE(),J_ADDDAY(VLOOKUP(I190,A:F,6,FALSE),H190,1),IF(OR(j_WEEKDAY(J_ADDDAY(VLOOKUP(I190,A:F,6,FALSE),H190+1,1),0)=6,SUMIFS(Holieday[ok],Holieday[date],J_ADDDAY(VLOOKUP(I190,A:F,6,FALSE),H190+1,1)))=FALSE(),J_ADDDAY(VLOOKUP(I190,A:F,6,FALSE),H190+1,1),IF(OR(j_WEEKDAY(J_ADDDAY(VLOOKUP(I190,A:F,6,FALSE),H190+2,1),0)=6,SUMIFS(Holieday[ok],Holieday[date],J_ADDDAY(VLOOKUP(I190,A:F,6,FALSE),H190+2,1)))=FALSE(),J_ADDDAY(VLOOKUP(I190,A:F,6,FALSE),H190+2,1),IF(OR(j_WEEKDAY(J_ADDDAY(VLOOKUP(I190,A:F,6,FALSE),H190+3,1),0)=6,SUMIFS(Holieday[ok],Holieday[date],J_ADDDAY(VLOOKUP(I190,A:F,6,FALSE),H190+3,1)))=FALSE(),J_ADDDAY(VLOOKUP(I190,A:F,6,FALSE),H190+3,1),IF(OR(j_WEEKDAY(J_ADDDAY(VLOOKUP(I190,A:F,6,FALSE),H190+4,1),0)=6,SUMIFS(Holieday[ok],Holieday[date],J_ADDDAY(VLOOKUP(I190,A:F,6,FALSE),H190+4,1)))=FALSE(),J_ADDDAY(VLOOKUP(I190,A:F,6,FALSE),H190+4,1),J_ADDDAY(VLOOKUP(I190,A:F,6,FALSE),H190+5,1))))))</f>
        <v>1398/06/31</v>
      </c>
      <c r="E190" s="1">
        <f t="shared" si="50"/>
        <v>13980631</v>
      </c>
      <c r="F190" s="12" t="str">
        <f>IF(N190=0,J_SUBDAY(D190,1,1),IF((N190-NETWORKDAYS.INTL(J_GregorianDate(D190,1),J_GregorianDate(J_SUBDAY(J_ADDDAY(D190,N190,1),1,1),1),16,1)-SUMIFS(Holieday[ok],Holieday[date],CONCATENATE("&gt;","=",D190),Holieday[date],CONCATENATE("&lt;","=",J_SUBDAY(J_ADDDAY(D190,N190,1),1,1)))+SUMIFS(Holieday[Friday],Holieday[date],CONCATENATE("&gt;","=",D190),Holieday[date],CONCATENATE("&lt;","=",J_SUBDAY(J_ADDDAY(D190,N190,1),1,1))))=0,J_SUBDAY(J_ADDDAY(D190,N190,1),1,1),IF((N190-NETWORKDAYS.INTL(J_GregorianDate(D190,1),J_GregorianDate(J_SUBDAY(J_ADDDAY(D190,N190,1),1,1),1),16,1)-SUMIFS(Holieday[ok],Holieday[date],CONCATENATE("&gt;","=",D190),Holieday[date],CONCATENATE("&lt;","=",J_SUBDAY(J_ADDDAY(D190,N190,1),1,1)))+SUMIFS(Holieday[Friday],Holieday[date],CONCATENATE("&gt;","=",D190),Holieday[date],CONCATENATE("&lt;","=",J_SUBDAY(J_ADDDAY(D190,N190,1),1,1))))=1,J_SUBDAY(J_ADDDAY(D190,N190+1,1),1,1),IF((N190-NETWORKDAYS.INTL(J_GregorianDate(D190,1),J_GregorianDate(J_SUBDAY(J_ADDDAY(D190,N190,1),1,1),1),16,1)-SUMIFS(Holieday[ok],Holieday[date],CONCATENATE("&gt;","=",D190),Holieday[date],CONCATENATE("&lt;","=",J_SUBDAY(J_ADDDAY(D190,N190,1),1,1)))+SUMIFS(Holieday[Friday],Holieday[date],CONCATENATE("&gt;","=",D190),Holieday[date],CONCATENATE("&lt;","=",J_SUBDAY(J_ADDDAY(D190,N190,1),1,1))))=2,J_SUBDAY(J_ADDDAY(D190,N190+2,1),1,1),J_SUBDAY(J_ADDDAY(D190,N190+3,1),1,1)))))</f>
        <v>1398/06/30</v>
      </c>
      <c r="G190" s="2">
        <f t="shared" si="51"/>
        <v>13980630</v>
      </c>
      <c r="H190" s="109"/>
      <c r="I190" s="110">
        <v>1.1000000000000001</v>
      </c>
      <c r="J190" s="9">
        <f>j_WEEKDAY(D190,2)</f>
        <v>1</v>
      </c>
      <c r="K190" s="21">
        <f t="shared" si="62"/>
        <v>0</v>
      </c>
      <c r="L190" s="8">
        <f t="shared" si="63"/>
        <v>0</v>
      </c>
      <c r="M190" s="111">
        <v>0</v>
      </c>
      <c r="N190" s="108">
        <v>0</v>
      </c>
      <c r="O190" s="10">
        <f t="shared" si="60"/>
        <v>0</v>
      </c>
      <c r="P190" s="10">
        <f>VALUE(J_normdate(J_ADDDAY($D190,$O190,1)))</f>
        <v>13980631</v>
      </c>
      <c r="Q190" s="9">
        <f t="shared" si="61"/>
        <v>0</v>
      </c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D190" s="7"/>
      <c r="CE190" s="7"/>
      <c r="CF190" s="7"/>
      <c r="CG190" s="7"/>
      <c r="CH190" s="7"/>
      <c r="CI190" s="7"/>
      <c r="CJ190" s="7"/>
      <c r="CK190" s="7"/>
      <c r="CL190" s="7"/>
      <c r="CM190" s="7"/>
      <c r="CN190" s="7"/>
      <c r="CO190" s="7"/>
      <c r="CP190" s="7"/>
      <c r="CQ190" s="7"/>
      <c r="CR190" s="7"/>
      <c r="CS190" s="7"/>
      <c r="CT190" s="7"/>
      <c r="CU190" s="7"/>
      <c r="CV190" s="7"/>
      <c r="CW190" s="7"/>
      <c r="CX190" s="7"/>
      <c r="CY190" s="7"/>
      <c r="CZ190" s="7"/>
      <c r="DA190" s="7"/>
      <c r="DB190" s="7"/>
      <c r="DC190" s="7"/>
      <c r="DD190" s="7"/>
      <c r="DE190" s="7"/>
      <c r="DF190" s="7"/>
      <c r="DG190" s="7"/>
      <c r="DH190" s="7"/>
      <c r="DI190" s="7"/>
      <c r="DJ190" s="7"/>
      <c r="DK190" s="7"/>
      <c r="DL190" s="7"/>
      <c r="DM190" s="7"/>
      <c r="DN190" s="7"/>
      <c r="DO190" s="7"/>
      <c r="DP190" s="7"/>
      <c r="DQ190" s="7"/>
      <c r="DR190" s="7"/>
      <c r="DS190" s="7"/>
      <c r="DT190" s="7"/>
      <c r="DU190" s="7"/>
      <c r="DV190" s="7"/>
      <c r="DW190" s="7"/>
      <c r="DX190" s="7"/>
      <c r="DY190" s="7"/>
      <c r="DZ190" s="7"/>
      <c r="EA190" s="7"/>
      <c r="EB190" s="7"/>
      <c r="EC190" s="7"/>
      <c r="ED190" s="7"/>
      <c r="EE190" s="7"/>
      <c r="EF190" s="7"/>
      <c r="EG190" s="7"/>
      <c r="EH190" s="7"/>
      <c r="EI190" s="7"/>
      <c r="EJ190" s="7"/>
      <c r="EK190" s="7"/>
      <c r="EL190" s="7"/>
      <c r="EM190" s="7"/>
      <c r="EN190" s="7"/>
      <c r="EO190" s="7"/>
      <c r="EP190" s="7"/>
      <c r="EQ190" s="7"/>
      <c r="ER190" s="7"/>
      <c r="ES190" s="7"/>
      <c r="ET190" s="7"/>
      <c r="EU190" s="7"/>
      <c r="EV190" s="7"/>
      <c r="EW190" s="7"/>
      <c r="EX190" s="7"/>
      <c r="EY190" s="7"/>
      <c r="EZ190" s="7"/>
      <c r="FA190" s="7"/>
      <c r="FB190" s="7"/>
      <c r="FC190" s="7"/>
      <c r="FD190" s="7"/>
      <c r="FE190" s="7"/>
      <c r="FF190" s="7"/>
      <c r="FG190" s="7"/>
      <c r="FH190" s="7"/>
      <c r="FI190" s="7"/>
      <c r="FJ190" s="7"/>
      <c r="FK190" s="7"/>
      <c r="FL190" s="7"/>
      <c r="FM190" s="7"/>
      <c r="FN190" s="7"/>
      <c r="FO190" s="7"/>
      <c r="FP190" s="7"/>
      <c r="FQ190" s="7"/>
      <c r="FR190" s="7"/>
      <c r="FS190" s="7"/>
      <c r="FT190" s="7"/>
      <c r="FU190" s="7"/>
      <c r="FV190" s="7"/>
      <c r="FW190" s="7"/>
      <c r="FX190" s="7"/>
      <c r="FY190" s="7"/>
      <c r="FZ190" s="7"/>
      <c r="GA190" s="7"/>
      <c r="GB190" s="7"/>
      <c r="GC190" s="7"/>
      <c r="GD190" s="7"/>
      <c r="GE190" s="7"/>
      <c r="GF190" s="7"/>
      <c r="GG190" s="7"/>
      <c r="GH190" s="7"/>
      <c r="GI190" s="7"/>
      <c r="GJ190" s="7"/>
      <c r="GK190" s="7"/>
      <c r="GL190" s="7"/>
      <c r="GM190" s="7"/>
      <c r="GN190" s="7"/>
      <c r="GO190" s="7"/>
      <c r="GP190" s="7"/>
      <c r="GQ190" s="7"/>
      <c r="GR190" s="7"/>
      <c r="GS190" s="7"/>
      <c r="GT190" s="7"/>
      <c r="GU190" s="7"/>
      <c r="GV190" s="7"/>
      <c r="GW190" s="7"/>
      <c r="GX190" s="7"/>
      <c r="GY190" s="7"/>
      <c r="GZ190" s="7"/>
      <c r="HA190" s="7"/>
      <c r="HB190" s="7"/>
      <c r="HC190" s="7"/>
      <c r="HD190" s="7"/>
      <c r="HE190" s="7"/>
      <c r="HF190" s="7"/>
      <c r="HG190" s="7"/>
      <c r="HH190" s="7"/>
      <c r="HI190" s="7"/>
      <c r="HJ190" s="7"/>
      <c r="HK190" s="7"/>
      <c r="HL190" s="7"/>
      <c r="HM190" s="7"/>
      <c r="HN190" s="7"/>
      <c r="HO190" s="7"/>
      <c r="HP190" s="7"/>
      <c r="HQ190" s="7"/>
      <c r="HR190" s="7"/>
      <c r="HS190" s="7"/>
      <c r="HT190" s="7"/>
      <c r="HU190" s="7"/>
      <c r="HV190" s="7"/>
      <c r="HW190" s="7"/>
      <c r="HX190" s="7"/>
      <c r="HY190" s="7"/>
      <c r="HZ190" s="7"/>
      <c r="IA190" s="7"/>
      <c r="IB190" s="7"/>
      <c r="IC190" s="7"/>
      <c r="ID190" s="7"/>
      <c r="IE190" s="7"/>
      <c r="IF190" s="7"/>
      <c r="IG190" s="7"/>
      <c r="IH190" s="7"/>
      <c r="II190" s="7"/>
      <c r="IJ190" s="7"/>
      <c r="IK190" s="7"/>
      <c r="IL190" s="7"/>
      <c r="IM190" s="7"/>
      <c r="IN190" s="7"/>
      <c r="IO190" s="7"/>
      <c r="IP190" s="7"/>
      <c r="IQ190" s="7"/>
      <c r="IR190" s="7"/>
      <c r="IS190" s="7"/>
      <c r="IT190" s="7"/>
      <c r="IU190" s="7"/>
      <c r="IV190" s="7"/>
      <c r="IW190" s="7"/>
      <c r="IX190" s="7"/>
      <c r="JA190" s="113"/>
      <c r="JB190" s="113"/>
      <c r="JC190" s="113"/>
      <c r="JD190" s="66">
        <f>SUM((TEXT(JA190,"[M]")/60)*'Income Person-hours'!$D$3,(TEXT(JB190,"[M]")/60)*'Income Person-hours'!$D$4,(TEXT(JC190,"[M]")/60)*'Income Person-hours'!$D$5)</f>
        <v>0</v>
      </c>
    </row>
    <row r="191" spans="1:264 16383:16384" s="11" customFormat="1" ht="11.25" hidden="1">
      <c r="A191" s="176">
        <v>8.8000000000000007</v>
      </c>
      <c r="B191" s="116"/>
      <c r="C191" s="107"/>
      <c r="D191" s="12" t="str">
        <f>IF(OR(j_WEEKDAY(J_ADDDAY(VLOOKUP(I191,A:F,6,FALSE),H191,1),0)=6,SUMIFS(Holieday[ok],Holieday[date],J_ADDDAY(VLOOKUP(I191,A:F,6,FALSE),H191,1)))=FALSE(),J_ADDDAY(VLOOKUP(I191,A:F,6,FALSE),H191,1),IF(OR(j_WEEKDAY(J_ADDDAY(VLOOKUP(I191,A:F,6,FALSE),H191+1,1),0)=6,SUMIFS(Holieday[ok],Holieday[date],J_ADDDAY(VLOOKUP(I191,A:F,6,FALSE),H191+1,1)))=FALSE(),J_ADDDAY(VLOOKUP(I191,A:F,6,FALSE),H191+1,1),IF(OR(j_WEEKDAY(J_ADDDAY(VLOOKUP(I191,A:F,6,FALSE),H191+2,1),0)=6,SUMIFS(Holieday[ok],Holieday[date],J_ADDDAY(VLOOKUP(I191,A:F,6,FALSE),H191+2,1)))=FALSE(),J_ADDDAY(VLOOKUP(I191,A:F,6,FALSE),H191+2,1),IF(OR(j_WEEKDAY(J_ADDDAY(VLOOKUP(I191,A:F,6,FALSE),H191+3,1),0)=6,SUMIFS(Holieday[ok],Holieday[date],J_ADDDAY(VLOOKUP(I191,A:F,6,FALSE),H191+3,1)))=FALSE(),J_ADDDAY(VLOOKUP(I191,A:F,6,FALSE),H191+3,1),IF(OR(j_WEEKDAY(J_ADDDAY(VLOOKUP(I191,A:F,6,FALSE),H191+4,1),0)=6,SUMIFS(Holieday[ok],Holieday[date],J_ADDDAY(VLOOKUP(I191,A:F,6,FALSE),H191+4,1)))=FALSE(),J_ADDDAY(VLOOKUP(I191,A:F,6,FALSE),H191+4,1),J_ADDDAY(VLOOKUP(I191,A:F,6,FALSE),H191+5,1))))))</f>
        <v>1398/06/31</v>
      </c>
      <c r="E191" s="1">
        <f t="shared" ref="E191:E222" si="64">VALUE(J_normdate(D191))</f>
        <v>13980631</v>
      </c>
      <c r="F191" s="12" t="str">
        <f>IF(N191=0,J_SUBDAY(D191,1,1),IF((N191-NETWORKDAYS.INTL(J_GregorianDate(D191,1),J_GregorianDate(J_SUBDAY(J_ADDDAY(D191,N191,1),1,1),1),16,1)-SUMIFS(Holieday[ok],Holieday[date],CONCATENATE("&gt;","=",D191),Holieday[date],CONCATENATE("&lt;","=",J_SUBDAY(J_ADDDAY(D191,N191,1),1,1)))+SUMIFS(Holieday[Friday],Holieday[date],CONCATENATE("&gt;","=",D191),Holieday[date],CONCATENATE("&lt;","=",J_SUBDAY(J_ADDDAY(D191,N191,1),1,1))))=0,J_SUBDAY(J_ADDDAY(D191,N191,1),1,1),IF((N191-NETWORKDAYS.INTL(J_GregorianDate(D191,1),J_GregorianDate(J_SUBDAY(J_ADDDAY(D191,N191,1),1,1),1),16,1)-SUMIFS(Holieday[ok],Holieday[date],CONCATENATE("&gt;","=",D191),Holieday[date],CONCATENATE("&lt;","=",J_SUBDAY(J_ADDDAY(D191,N191,1),1,1)))+SUMIFS(Holieday[Friday],Holieday[date],CONCATENATE("&gt;","=",D191),Holieday[date],CONCATENATE("&lt;","=",J_SUBDAY(J_ADDDAY(D191,N191,1),1,1))))=1,J_SUBDAY(J_ADDDAY(D191,N191+1,1),1,1),IF((N191-NETWORKDAYS.INTL(J_GregorianDate(D191,1),J_GregorianDate(J_SUBDAY(J_ADDDAY(D191,N191,1),1,1),1),16,1)-SUMIFS(Holieday[ok],Holieday[date],CONCATENATE("&gt;","=",D191),Holieday[date],CONCATENATE("&lt;","=",J_SUBDAY(J_ADDDAY(D191,N191,1),1,1)))+SUMIFS(Holieday[Friday],Holieday[date],CONCATENATE("&gt;","=",D191),Holieday[date],CONCATENATE("&lt;","=",J_SUBDAY(J_ADDDAY(D191,N191,1),1,1))))=2,J_SUBDAY(J_ADDDAY(D191,N191+2,1),1,1),J_SUBDAY(J_ADDDAY(D191,N191+3,1),1,1)))))</f>
        <v>1398/06/30</v>
      </c>
      <c r="G191" s="2">
        <f t="shared" ref="G191:G222" si="65">VALUE(J_normdate(F191))</f>
        <v>13980630</v>
      </c>
      <c r="H191" s="109"/>
      <c r="I191" s="110">
        <v>1.1000000000000001</v>
      </c>
      <c r="J191" s="9">
        <f>j_WEEKDAY(D191,2)</f>
        <v>1</v>
      </c>
      <c r="K191" s="21">
        <f t="shared" si="62"/>
        <v>0</v>
      </c>
      <c r="L191" s="8">
        <f t="shared" si="63"/>
        <v>0</v>
      </c>
      <c r="M191" s="111">
        <v>0</v>
      </c>
      <c r="N191" s="108">
        <v>0</v>
      </c>
      <c r="O191" s="10">
        <f t="shared" si="60"/>
        <v>0</v>
      </c>
      <c r="P191" s="10">
        <f>VALUE(J_normdate(J_ADDDAY($D191,$O191,1)))</f>
        <v>13980631</v>
      </c>
      <c r="Q191" s="9">
        <f t="shared" si="61"/>
        <v>0</v>
      </c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D191" s="7"/>
      <c r="CE191" s="7"/>
      <c r="CF191" s="7"/>
      <c r="CG191" s="7"/>
      <c r="CH191" s="7"/>
      <c r="CI191" s="7"/>
      <c r="CJ191" s="7"/>
      <c r="CK191" s="7"/>
      <c r="CL191" s="7"/>
      <c r="CM191" s="7"/>
      <c r="CN191" s="7"/>
      <c r="CO191" s="7"/>
      <c r="CP191" s="7"/>
      <c r="CQ191" s="7"/>
      <c r="CR191" s="7"/>
      <c r="CS191" s="7"/>
      <c r="CT191" s="7"/>
      <c r="CU191" s="7"/>
      <c r="CV191" s="7"/>
      <c r="CW191" s="7"/>
      <c r="CX191" s="7"/>
      <c r="CY191" s="7"/>
      <c r="CZ191" s="7"/>
      <c r="DA191" s="7"/>
      <c r="DB191" s="7"/>
      <c r="DC191" s="7"/>
      <c r="DD191" s="7"/>
      <c r="DE191" s="7"/>
      <c r="DF191" s="7"/>
      <c r="DG191" s="7"/>
      <c r="DH191" s="7"/>
      <c r="DI191" s="7"/>
      <c r="DJ191" s="7"/>
      <c r="DK191" s="7"/>
      <c r="DL191" s="7"/>
      <c r="DM191" s="7"/>
      <c r="DN191" s="7"/>
      <c r="DO191" s="7"/>
      <c r="DP191" s="7"/>
      <c r="DQ191" s="7"/>
      <c r="DR191" s="7"/>
      <c r="DS191" s="7"/>
      <c r="DT191" s="7"/>
      <c r="DU191" s="7"/>
      <c r="DV191" s="7"/>
      <c r="DW191" s="7"/>
      <c r="DX191" s="7"/>
      <c r="DY191" s="7"/>
      <c r="DZ191" s="7"/>
      <c r="EA191" s="7"/>
      <c r="EB191" s="7"/>
      <c r="EC191" s="7"/>
      <c r="ED191" s="7"/>
      <c r="EE191" s="7"/>
      <c r="EF191" s="7"/>
      <c r="EG191" s="7"/>
      <c r="EH191" s="7"/>
      <c r="EI191" s="7"/>
      <c r="EJ191" s="7"/>
      <c r="EK191" s="7"/>
      <c r="EL191" s="7"/>
      <c r="EM191" s="7"/>
      <c r="EN191" s="7"/>
      <c r="EO191" s="7"/>
      <c r="EP191" s="7"/>
      <c r="EQ191" s="7"/>
      <c r="ER191" s="7"/>
      <c r="ES191" s="7"/>
      <c r="ET191" s="7"/>
      <c r="EU191" s="7"/>
      <c r="EV191" s="7"/>
      <c r="EW191" s="7"/>
      <c r="EX191" s="7"/>
      <c r="EY191" s="7"/>
      <c r="EZ191" s="7"/>
      <c r="FA191" s="7"/>
      <c r="FB191" s="7"/>
      <c r="FC191" s="7"/>
      <c r="FD191" s="7"/>
      <c r="FE191" s="7"/>
      <c r="FF191" s="7"/>
      <c r="FG191" s="7"/>
      <c r="FH191" s="7"/>
      <c r="FI191" s="7"/>
      <c r="FJ191" s="7"/>
      <c r="FK191" s="7"/>
      <c r="FL191" s="7"/>
      <c r="FM191" s="7"/>
      <c r="FN191" s="7"/>
      <c r="FO191" s="7"/>
      <c r="FP191" s="7"/>
      <c r="FQ191" s="7"/>
      <c r="FR191" s="7"/>
      <c r="FS191" s="7"/>
      <c r="FT191" s="7"/>
      <c r="FU191" s="7"/>
      <c r="FV191" s="7"/>
      <c r="FW191" s="7"/>
      <c r="FX191" s="7"/>
      <c r="FY191" s="7"/>
      <c r="FZ191" s="7"/>
      <c r="GA191" s="7"/>
      <c r="GB191" s="7"/>
      <c r="GC191" s="7"/>
      <c r="GD191" s="7"/>
      <c r="GE191" s="7"/>
      <c r="GF191" s="7"/>
      <c r="GG191" s="7"/>
      <c r="GH191" s="7"/>
      <c r="GI191" s="7"/>
      <c r="GJ191" s="7"/>
      <c r="GK191" s="7"/>
      <c r="GL191" s="7"/>
      <c r="GM191" s="7"/>
      <c r="GN191" s="7"/>
      <c r="GO191" s="7"/>
      <c r="GP191" s="7"/>
      <c r="GQ191" s="7"/>
      <c r="GR191" s="7"/>
      <c r="GS191" s="7"/>
      <c r="GT191" s="7"/>
      <c r="GU191" s="7"/>
      <c r="GV191" s="7"/>
      <c r="GW191" s="7"/>
      <c r="GX191" s="7"/>
      <c r="GY191" s="7"/>
      <c r="GZ191" s="7"/>
      <c r="HA191" s="7"/>
      <c r="HB191" s="7"/>
      <c r="HC191" s="7"/>
      <c r="HD191" s="7"/>
      <c r="HE191" s="7"/>
      <c r="HF191" s="7"/>
      <c r="HG191" s="7"/>
      <c r="HH191" s="7"/>
      <c r="HI191" s="7"/>
      <c r="HJ191" s="7"/>
      <c r="HK191" s="7"/>
      <c r="HL191" s="7"/>
      <c r="HM191" s="7"/>
      <c r="HN191" s="7"/>
      <c r="HO191" s="7"/>
      <c r="HP191" s="7"/>
      <c r="HQ191" s="7"/>
      <c r="HR191" s="7"/>
      <c r="HS191" s="7"/>
      <c r="HT191" s="7"/>
      <c r="HU191" s="7"/>
      <c r="HV191" s="7"/>
      <c r="HW191" s="7"/>
      <c r="HX191" s="7"/>
      <c r="HY191" s="7"/>
      <c r="HZ191" s="7"/>
      <c r="IA191" s="7"/>
      <c r="IB191" s="7"/>
      <c r="IC191" s="7"/>
      <c r="ID191" s="7"/>
      <c r="IE191" s="7"/>
      <c r="IF191" s="7"/>
      <c r="IG191" s="7"/>
      <c r="IH191" s="7"/>
      <c r="II191" s="7"/>
      <c r="IJ191" s="7"/>
      <c r="IK191" s="7"/>
      <c r="IL191" s="7"/>
      <c r="IM191" s="7"/>
      <c r="IN191" s="7"/>
      <c r="IO191" s="7"/>
      <c r="IP191" s="7"/>
      <c r="IQ191" s="7"/>
      <c r="IR191" s="7"/>
      <c r="IS191" s="7"/>
      <c r="IT191" s="7"/>
      <c r="IU191" s="7"/>
      <c r="IV191" s="7"/>
      <c r="IW191" s="7"/>
      <c r="IX191" s="7"/>
      <c r="JA191" s="113"/>
      <c r="JB191" s="113"/>
      <c r="JC191" s="113"/>
      <c r="JD191" s="66">
        <f>SUM((TEXT(JA191,"[M]")/60)*'Income Person-hours'!$D$3,(TEXT(JB191,"[M]")/60)*'Income Person-hours'!$D$4,(TEXT(JC191,"[M]")/60)*'Income Person-hours'!$D$5)</f>
        <v>0</v>
      </c>
    </row>
    <row r="192" spans="1:264 16383:16384" s="11" customFormat="1" ht="11.25" hidden="1">
      <c r="A192" s="176">
        <v>8.9</v>
      </c>
      <c r="B192" s="116"/>
      <c r="C192" s="107"/>
      <c r="D192" s="12" t="str">
        <f>IF(OR(j_WEEKDAY(J_ADDDAY(VLOOKUP(I192,A:F,6,FALSE),H192,1),0)=6,SUMIFS(Holieday[ok],Holieday[date],J_ADDDAY(VLOOKUP(I192,A:F,6,FALSE),H192,1)))=FALSE(),J_ADDDAY(VLOOKUP(I192,A:F,6,FALSE),H192,1),IF(OR(j_WEEKDAY(J_ADDDAY(VLOOKUP(I192,A:F,6,FALSE),H192+1,1),0)=6,SUMIFS(Holieday[ok],Holieday[date],J_ADDDAY(VLOOKUP(I192,A:F,6,FALSE),H192+1,1)))=FALSE(),J_ADDDAY(VLOOKUP(I192,A:F,6,FALSE),H192+1,1),IF(OR(j_WEEKDAY(J_ADDDAY(VLOOKUP(I192,A:F,6,FALSE),H192+2,1),0)=6,SUMIFS(Holieday[ok],Holieday[date],J_ADDDAY(VLOOKUP(I192,A:F,6,FALSE),H192+2,1)))=FALSE(),J_ADDDAY(VLOOKUP(I192,A:F,6,FALSE),H192+2,1),IF(OR(j_WEEKDAY(J_ADDDAY(VLOOKUP(I192,A:F,6,FALSE),H192+3,1),0)=6,SUMIFS(Holieday[ok],Holieday[date],J_ADDDAY(VLOOKUP(I192,A:F,6,FALSE),H192+3,1)))=FALSE(),J_ADDDAY(VLOOKUP(I192,A:F,6,FALSE),H192+3,1),IF(OR(j_WEEKDAY(J_ADDDAY(VLOOKUP(I192,A:F,6,FALSE),H192+4,1),0)=6,SUMIFS(Holieday[ok],Holieday[date],J_ADDDAY(VLOOKUP(I192,A:F,6,FALSE),H192+4,1)))=FALSE(),J_ADDDAY(VLOOKUP(I192,A:F,6,FALSE),H192+4,1),J_ADDDAY(VLOOKUP(I192,A:F,6,FALSE),H192+5,1))))))</f>
        <v>1398/06/31</v>
      </c>
      <c r="E192" s="1">
        <f t="shared" si="64"/>
        <v>13980631</v>
      </c>
      <c r="F192" s="12" t="str">
        <f>IF(N192=0,J_SUBDAY(D192,1,1),IF((N192-NETWORKDAYS.INTL(J_GregorianDate(D192,1),J_GregorianDate(J_SUBDAY(J_ADDDAY(D192,N192,1),1,1),1),16,1)-SUMIFS(Holieday[ok],Holieday[date],CONCATENATE("&gt;","=",D192),Holieday[date],CONCATENATE("&lt;","=",J_SUBDAY(J_ADDDAY(D192,N192,1),1,1)))+SUMIFS(Holieday[Friday],Holieday[date],CONCATENATE("&gt;","=",D192),Holieday[date],CONCATENATE("&lt;","=",J_SUBDAY(J_ADDDAY(D192,N192,1),1,1))))=0,J_SUBDAY(J_ADDDAY(D192,N192,1),1,1),IF((N192-NETWORKDAYS.INTL(J_GregorianDate(D192,1),J_GregorianDate(J_SUBDAY(J_ADDDAY(D192,N192,1),1,1),1),16,1)-SUMIFS(Holieday[ok],Holieday[date],CONCATENATE("&gt;","=",D192),Holieday[date],CONCATENATE("&lt;","=",J_SUBDAY(J_ADDDAY(D192,N192,1),1,1)))+SUMIFS(Holieday[Friday],Holieday[date],CONCATENATE("&gt;","=",D192),Holieday[date],CONCATENATE("&lt;","=",J_SUBDAY(J_ADDDAY(D192,N192,1),1,1))))=1,J_SUBDAY(J_ADDDAY(D192,N192+1,1),1,1),IF((N192-NETWORKDAYS.INTL(J_GregorianDate(D192,1),J_GregorianDate(J_SUBDAY(J_ADDDAY(D192,N192,1),1,1),1),16,1)-SUMIFS(Holieday[ok],Holieday[date],CONCATENATE("&gt;","=",D192),Holieday[date],CONCATENATE("&lt;","=",J_SUBDAY(J_ADDDAY(D192,N192,1),1,1)))+SUMIFS(Holieday[Friday],Holieday[date],CONCATENATE("&gt;","=",D192),Holieday[date],CONCATENATE("&lt;","=",J_SUBDAY(J_ADDDAY(D192,N192,1),1,1))))=2,J_SUBDAY(J_ADDDAY(D192,N192+2,1),1,1),J_SUBDAY(J_ADDDAY(D192,N192+3,1),1,1)))))</f>
        <v>1398/06/30</v>
      </c>
      <c r="G192" s="2">
        <f t="shared" si="65"/>
        <v>13980630</v>
      </c>
      <c r="H192" s="109"/>
      <c r="I192" s="110">
        <v>1.1000000000000001</v>
      </c>
      <c r="J192" s="9">
        <f>j_WEEKDAY(D192,2)</f>
        <v>1</v>
      </c>
      <c r="K192" s="21">
        <f t="shared" si="62"/>
        <v>0</v>
      </c>
      <c r="L192" s="8">
        <f t="shared" si="63"/>
        <v>0</v>
      </c>
      <c r="M192" s="111">
        <v>0</v>
      </c>
      <c r="N192" s="108">
        <v>0</v>
      </c>
      <c r="O192" s="10">
        <f t="shared" si="60"/>
        <v>0</v>
      </c>
      <c r="P192" s="10">
        <f>VALUE(J_normdate(J_ADDDAY($D192,$O192,1)))</f>
        <v>13980631</v>
      </c>
      <c r="Q192" s="9">
        <f t="shared" si="61"/>
        <v>0</v>
      </c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/>
      <c r="CA192" s="7"/>
      <c r="CB192" s="7"/>
      <c r="CC192" s="7"/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/>
      <c r="CQ192" s="7"/>
      <c r="CR192" s="7"/>
      <c r="CS192" s="7"/>
      <c r="CT192" s="7"/>
      <c r="CU192" s="7"/>
      <c r="CV192" s="7"/>
      <c r="CW192" s="7"/>
      <c r="CX192" s="7"/>
      <c r="CY192" s="7"/>
      <c r="CZ192" s="7"/>
      <c r="DA192" s="7"/>
      <c r="DB192" s="7"/>
      <c r="DC192" s="7"/>
      <c r="DD192" s="7"/>
      <c r="DE192" s="7"/>
      <c r="DF192" s="7"/>
      <c r="DG192" s="7"/>
      <c r="DH192" s="7"/>
      <c r="DI192" s="7"/>
      <c r="DJ192" s="7"/>
      <c r="DK192" s="7"/>
      <c r="DL192" s="7"/>
      <c r="DM192" s="7"/>
      <c r="DN192" s="7"/>
      <c r="DO192" s="7"/>
      <c r="DP192" s="7"/>
      <c r="DQ192" s="7"/>
      <c r="DR192" s="7"/>
      <c r="DS192" s="7"/>
      <c r="DT192" s="7"/>
      <c r="DU192" s="7"/>
      <c r="DV192" s="7"/>
      <c r="DW192" s="7"/>
      <c r="DX192" s="7"/>
      <c r="DY192" s="7"/>
      <c r="DZ192" s="7"/>
      <c r="EA192" s="7"/>
      <c r="EB192" s="7"/>
      <c r="EC192" s="7"/>
      <c r="ED192" s="7"/>
      <c r="EE192" s="7"/>
      <c r="EF192" s="7"/>
      <c r="EG192" s="7"/>
      <c r="EH192" s="7"/>
      <c r="EI192" s="7"/>
      <c r="EJ192" s="7"/>
      <c r="EK192" s="7"/>
      <c r="EL192" s="7"/>
      <c r="EM192" s="7"/>
      <c r="EN192" s="7"/>
      <c r="EO192" s="7"/>
      <c r="EP192" s="7"/>
      <c r="EQ192" s="7"/>
      <c r="ER192" s="7"/>
      <c r="ES192" s="7"/>
      <c r="ET192" s="7"/>
      <c r="EU192" s="7"/>
      <c r="EV192" s="7"/>
      <c r="EW192" s="7"/>
      <c r="EX192" s="7"/>
      <c r="EY192" s="7"/>
      <c r="EZ192" s="7"/>
      <c r="FA192" s="7"/>
      <c r="FB192" s="7"/>
      <c r="FC192" s="7"/>
      <c r="FD192" s="7"/>
      <c r="FE192" s="7"/>
      <c r="FF192" s="7"/>
      <c r="FG192" s="7"/>
      <c r="FH192" s="7"/>
      <c r="FI192" s="7"/>
      <c r="FJ192" s="7"/>
      <c r="FK192" s="7"/>
      <c r="FL192" s="7"/>
      <c r="FM192" s="7"/>
      <c r="FN192" s="7"/>
      <c r="FO192" s="7"/>
      <c r="FP192" s="7"/>
      <c r="FQ192" s="7"/>
      <c r="FR192" s="7"/>
      <c r="FS192" s="7"/>
      <c r="FT192" s="7"/>
      <c r="FU192" s="7"/>
      <c r="FV192" s="7"/>
      <c r="FW192" s="7"/>
      <c r="FX192" s="7"/>
      <c r="FY192" s="7"/>
      <c r="FZ192" s="7"/>
      <c r="GA192" s="7"/>
      <c r="GB192" s="7"/>
      <c r="GC192" s="7"/>
      <c r="GD192" s="7"/>
      <c r="GE192" s="7"/>
      <c r="GF192" s="7"/>
      <c r="GG192" s="7"/>
      <c r="GH192" s="7"/>
      <c r="GI192" s="7"/>
      <c r="GJ192" s="7"/>
      <c r="GK192" s="7"/>
      <c r="GL192" s="7"/>
      <c r="GM192" s="7"/>
      <c r="GN192" s="7"/>
      <c r="GO192" s="7"/>
      <c r="GP192" s="7"/>
      <c r="GQ192" s="7"/>
      <c r="GR192" s="7"/>
      <c r="GS192" s="7"/>
      <c r="GT192" s="7"/>
      <c r="GU192" s="7"/>
      <c r="GV192" s="7"/>
      <c r="GW192" s="7"/>
      <c r="GX192" s="7"/>
      <c r="GY192" s="7"/>
      <c r="GZ192" s="7"/>
      <c r="HA192" s="7"/>
      <c r="HB192" s="7"/>
      <c r="HC192" s="7"/>
      <c r="HD192" s="7"/>
      <c r="HE192" s="7"/>
      <c r="HF192" s="7"/>
      <c r="HG192" s="7"/>
      <c r="HH192" s="7"/>
      <c r="HI192" s="7"/>
      <c r="HJ192" s="7"/>
      <c r="HK192" s="7"/>
      <c r="HL192" s="7"/>
      <c r="HM192" s="7"/>
      <c r="HN192" s="7"/>
      <c r="HO192" s="7"/>
      <c r="HP192" s="7"/>
      <c r="HQ192" s="7"/>
      <c r="HR192" s="7"/>
      <c r="HS192" s="7"/>
      <c r="HT192" s="7"/>
      <c r="HU192" s="7"/>
      <c r="HV192" s="7"/>
      <c r="HW192" s="7"/>
      <c r="HX192" s="7"/>
      <c r="HY192" s="7"/>
      <c r="HZ192" s="7"/>
      <c r="IA192" s="7"/>
      <c r="IB192" s="7"/>
      <c r="IC192" s="7"/>
      <c r="ID192" s="7"/>
      <c r="IE192" s="7"/>
      <c r="IF192" s="7"/>
      <c r="IG192" s="7"/>
      <c r="IH192" s="7"/>
      <c r="II192" s="7"/>
      <c r="IJ192" s="7"/>
      <c r="IK192" s="7"/>
      <c r="IL192" s="7"/>
      <c r="IM192" s="7"/>
      <c r="IN192" s="7"/>
      <c r="IO192" s="7"/>
      <c r="IP192" s="7"/>
      <c r="IQ192" s="7"/>
      <c r="IR192" s="7"/>
      <c r="IS192" s="7"/>
      <c r="IT192" s="7"/>
      <c r="IU192" s="7"/>
      <c r="IV192" s="7"/>
      <c r="IW192" s="7"/>
      <c r="IX192" s="7"/>
      <c r="JA192" s="113"/>
      <c r="JB192" s="113"/>
      <c r="JC192" s="113"/>
      <c r="JD192" s="66">
        <f>SUM((TEXT(JA192,"[M]")/60)*'Income Person-hours'!$D$3,(TEXT(JB192,"[M]")/60)*'Income Person-hours'!$D$4,(TEXT(JC192,"[M]")/60)*'Income Person-hours'!$D$5)</f>
        <v>0</v>
      </c>
    </row>
    <row r="193" spans="1:264 16383:16384" s="11" customFormat="1" ht="11.25" hidden="1">
      <c r="A193" s="30">
        <v>8.11</v>
      </c>
      <c r="B193" s="116"/>
      <c r="C193" s="107"/>
      <c r="D193" s="12" t="str">
        <f>IF(OR(j_WEEKDAY(J_ADDDAY(VLOOKUP(I193,A:F,6,FALSE),H193,1),0)=6,SUMIFS(Holieday[ok],Holieday[date],J_ADDDAY(VLOOKUP(I193,A:F,6,FALSE),H193,1)))=FALSE(),J_ADDDAY(VLOOKUP(I193,A:F,6,FALSE),H193,1),IF(OR(j_WEEKDAY(J_ADDDAY(VLOOKUP(I193,A:F,6,FALSE),H193+1,1),0)=6,SUMIFS(Holieday[ok],Holieday[date],J_ADDDAY(VLOOKUP(I193,A:F,6,FALSE),H193+1,1)))=FALSE(),J_ADDDAY(VLOOKUP(I193,A:F,6,FALSE),H193+1,1),IF(OR(j_WEEKDAY(J_ADDDAY(VLOOKUP(I193,A:F,6,FALSE),H193+2,1),0)=6,SUMIFS(Holieday[ok],Holieday[date],J_ADDDAY(VLOOKUP(I193,A:F,6,FALSE),H193+2,1)))=FALSE(),J_ADDDAY(VLOOKUP(I193,A:F,6,FALSE),H193+2,1),IF(OR(j_WEEKDAY(J_ADDDAY(VLOOKUP(I193,A:F,6,FALSE),H193+3,1),0)=6,SUMIFS(Holieday[ok],Holieday[date],J_ADDDAY(VLOOKUP(I193,A:F,6,FALSE),H193+3,1)))=FALSE(),J_ADDDAY(VLOOKUP(I193,A:F,6,FALSE),H193+3,1),IF(OR(j_WEEKDAY(J_ADDDAY(VLOOKUP(I193,A:F,6,FALSE),H193+4,1),0)=6,SUMIFS(Holieday[ok],Holieday[date],J_ADDDAY(VLOOKUP(I193,A:F,6,FALSE),H193+4,1)))=FALSE(),J_ADDDAY(VLOOKUP(I193,A:F,6,FALSE),H193+4,1),J_ADDDAY(VLOOKUP(I193,A:F,6,FALSE),H193+5,1))))))</f>
        <v>1398/06/31</v>
      </c>
      <c r="E193" s="1">
        <f t="shared" si="64"/>
        <v>13980631</v>
      </c>
      <c r="F193" s="12" t="str">
        <f>IF(N193=0,J_SUBDAY(D193,1,1),IF((N193-NETWORKDAYS.INTL(J_GregorianDate(D193,1),J_GregorianDate(J_SUBDAY(J_ADDDAY(D193,N193,1),1,1),1),16,1)-SUMIFS(Holieday[ok],Holieday[date],CONCATENATE("&gt;","=",D193),Holieday[date],CONCATENATE("&lt;","=",J_SUBDAY(J_ADDDAY(D193,N193,1),1,1)))+SUMIFS(Holieday[Friday],Holieday[date],CONCATENATE("&gt;","=",D193),Holieday[date],CONCATENATE("&lt;","=",J_SUBDAY(J_ADDDAY(D193,N193,1),1,1))))=0,J_SUBDAY(J_ADDDAY(D193,N193,1),1,1),IF((N193-NETWORKDAYS.INTL(J_GregorianDate(D193,1),J_GregorianDate(J_SUBDAY(J_ADDDAY(D193,N193,1),1,1),1),16,1)-SUMIFS(Holieday[ok],Holieday[date],CONCATENATE("&gt;","=",D193),Holieday[date],CONCATENATE("&lt;","=",J_SUBDAY(J_ADDDAY(D193,N193,1),1,1)))+SUMIFS(Holieday[Friday],Holieday[date],CONCATENATE("&gt;","=",D193),Holieday[date],CONCATENATE("&lt;","=",J_SUBDAY(J_ADDDAY(D193,N193,1),1,1))))=1,J_SUBDAY(J_ADDDAY(D193,N193+1,1),1,1),IF((N193-NETWORKDAYS.INTL(J_GregorianDate(D193,1),J_GregorianDate(J_SUBDAY(J_ADDDAY(D193,N193,1),1,1),1),16,1)-SUMIFS(Holieday[ok],Holieday[date],CONCATENATE("&gt;","=",D193),Holieday[date],CONCATENATE("&lt;","=",J_SUBDAY(J_ADDDAY(D193,N193,1),1,1)))+SUMIFS(Holieday[Friday],Holieday[date],CONCATENATE("&gt;","=",D193),Holieday[date],CONCATENATE("&lt;","=",J_SUBDAY(J_ADDDAY(D193,N193,1),1,1))))=2,J_SUBDAY(J_ADDDAY(D193,N193+2,1),1,1),J_SUBDAY(J_ADDDAY(D193,N193+3,1),1,1)))))</f>
        <v>1398/06/30</v>
      </c>
      <c r="G193" s="2">
        <f t="shared" si="65"/>
        <v>13980630</v>
      </c>
      <c r="H193" s="109"/>
      <c r="I193" s="110">
        <v>1.1000000000000001</v>
      </c>
      <c r="J193" s="9">
        <f>j_WEEKDAY(D193,2)</f>
        <v>1</v>
      </c>
      <c r="K193" s="21">
        <f t="shared" si="62"/>
        <v>0</v>
      </c>
      <c r="L193" s="8">
        <f t="shared" si="63"/>
        <v>0</v>
      </c>
      <c r="M193" s="111">
        <v>0</v>
      </c>
      <c r="N193" s="108">
        <v>0</v>
      </c>
      <c r="O193" s="10">
        <f t="shared" si="60"/>
        <v>0</v>
      </c>
      <c r="P193" s="10">
        <f>VALUE(J_normdate(J_ADDDAY($D193,$O193,1)))</f>
        <v>13980631</v>
      </c>
      <c r="Q193" s="9">
        <f t="shared" si="61"/>
        <v>0</v>
      </c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7"/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/>
      <c r="CQ193" s="7"/>
      <c r="CR193" s="7"/>
      <c r="CS193" s="7"/>
      <c r="CT193" s="7"/>
      <c r="CU193" s="7"/>
      <c r="CV193" s="7"/>
      <c r="CW193" s="7"/>
      <c r="CX193" s="7"/>
      <c r="CY193" s="7"/>
      <c r="CZ193" s="7"/>
      <c r="DA193" s="7"/>
      <c r="DB193" s="7"/>
      <c r="DC193" s="7"/>
      <c r="DD193" s="7"/>
      <c r="DE193" s="7"/>
      <c r="DF193" s="7"/>
      <c r="DG193" s="7"/>
      <c r="DH193" s="7"/>
      <c r="DI193" s="7"/>
      <c r="DJ193" s="7"/>
      <c r="DK193" s="7"/>
      <c r="DL193" s="7"/>
      <c r="DM193" s="7"/>
      <c r="DN193" s="7"/>
      <c r="DO193" s="7"/>
      <c r="DP193" s="7"/>
      <c r="DQ193" s="7"/>
      <c r="DR193" s="7"/>
      <c r="DS193" s="7"/>
      <c r="DT193" s="7"/>
      <c r="DU193" s="7"/>
      <c r="DV193" s="7"/>
      <c r="DW193" s="7"/>
      <c r="DX193" s="7"/>
      <c r="DY193" s="7"/>
      <c r="DZ193" s="7"/>
      <c r="EA193" s="7"/>
      <c r="EB193" s="7"/>
      <c r="EC193" s="7"/>
      <c r="ED193" s="7"/>
      <c r="EE193" s="7"/>
      <c r="EF193" s="7"/>
      <c r="EG193" s="7"/>
      <c r="EH193" s="7"/>
      <c r="EI193" s="7"/>
      <c r="EJ193" s="7"/>
      <c r="EK193" s="7"/>
      <c r="EL193" s="7"/>
      <c r="EM193" s="7"/>
      <c r="EN193" s="7"/>
      <c r="EO193" s="7"/>
      <c r="EP193" s="7"/>
      <c r="EQ193" s="7"/>
      <c r="ER193" s="7"/>
      <c r="ES193" s="7"/>
      <c r="ET193" s="7"/>
      <c r="EU193" s="7"/>
      <c r="EV193" s="7"/>
      <c r="EW193" s="7"/>
      <c r="EX193" s="7"/>
      <c r="EY193" s="7"/>
      <c r="EZ193" s="7"/>
      <c r="FA193" s="7"/>
      <c r="FB193" s="7"/>
      <c r="FC193" s="7"/>
      <c r="FD193" s="7"/>
      <c r="FE193" s="7"/>
      <c r="FF193" s="7"/>
      <c r="FG193" s="7"/>
      <c r="FH193" s="7"/>
      <c r="FI193" s="7"/>
      <c r="FJ193" s="7"/>
      <c r="FK193" s="7"/>
      <c r="FL193" s="7"/>
      <c r="FM193" s="7"/>
      <c r="FN193" s="7"/>
      <c r="FO193" s="7"/>
      <c r="FP193" s="7"/>
      <c r="FQ193" s="7"/>
      <c r="FR193" s="7"/>
      <c r="FS193" s="7"/>
      <c r="FT193" s="7"/>
      <c r="FU193" s="7"/>
      <c r="FV193" s="7"/>
      <c r="FW193" s="7"/>
      <c r="FX193" s="7"/>
      <c r="FY193" s="7"/>
      <c r="FZ193" s="7"/>
      <c r="GA193" s="7"/>
      <c r="GB193" s="7"/>
      <c r="GC193" s="7"/>
      <c r="GD193" s="7"/>
      <c r="GE193" s="7"/>
      <c r="GF193" s="7"/>
      <c r="GG193" s="7"/>
      <c r="GH193" s="7"/>
      <c r="GI193" s="7"/>
      <c r="GJ193" s="7"/>
      <c r="GK193" s="7"/>
      <c r="GL193" s="7"/>
      <c r="GM193" s="7"/>
      <c r="GN193" s="7"/>
      <c r="GO193" s="7"/>
      <c r="GP193" s="7"/>
      <c r="GQ193" s="7"/>
      <c r="GR193" s="7"/>
      <c r="GS193" s="7"/>
      <c r="GT193" s="7"/>
      <c r="GU193" s="7"/>
      <c r="GV193" s="7"/>
      <c r="GW193" s="7"/>
      <c r="GX193" s="7"/>
      <c r="GY193" s="7"/>
      <c r="GZ193" s="7"/>
      <c r="HA193" s="7"/>
      <c r="HB193" s="7"/>
      <c r="HC193" s="7"/>
      <c r="HD193" s="7"/>
      <c r="HE193" s="7"/>
      <c r="HF193" s="7"/>
      <c r="HG193" s="7"/>
      <c r="HH193" s="7"/>
      <c r="HI193" s="7"/>
      <c r="HJ193" s="7"/>
      <c r="HK193" s="7"/>
      <c r="HL193" s="7"/>
      <c r="HM193" s="7"/>
      <c r="HN193" s="7"/>
      <c r="HO193" s="7"/>
      <c r="HP193" s="7"/>
      <c r="HQ193" s="7"/>
      <c r="HR193" s="7"/>
      <c r="HS193" s="7"/>
      <c r="HT193" s="7"/>
      <c r="HU193" s="7"/>
      <c r="HV193" s="7"/>
      <c r="HW193" s="7"/>
      <c r="HX193" s="7"/>
      <c r="HY193" s="7"/>
      <c r="HZ193" s="7"/>
      <c r="IA193" s="7"/>
      <c r="IB193" s="7"/>
      <c r="IC193" s="7"/>
      <c r="ID193" s="7"/>
      <c r="IE193" s="7"/>
      <c r="IF193" s="7"/>
      <c r="IG193" s="7"/>
      <c r="IH193" s="7"/>
      <c r="II193" s="7"/>
      <c r="IJ193" s="7"/>
      <c r="IK193" s="7"/>
      <c r="IL193" s="7"/>
      <c r="IM193" s="7"/>
      <c r="IN193" s="7"/>
      <c r="IO193" s="7"/>
      <c r="IP193" s="7"/>
      <c r="IQ193" s="7"/>
      <c r="IR193" s="7"/>
      <c r="IS193" s="7"/>
      <c r="IT193" s="7"/>
      <c r="IU193" s="7"/>
      <c r="IV193" s="7"/>
      <c r="IW193" s="7"/>
      <c r="IX193" s="7"/>
      <c r="JA193" s="113"/>
      <c r="JB193" s="113"/>
      <c r="JC193" s="113"/>
      <c r="JD193" s="66">
        <f>SUM((TEXT(JA193,"[M]")/60)*'Income Person-hours'!$D$3,(TEXT(JB193,"[M]")/60)*'Income Person-hours'!$D$4,(TEXT(JC193,"[M]")/60)*'Income Person-hours'!$D$5)</f>
        <v>0</v>
      </c>
    </row>
    <row r="194" spans="1:264 16383:16384" s="11" customFormat="1" ht="11.25" hidden="1">
      <c r="A194" s="30">
        <v>8.1199999999999992</v>
      </c>
      <c r="B194" s="116"/>
      <c r="C194" s="107"/>
      <c r="D194" s="12" t="str">
        <f>IF(OR(j_WEEKDAY(J_ADDDAY(VLOOKUP(I194,A:F,6,FALSE),H194,1),0)=6,SUMIFS(Holieday[ok],Holieday[date],J_ADDDAY(VLOOKUP(I194,A:F,6,FALSE),H194,1)))=FALSE(),J_ADDDAY(VLOOKUP(I194,A:F,6,FALSE),H194,1),IF(OR(j_WEEKDAY(J_ADDDAY(VLOOKUP(I194,A:F,6,FALSE),H194+1,1),0)=6,SUMIFS(Holieday[ok],Holieday[date],J_ADDDAY(VLOOKUP(I194,A:F,6,FALSE),H194+1,1)))=FALSE(),J_ADDDAY(VLOOKUP(I194,A:F,6,FALSE),H194+1,1),IF(OR(j_WEEKDAY(J_ADDDAY(VLOOKUP(I194,A:F,6,FALSE),H194+2,1),0)=6,SUMIFS(Holieday[ok],Holieday[date],J_ADDDAY(VLOOKUP(I194,A:F,6,FALSE),H194+2,1)))=FALSE(),J_ADDDAY(VLOOKUP(I194,A:F,6,FALSE),H194+2,1),IF(OR(j_WEEKDAY(J_ADDDAY(VLOOKUP(I194,A:F,6,FALSE),H194+3,1),0)=6,SUMIFS(Holieday[ok],Holieday[date],J_ADDDAY(VLOOKUP(I194,A:F,6,FALSE),H194+3,1)))=FALSE(),J_ADDDAY(VLOOKUP(I194,A:F,6,FALSE),H194+3,1),IF(OR(j_WEEKDAY(J_ADDDAY(VLOOKUP(I194,A:F,6,FALSE),H194+4,1),0)=6,SUMIFS(Holieday[ok],Holieday[date],J_ADDDAY(VLOOKUP(I194,A:F,6,FALSE),H194+4,1)))=FALSE(),J_ADDDAY(VLOOKUP(I194,A:F,6,FALSE),H194+4,1),J_ADDDAY(VLOOKUP(I194,A:F,6,FALSE),H194+5,1))))))</f>
        <v>1398/06/31</v>
      </c>
      <c r="E194" s="1">
        <f t="shared" si="64"/>
        <v>13980631</v>
      </c>
      <c r="F194" s="12" t="str">
        <f>IF(N194=0,J_SUBDAY(D194,1,1),IF((N194-NETWORKDAYS.INTL(J_GregorianDate(D194,1),J_GregorianDate(J_SUBDAY(J_ADDDAY(D194,N194,1),1,1),1),16,1)-SUMIFS(Holieday[ok],Holieday[date],CONCATENATE("&gt;","=",D194),Holieday[date],CONCATENATE("&lt;","=",J_SUBDAY(J_ADDDAY(D194,N194,1),1,1)))+SUMIFS(Holieday[Friday],Holieday[date],CONCATENATE("&gt;","=",D194),Holieday[date],CONCATENATE("&lt;","=",J_SUBDAY(J_ADDDAY(D194,N194,1),1,1))))=0,J_SUBDAY(J_ADDDAY(D194,N194,1),1,1),IF((N194-NETWORKDAYS.INTL(J_GregorianDate(D194,1),J_GregorianDate(J_SUBDAY(J_ADDDAY(D194,N194,1),1,1),1),16,1)-SUMIFS(Holieday[ok],Holieday[date],CONCATENATE("&gt;","=",D194),Holieday[date],CONCATENATE("&lt;","=",J_SUBDAY(J_ADDDAY(D194,N194,1),1,1)))+SUMIFS(Holieday[Friday],Holieday[date],CONCATENATE("&gt;","=",D194),Holieday[date],CONCATENATE("&lt;","=",J_SUBDAY(J_ADDDAY(D194,N194,1),1,1))))=1,J_SUBDAY(J_ADDDAY(D194,N194+1,1),1,1),IF((N194-NETWORKDAYS.INTL(J_GregorianDate(D194,1),J_GregorianDate(J_SUBDAY(J_ADDDAY(D194,N194,1),1,1),1),16,1)-SUMIFS(Holieday[ok],Holieday[date],CONCATENATE("&gt;","=",D194),Holieday[date],CONCATENATE("&lt;","=",J_SUBDAY(J_ADDDAY(D194,N194,1),1,1)))+SUMIFS(Holieday[Friday],Holieday[date],CONCATENATE("&gt;","=",D194),Holieday[date],CONCATENATE("&lt;","=",J_SUBDAY(J_ADDDAY(D194,N194,1),1,1))))=2,J_SUBDAY(J_ADDDAY(D194,N194+2,1),1,1),J_SUBDAY(J_ADDDAY(D194,N194+3,1),1,1)))))</f>
        <v>1398/06/30</v>
      </c>
      <c r="G194" s="2">
        <f t="shared" si="65"/>
        <v>13980630</v>
      </c>
      <c r="H194" s="109"/>
      <c r="I194" s="110">
        <v>1.1000000000000001</v>
      </c>
      <c r="J194" s="9">
        <f>j_WEEKDAY(D194,2)</f>
        <v>1</v>
      </c>
      <c r="K194" s="21">
        <f t="shared" si="62"/>
        <v>0</v>
      </c>
      <c r="L194" s="8">
        <f t="shared" si="63"/>
        <v>0</v>
      </c>
      <c r="M194" s="111">
        <v>0</v>
      </c>
      <c r="N194" s="108">
        <v>0</v>
      </c>
      <c r="O194" s="10">
        <f t="shared" si="60"/>
        <v>0</v>
      </c>
      <c r="P194" s="10">
        <f>VALUE(J_normdate(J_ADDDAY($D194,$O194,1)))</f>
        <v>13980631</v>
      </c>
      <c r="Q194" s="9">
        <f t="shared" si="61"/>
        <v>0</v>
      </c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  <c r="CC194" s="7"/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/>
      <c r="CQ194" s="7"/>
      <c r="CR194" s="7"/>
      <c r="CS194" s="7"/>
      <c r="CT194" s="7"/>
      <c r="CU194" s="7"/>
      <c r="CV194" s="7"/>
      <c r="CW194" s="7"/>
      <c r="CX194" s="7"/>
      <c r="CY194" s="7"/>
      <c r="CZ194" s="7"/>
      <c r="DA194" s="7"/>
      <c r="DB194" s="7"/>
      <c r="DC194" s="7"/>
      <c r="DD194" s="7"/>
      <c r="DE194" s="7"/>
      <c r="DF194" s="7"/>
      <c r="DG194" s="7"/>
      <c r="DH194" s="7"/>
      <c r="DI194" s="7"/>
      <c r="DJ194" s="7"/>
      <c r="DK194" s="7"/>
      <c r="DL194" s="7"/>
      <c r="DM194" s="7"/>
      <c r="DN194" s="7"/>
      <c r="DO194" s="7"/>
      <c r="DP194" s="7"/>
      <c r="DQ194" s="7"/>
      <c r="DR194" s="7"/>
      <c r="DS194" s="7"/>
      <c r="DT194" s="7"/>
      <c r="DU194" s="7"/>
      <c r="DV194" s="7"/>
      <c r="DW194" s="7"/>
      <c r="DX194" s="7"/>
      <c r="DY194" s="7"/>
      <c r="DZ194" s="7"/>
      <c r="EA194" s="7"/>
      <c r="EB194" s="7"/>
      <c r="EC194" s="7"/>
      <c r="ED194" s="7"/>
      <c r="EE194" s="7"/>
      <c r="EF194" s="7"/>
      <c r="EG194" s="7"/>
      <c r="EH194" s="7"/>
      <c r="EI194" s="7"/>
      <c r="EJ194" s="7"/>
      <c r="EK194" s="7"/>
      <c r="EL194" s="7"/>
      <c r="EM194" s="7"/>
      <c r="EN194" s="7"/>
      <c r="EO194" s="7"/>
      <c r="EP194" s="7"/>
      <c r="EQ194" s="7"/>
      <c r="ER194" s="7"/>
      <c r="ES194" s="7"/>
      <c r="ET194" s="7"/>
      <c r="EU194" s="7"/>
      <c r="EV194" s="7"/>
      <c r="EW194" s="7"/>
      <c r="EX194" s="7"/>
      <c r="EY194" s="7"/>
      <c r="EZ194" s="7"/>
      <c r="FA194" s="7"/>
      <c r="FB194" s="7"/>
      <c r="FC194" s="7"/>
      <c r="FD194" s="7"/>
      <c r="FE194" s="7"/>
      <c r="FF194" s="7"/>
      <c r="FG194" s="7"/>
      <c r="FH194" s="7"/>
      <c r="FI194" s="7"/>
      <c r="FJ194" s="7"/>
      <c r="FK194" s="7"/>
      <c r="FL194" s="7"/>
      <c r="FM194" s="7"/>
      <c r="FN194" s="7"/>
      <c r="FO194" s="7"/>
      <c r="FP194" s="7"/>
      <c r="FQ194" s="7"/>
      <c r="FR194" s="7"/>
      <c r="FS194" s="7"/>
      <c r="FT194" s="7"/>
      <c r="FU194" s="7"/>
      <c r="FV194" s="7"/>
      <c r="FW194" s="7"/>
      <c r="FX194" s="7"/>
      <c r="FY194" s="7"/>
      <c r="FZ194" s="7"/>
      <c r="GA194" s="7"/>
      <c r="GB194" s="7"/>
      <c r="GC194" s="7"/>
      <c r="GD194" s="7"/>
      <c r="GE194" s="7"/>
      <c r="GF194" s="7"/>
      <c r="GG194" s="7"/>
      <c r="GH194" s="7"/>
      <c r="GI194" s="7"/>
      <c r="GJ194" s="7"/>
      <c r="GK194" s="7"/>
      <c r="GL194" s="7"/>
      <c r="GM194" s="7"/>
      <c r="GN194" s="7"/>
      <c r="GO194" s="7"/>
      <c r="GP194" s="7"/>
      <c r="GQ194" s="7"/>
      <c r="GR194" s="7"/>
      <c r="GS194" s="7"/>
      <c r="GT194" s="7"/>
      <c r="GU194" s="7"/>
      <c r="GV194" s="7"/>
      <c r="GW194" s="7"/>
      <c r="GX194" s="7"/>
      <c r="GY194" s="7"/>
      <c r="GZ194" s="7"/>
      <c r="HA194" s="7"/>
      <c r="HB194" s="7"/>
      <c r="HC194" s="7"/>
      <c r="HD194" s="7"/>
      <c r="HE194" s="7"/>
      <c r="HF194" s="7"/>
      <c r="HG194" s="7"/>
      <c r="HH194" s="7"/>
      <c r="HI194" s="7"/>
      <c r="HJ194" s="7"/>
      <c r="HK194" s="7"/>
      <c r="HL194" s="7"/>
      <c r="HM194" s="7"/>
      <c r="HN194" s="7"/>
      <c r="HO194" s="7"/>
      <c r="HP194" s="7"/>
      <c r="HQ194" s="7"/>
      <c r="HR194" s="7"/>
      <c r="HS194" s="7"/>
      <c r="HT194" s="7"/>
      <c r="HU194" s="7"/>
      <c r="HV194" s="7"/>
      <c r="HW194" s="7"/>
      <c r="HX194" s="7"/>
      <c r="HY194" s="7"/>
      <c r="HZ194" s="7"/>
      <c r="IA194" s="7"/>
      <c r="IB194" s="7"/>
      <c r="IC194" s="7"/>
      <c r="ID194" s="7"/>
      <c r="IE194" s="7"/>
      <c r="IF194" s="7"/>
      <c r="IG194" s="7"/>
      <c r="IH194" s="7"/>
      <c r="II194" s="7"/>
      <c r="IJ194" s="7"/>
      <c r="IK194" s="7"/>
      <c r="IL194" s="7"/>
      <c r="IM194" s="7"/>
      <c r="IN194" s="7"/>
      <c r="IO194" s="7"/>
      <c r="IP194" s="7"/>
      <c r="IQ194" s="7"/>
      <c r="IR194" s="7"/>
      <c r="IS194" s="7"/>
      <c r="IT194" s="7"/>
      <c r="IU194" s="7"/>
      <c r="IV194" s="7"/>
      <c r="IW194" s="7"/>
      <c r="IX194" s="7"/>
      <c r="JA194" s="113"/>
      <c r="JB194" s="113"/>
      <c r="JC194" s="113"/>
      <c r="JD194" s="66">
        <f>SUM((TEXT(JA194,"[M]")/60)*'Income Person-hours'!$D$3,(TEXT(JB194,"[M]")/60)*'Income Person-hours'!$D$4,(TEXT(JC194,"[M]")/60)*'Income Person-hours'!$D$5)</f>
        <v>0</v>
      </c>
    </row>
    <row r="195" spans="1:264 16383:16384" s="11" customFormat="1" ht="11.25" hidden="1">
      <c r="A195" s="30">
        <v>8.1300000000000008</v>
      </c>
      <c r="B195" s="116"/>
      <c r="C195" s="107"/>
      <c r="D195" s="12" t="str">
        <f>IF(OR(j_WEEKDAY(J_ADDDAY(VLOOKUP(I195,A:F,6,FALSE),H195,1),0)=6,SUMIFS(Holieday[ok],Holieday[date],J_ADDDAY(VLOOKUP(I195,A:F,6,FALSE),H195,1)))=FALSE(),J_ADDDAY(VLOOKUP(I195,A:F,6,FALSE),H195,1),IF(OR(j_WEEKDAY(J_ADDDAY(VLOOKUP(I195,A:F,6,FALSE),H195+1,1),0)=6,SUMIFS(Holieday[ok],Holieday[date],J_ADDDAY(VLOOKUP(I195,A:F,6,FALSE),H195+1,1)))=FALSE(),J_ADDDAY(VLOOKUP(I195,A:F,6,FALSE),H195+1,1),IF(OR(j_WEEKDAY(J_ADDDAY(VLOOKUP(I195,A:F,6,FALSE),H195+2,1),0)=6,SUMIFS(Holieday[ok],Holieday[date],J_ADDDAY(VLOOKUP(I195,A:F,6,FALSE),H195+2,1)))=FALSE(),J_ADDDAY(VLOOKUP(I195,A:F,6,FALSE),H195+2,1),IF(OR(j_WEEKDAY(J_ADDDAY(VLOOKUP(I195,A:F,6,FALSE),H195+3,1),0)=6,SUMIFS(Holieday[ok],Holieday[date],J_ADDDAY(VLOOKUP(I195,A:F,6,FALSE),H195+3,1)))=FALSE(),J_ADDDAY(VLOOKUP(I195,A:F,6,FALSE),H195+3,1),IF(OR(j_WEEKDAY(J_ADDDAY(VLOOKUP(I195,A:F,6,FALSE),H195+4,1),0)=6,SUMIFS(Holieday[ok],Holieday[date],J_ADDDAY(VLOOKUP(I195,A:F,6,FALSE),H195+4,1)))=FALSE(),J_ADDDAY(VLOOKUP(I195,A:F,6,FALSE),H195+4,1),J_ADDDAY(VLOOKUP(I195,A:F,6,FALSE),H195+5,1))))))</f>
        <v>1398/06/31</v>
      </c>
      <c r="E195" s="1">
        <f t="shared" si="64"/>
        <v>13980631</v>
      </c>
      <c r="F195" s="12" t="str">
        <f>IF(N195=0,J_SUBDAY(D195,1,1),IF((N195-NETWORKDAYS.INTL(J_GregorianDate(D195,1),J_GregorianDate(J_SUBDAY(J_ADDDAY(D195,N195,1),1,1),1),16,1)-SUMIFS(Holieday[ok],Holieday[date],CONCATENATE("&gt;","=",D195),Holieday[date],CONCATENATE("&lt;","=",J_SUBDAY(J_ADDDAY(D195,N195,1),1,1)))+SUMIFS(Holieday[Friday],Holieday[date],CONCATENATE("&gt;","=",D195),Holieday[date],CONCATENATE("&lt;","=",J_SUBDAY(J_ADDDAY(D195,N195,1),1,1))))=0,J_SUBDAY(J_ADDDAY(D195,N195,1),1,1),IF((N195-NETWORKDAYS.INTL(J_GregorianDate(D195,1),J_GregorianDate(J_SUBDAY(J_ADDDAY(D195,N195,1),1,1),1),16,1)-SUMIFS(Holieday[ok],Holieday[date],CONCATENATE("&gt;","=",D195),Holieday[date],CONCATENATE("&lt;","=",J_SUBDAY(J_ADDDAY(D195,N195,1),1,1)))+SUMIFS(Holieday[Friday],Holieday[date],CONCATENATE("&gt;","=",D195),Holieday[date],CONCATENATE("&lt;","=",J_SUBDAY(J_ADDDAY(D195,N195,1),1,1))))=1,J_SUBDAY(J_ADDDAY(D195,N195+1,1),1,1),IF((N195-NETWORKDAYS.INTL(J_GregorianDate(D195,1),J_GregorianDate(J_SUBDAY(J_ADDDAY(D195,N195,1),1,1),1),16,1)-SUMIFS(Holieday[ok],Holieday[date],CONCATENATE("&gt;","=",D195),Holieday[date],CONCATENATE("&lt;","=",J_SUBDAY(J_ADDDAY(D195,N195,1),1,1)))+SUMIFS(Holieday[Friday],Holieday[date],CONCATENATE("&gt;","=",D195),Holieday[date],CONCATENATE("&lt;","=",J_SUBDAY(J_ADDDAY(D195,N195,1),1,1))))=2,J_SUBDAY(J_ADDDAY(D195,N195+2,1),1,1),J_SUBDAY(J_ADDDAY(D195,N195+3,1),1,1)))))</f>
        <v>1398/06/30</v>
      </c>
      <c r="G195" s="2">
        <f t="shared" si="65"/>
        <v>13980630</v>
      </c>
      <c r="H195" s="109"/>
      <c r="I195" s="110">
        <v>1.1000000000000001</v>
      </c>
      <c r="J195" s="9">
        <f>j_WEEKDAY(D195,2)</f>
        <v>1</v>
      </c>
      <c r="K195" s="21">
        <f t="shared" si="62"/>
        <v>0</v>
      </c>
      <c r="L195" s="8">
        <f t="shared" si="63"/>
        <v>0</v>
      </c>
      <c r="M195" s="111">
        <v>0</v>
      </c>
      <c r="N195" s="108">
        <v>0</v>
      </c>
      <c r="O195" s="10">
        <f t="shared" si="60"/>
        <v>0</v>
      </c>
      <c r="P195" s="10">
        <f>VALUE(J_normdate(J_ADDDAY($D195,$O195,1)))</f>
        <v>13980631</v>
      </c>
      <c r="Q195" s="9">
        <f t="shared" si="61"/>
        <v>0</v>
      </c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  <c r="CC195" s="7"/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/>
      <c r="CQ195" s="7"/>
      <c r="CR195" s="7"/>
      <c r="CS195" s="7"/>
      <c r="CT195" s="7"/>
      <c r="CU195" s="7"/>
      <c r="CV195" s="7"/>
      <c r="CW195" s="7"/>
      <c r="CX195" s="7"/>
      <c r="CY195" s="7"/>
      <c r="CZ195" s="7"/>
      <c r="DA195" s="7"/>
      <c r="DB195" s="7"/>
      <c r="DC195" s="7"/>
      <c r="DD195" s="7"/>
      <c r="DE195" s="7"/>
      <c r="DF195" s="7"/>
      <c r="DG195" s="7"/>
      <c r="DH195" s="7"/>
      <c r="DI195" s="7"/>
      <c r="DJ195" s="7"/>
      <c r="DK195" s="7"/>
      <c r="DL195" s="7"/>
      <c r="DM195" s="7"/>
      <c r="DN195" s="7"/>
      <c r="DO195" s="7"/>
      <c r="DP195" s="7"/>
      <c r="DQ195" s="7"/>
      <c r="DR195" s="7"/>
      <c r="DS195" s="7"/>
      <c r="DT195" s="7"/>
      <c r="DU195" s="7"/>
      <c r="DV195" s="7"/>
      <c r="DW195" s="7"/>
      <c r="DX195" s="7"/>
      <c r="DY195" s="7"/>
      <c r="DZ195" s="7"/>
      <c r="EA195" s="7"/>
      <c r="EB195" s="7"/>
      <c r="EC195" s="7"/>
      <c r="ED195" s="7"/>
      <c r="EE195" s="7"/>
      <c r="EF195" s="7"/>
      <c r="EG195" s="7"/>
      <c r="EH195" s="7"/>
      <c r="EI195" s="7"/>
      <c r="EJ195" s="7"/>
      <c r="EK195" s="7"/>
      <c r="EL195" s="7"/>
      <c r="EM195" s="7"/>
      <c r="EN195" s="7"/>
      <c r="EO195" s="7"/>
      <c r="EP195" s="7"/>
      <c r="EQ195" s="7"/>
      <c r="ER195" s="7"/>
      <c r="ES195" s="7"/>
      <c r="ET195" s="7"/>
      <c r="EU195" s="7"/>
      <c r="EV195" s="7"/>
      <c r="EW195" s="7"/>
      <c r="EX195" s="7"/>
      <c r="EY195" s="7"/>
      <c r="EZ195" s="7"/>
      <c r="FA195" s="7"/>
      <c r="FB195" s="7"/>
      <c r="FC195" s="7"/>
      <c r="FD195" s="7"/>
      <c r="FE195" s="7"/>
      <c r="FF195" s="7"/>
      <c r="FG195" s="7"/>
      <c r="FH195" s="7"/>
      <c r="FI195" s="7"/>
      <c r="FJ195" s="7"/>
      <c r="FK195" s="7"/>
      <c r="FL195" s="7"/>
      <c r="FM195" s="7"/>
      <c r="FN195" s="7"/>
      <c r="FO195" s="7"/>
      <c r="FP195" s="7"/>
      <c r="FQ195" s="7"/>
      <c r="FR195" s="7"/>
      <c r="FS195" s="7"/>
      <c r="FT195" s="7"/>
      <c r="FU195" s="7"/>
      <c r="FV195" s="7"/>
      <c r="FW195" s="7"/>
      <c r="FX195" s="7"/>
      <c r="FY195" s="7"/>
      <c r="FZ195" s="7"/>
      <c r="GA195" s="7"/>
      <c r="GB195" s="7"/>
      <c r="GC195" s="7"/>
      <c r="GD195" s="7"/>
      <c r="GE195" s="7"/>
      <c r="GF195" s="7"/>
      <c r="GG195" s="7"/>
      <c r="GH195" s="7"/>
      <c r="GI195" s="7"/>
      <c r="GJ195" s="7"/>
      <c r="GK195" s="7"/>
      <c r="GL195" s="7"/>
      <c r="GM195" s="7"/>
      <c r="GN195" s="7"/>
      <c r="GO195" s="7"/>
      <c r="GP195" s="7"/>
      <c r="GQ195" s="7"/>
      <c r="GR195" s="7"/>
      <c r="GS195" s="7"/>
      <c r="GT195" s="7"/>
      <c r="GU195" s="7"/>
      <c r="GV195" s="7"/>
      <c r="GW195" s="7"/>
      <c r="GX195" s="7"/>
      <c r="GY195" s="7"/>
      <c r="GZ195" s="7"/>
      <c r="HA195" s="7"/>
      <c r="HB195" s="7"/>
      <c r="HC195" s="7"/>
      <c r="HD195" s="7"/>
      <c r="HE195" s="7"/>
      <c r="HF195" s="7"/>
      <c r="HG195" s="7"/>
      <c r="HH195" s="7"/>
      <c r="HI195" s="7"/>
      <c r="HJ195" s="7"/>
      <c r="HK195" s="7"/>
      <c r="HL195" s="7"/>
      <c r="HM195" s="7"/>
      <c r="HN195" s="7"/>
      <c r="HO195" s="7"/>
      <c r="HP195" s="7"/>
      <c r="HQ195" s="7"/>
      <c r="HR195" s="7"/>
      <c r="HS195" s="7"/>
      <c r="HT195" s="7"/>
      <c r="HU195" s="7"/>
      <c r="HV195" s="7"/>
      <c r="HW195" s="7"/>
      <c r="HX195" s="7"/>
      <c r="HY195" s="7"/>
      <c r="HZ195" s="7"/>
      <c r="IA195" s="7"/>
      <c r="IB195" s="7"/>
      <c r="IC195" s="7"/>
      <c r="ID195" s="7"/>
      <c r="IE195" s="7"/>
      <c r="IF195" s="7"/>
      <c r="IG195" s="7"/>
      <c r="IH195" s="7"/>
      <c r="II195" s="7"/>
      <c r="IJ195" s="7"/>
      <c r="IK195" s="7"/>
      <c r="IL195" s="7"/>
      <c r="IM195" s="7"/>
      <c r="IN195" s="7"/>
      <c r="IO195" s="7"/>
      <c r="IP195" s="7"/>
      <c r="IQ195" s="7"/>
      <c r="IR195" s="7"/>
      <c r="IS195" s="7"/>
      <c r="IT195" s="7"/>
      <c r="IU195" s="7"/>
      <c r="IV195" s="7"/>
      <c r="IW195" s="7"/>
      <c r="IX195" s="7"/>
      <c r="JA195" s="113"/>
      <c r="JB195" s="113"/>
      <c r="JC195" s="113"/>
      <c r="JD195" s="66">
        <f>SUM((TEXT(JA195,"[M]")/60)*'Income Person-hours'!$D$3,(TEXT(JB195,"[M]")/60)*'Income Person-hours'!$D$4,(TEXT(JC195,"[M]")/60)*'Income Person-hours'!$D$5)</f>
        <v>0</v>
      </c>
    </row>
    <row r="196" spans="1:264 16383:16384" s="11" customFormat="1" ht="11.25" hidden="1">
      <c r="A196" s="30">
        <v>8.14</v>
      </c>
      <c r="B196" s="116"/>
      <c r="C196" s="107"/>
      <c r="D196" s="12" t="str">
        <f>IF(OR(j_WEEKDAY(J_ADDDAY(VLOOKUP(I196,A:F,6,FALSE),H196,1),0)=6,SUMIFS(Holieday[ok],Holieday[date],J_ADDDAY(VLOOKUP(I196,A:F,6,FALSE),H196,1)))=FALSE(),J_ADDDAY(VLOOKUP(I196,A:F,6,FALSE),H196,1),IF(OR(j_WEEKDAY(J_ADDDAY(VLOOKUP(I196,A:F,6,FALSE),H196+1,1),0)=6,SUMIFS(Holieday[ok],Holieday[date],J_ADDDAY(VLOOKUP(I196,A:F,6,FALSE),H196+1,1)))=FALSE(),J_ADDDAY(VLOOKUP(I196,A:F,6,FALSE),H196+1,1),IF(OR(j_WEEKDAY(J_ADDDAY(VLOOKUP(I196,A:F,6,FALSE),H196+2,1),0)=6,SUMIFS(Holieday[ok],Holieday[date],J_ADDDAY(VLOOKUP(I196,A:F,6,FALSE),H196+2,1)))=FALSE(),J_ADDDAY(VLOOKUP(I196,A:F,6,FALSE),H196+2,1),IF(OR(j_WEEKDAY(J_ADDDAY(VLOOKUP(I196,A:F,6,FALSE),H196+3,1),0)=6,SUMIFS(Holieday[ok],Holieday[date],J_ADDDAY(VLOOKUP(I196,A:F,6,FALSE),H196+3,1)))=FALSE(),J_ADDDAY(VLOOKUP(I196,A:F,6,FALSE),H196+3,1),IF(OR(j_WEEKDAY(J_ADDDAY(VLOOKUP(I196,A:F,6,FALSE),H196+4,1),0)=6,SUMIFS(Holieday[ok],Holieday[date],J_ADDDAY(VLOOKUP(I196,A:F,6,FALSE),H196+4,1)))=FALSE(),J_ADDDAY(VLOOKUP(I196,A:F,6,FALSE),H196+4,1),J_ADDDAY(VLOOKUP(I196,A:F,6,FALSE),H196+5,1))))))</f>
        <v>1398/06/31</v>
      </c>
      <c r="E196" s="1">
        <f t="shared" si="64"/>
        <v>13980631</v>
      </c>
      <c r="F196" s="12" t="str">
        <f>IF(N196=0,J_SUBDAY(D196,1,1),IF((N196-NETWORKDAYS.INTL(J_GregorianDate(D196,1),J_GregorianDate(J_SUBDAY(J_ADDDAY(D196,N196,1),1,1),1),16,1)-SUMIFS(Holieday[ok],Holieday[date],CONCATENATE("&gt;","=",D196),Holieday[date],CONCATENATE("&lt;","=",J_SUBDAY(J_ADDDAY(D196,N196,1),1,1)))+SUMIFS(Holieday[Friday],Holieday[date],CONCATENATE("&gt;","=",D196),Holieday[date],CONCATENATE("&lt;","=",J_SUBDAY(J_ADDDAY(D196,N196,1),1,1))))=0,J_SUBDAY(J_ADDDAY(D196,N196,1),1,1),IF((N196-NETWORKDAYS.INTL(J_GregorianDate(D196,1),J_GregorianDate(J_SUBDAY(J_ADDDAY(D196,N196,1),1,1),1),16,1)-SUMIFS(Holieday[ok],Holieday[date],CONCATENATE("&gt;","=",D196),Holieday[date],CONCATENATE("&lt;","=",J_SUBDAY(J_ADDDAY(D196,N196,1),1,1)))+SUMIFS(Holieday[Friday],Holieday[date],CONCATENATE("&gt;","=",D196),Holieday[date],CONCATENATE("&lt;","=",J_SUBDAY(J_ADDDAY(D196,N196,1),1,1))))=1,J_SUBDAY(J_ADDDAY(D196,N196+1,1),1,1),IF((N196-NETWORKDAYS.INTL(J_GregorianDate(D196,1),J_GregorianDate(J_SUBDAY(J_ADDDAY(D196,N196,1),1,1),1),16,1)-SUMIFS(Holieday[ok],Holieday[date],CONCATENATE("&gt;","=",D196),Holieday[date],CONCATENATE("&lt;","=",J_SUBDAY(J_ADDDAY(D196,N196,1),1,1)))+SUMIFS(Holieday[Friday],Holieday[date],CONCATENATE("&gt;","=",D196),Holieday[date],CONCATENATE("&lt;","=",J_SUBDAY(J_ADDDAY(D196,N196,1),1,1))))=2,J_SUBDAY(J_ADDDAY(D196,N196+2,1),1,1),J_SUBDAY(J_ADDDAY(D196,N196+3,1),1,1)))))</f>
        <v>1398/06/30</v>
      </c>
      <c r="G196" s="2">
        <f t="shared" si="65"/>
        <v>13980630</v>
      </c>
      <c r="H196" s="109"/>
      <c r="I196" s="110">
        <v>1.1000000000000001</v>
      </c>
      <c r="J196" s="9">
        <f>j_WEEKDAY(D196,2)</f>
        <v>1</v>
      </c>
      <c r="K196" s="21">
        <f t="shared" si="62"/>
        <v>0</v>
      </c>
      <c r="L196" s="8">
        <f t="shared" si="63"/>
        <v>0</v>
      </c>
      <c r="M196" s="111">
        <v>0</v>
      </c>
      <c r="N196" s="108">
        <v>0</v>
      </c>
      <c r="O196" s="10">
        <f t="shared" si="60"/>
        <v>0</v>
      </c>
      <c r="P196" s="10">
        <f>VALUE(J_normdate(J_ADDDAY($D196,$O196,1)))</f>
        <v>13980631</v>
      </c>
      <c r="Q196" s="9">
        <f t="shared" si="61"/>
        <v>0</v>
      </c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  <c r="CS196" s="7"/>
      <c r="CT196" s="7"/>
      <c r="CU196" s="7"/>
      <c r="CV196" s="7"/>
      <c r="CW196" s="7"/>
      <c r="CX196" s="7"/>
      <c r="CY196" s="7"/>
      <c r="CZ196" s="7"/>
      <c r="DA196" s="7"/>
      <c r="DB196" s="7"/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7"/>
      <c r="DO196" s="7"/>
      <c r="DP196" s="7"/>
      <c r="DQ196" s="7"/>
      <c r="DR196" s="7"/>
      <c r="DS196" s="7"/>
      <c r="DT196" s="7"/>
      <c r="DU196" s="7"/>
      <c r="DV196" s="7"/>
      <c r="DW196" s="7"/>
      <c r="DX196" s="7"/>
      <c r="DY196" s="7"/>
      <c r="DZ196" s="7"/>
      <c r="EA196" s="7"/>
      <c r="EB196" s="7"/>
      <c r="EC196" s="7"/>
      <c r="ED196" s="7"/>
      <c r="EE196" s="7"/>
      <c r="EF196" s="7"/>
      <c r="EG196" s="7"/>
      <c r="EH196" s="7"/>
      <c r="EI196" s="7"/>
      <c r="EJ196" s="7"/>
      <c r="EK196" s="7"/>
      <c r="EL196" s="7"/>
      <c r="EM196" s="7"/>
      <c r="EN196" s="7"/>
      <c r="EO196" s="7"/>
      <c r="EP196" s="7"/>
      <c r="EQ196" s="7"/>
      <c r="ER196" s="7"/>
      <c r="ES196" s="7"/>
      <c r="ET196" s="7"/>
      <c r="EU196" s="7"/>
      <c r="EV196" s="7"/>
      <c r="EW196" s="7"/>
      <c r="EX196" s="7"/>
      <c r="EY196" s="7"/>
      <c r="EZ196" s="7"/>
      <c r="FA196" s="7"/>
      <c r="FB196" s="7"/>
      <c r="FC196" s="7"/>
      <c r="FD196" s="7"/>
      <c r="FE196" s="7"/>
      <c r="FF196" s="7"/>
      <c r="FG196" s="7"/>
      <c r="FH196" s="7"/>
      <c r="FI196" s="7"/>
      <c r="FJ196" s="7"/>
      <c r="FK196" s="7"/>
      <c r="FL196" s="7"/>
      <c r="FM196" s="7"/>
      <c r="FN196" s="7"/>
      <c r="FO196" s="7"/>
      <c r="FP196" s="7"/>
      <c r="FQ196" s="7"/>
      <c r="FR196" s="7"/>
      <c r="FS196" s="7"/>
      <c r="FT196" s="7"/>
      <c r="FU196" s="7"/>
      <c r="FV196" s="7"/>
      <c r="FW196" s="7"/>
      <c r="FX196" s="7"/>
      <c r="FY196" s="7"/>
      <c r="FZ196" s="7"/>
      <c r="GA196" s="7"/>
      <c r="GB196" s="7"/>
      <c r="GC196" s="7"/>
      <c r="GD196" s="7"/>
      <c r="GE196" s="7"/>
      <c r="GF196" s="7"/>
      <c r="GG196" s="7"/>
      <c r="GH196" s="7"/>
      <c r="GI196" s="7"/>
      <c r="GJ196" s="7"/>
      <c r="GK196" s="7"/>
      <c r="GL196" s="7"/>
      <c r="GM196" s="7"/>
      <c r="GN196" s="7"/>
      <c r="GO196" s="7"/>
      <c r="GP196" s="7"/>
      <c r="GQ196" s="7"/>
      <c r="GR196" s="7"/>
      <c r="GS196" s="7"/>
      <c r="GT196" s="7"/>
      <c r="GU196" s="7"/>
      <c r="GV196" s="7"/>
      <c r="GW196" s="7"/>
      <c r="GX196" s="7"/>
      <c r="GY196" s="7"/>
      <c r="GZ196" s="7"/>
      <c r="HA196" s="7"/>
      <c r="HB196" s="7"/>
      <c r="HC196" s="7"/>
      <c r="HD196" s="7"/>
      <c r="HE196" s="7"/>
      <c r="HF196" s="7"/>
      <c r="HG196" s="7"/>
      <c r="HH196" s="7"/>
      <c r="HI196" s="7"/>
      <c r="HJ196" s="7"/>
      <c r="HK196" s="7"/>
      <c r="HL196" s="7"/>
      <c r="HM196" s="7"/>
      <c r="HN196" s="7"/>
      <c r="HO196" s="7"/>
      <c r="HP196" s="7"/>
      <c r="HQ196" s="7"/>
      <c r="HR196" s="7"/>
      <c r="HS196" s="7"/>
      <c r="HT196" s="7"/>
      <c r="HU196" s="7"/>
      <c r="HV196" s="7"/>
      <c r="HW196" s="7"/>
      <c r="HX196" s="7"/>
      <c r="HY196" s="7"/>
      <c r="HZ196" s="7"/>
      <c r="IA196" s="7"/>
      <c r="IB196" s="7"/>
      <c r="IC196" s="7"/>
      <c r="ID196" s="7"/>
      <c r="IE196" s="7"/>
      <c r="IF196" s="7"/>
      <c r="IG196" s="7"/>
      <c r="IH196" s="7"/>
      <c r="II196" s="7"/>
      <c r="IJ196" s="7"/>
      <c r="IK196" s="7"/>
      <c r="IL196" s="7"/>
      <c r="IM196" s="7"/>
      <c r="IN196" s="7"/>
      <c r="IO196" s="7"/>
      <c r="IP196" s="7"/>
      <c r="IQ196" s="7"/>
      <c r="IR196" s="7"/>
      <c r="IS196" s="7"/>
      <c r="IT196" s="7"/>
      <c r="IU196" s="7"/>
      <c r="IV196" s="7"/>
      <c r="IW196" s="7"/>
      <c r="IX196" s="7"/>
      <c r="JA196" s="113"/>
      <c r="JB196" s="113"/>
      <c r="JC196" s="113"/>
      <c r="JD196" s="66">
        <f>SUM((TEXT(JA196,"[M]")/60)*'Income Person-hours'!$D$3,(TEXT(JB196,"[M]")/60)*'Income Person-hours'!$D$4,(TEXT(JC196,"[M]")/60)*'Income Person-hours'!$D$5)</f>
        <v>0</v>
      </c>
    </row>
    <row r="197" spans="1:264 16383:16384" s="11" customFormat="1" ht="11.25" hidden="1">
      <c r="A197" s="30">
        <v>8.15</v>
      </c>
      <c r="B197" s="116"/>
      <c r="C197" s="107"/>
      <c r="D197" s="12" t="str">
        <f>IF(OR(j_WEEKDAY(J_ADDDAY(VLOOKUP(I197,A:F,6,FALSE),H197,1),0)=6,SUMIFS(Holieday[ok],Holieday[date],J_ADDDAY(VLOOKUP(I197,A:F,6,FALSE),H197,1)))=FALSE(),J_ADDDAY(VLOOKUP(I197,A:F,6,FALSE),H197,1),IF(OR(j_WEEKDAY(J_ADDDAY(VLOOKUP(I197,A:F,6,FALSE),H197+1,1),0)=6,SUMIFS(Holieday[ok],Holieday[date],J_ADDDAY(VLOOKUP(I197,A:F,6,FALSE),H197+1,1)))=FALSE(),J_ADDDAY(VLOOKUP(I197,A:F,6,FALSE),H197+1,1),IF(OR(j_WEEKDAY(J_ADDDAY(VLOOKUP(I197,A:F,6,FALSE),H197+2,1),0)=6,SUMIFS(Holieday[ok],Holieday[date],J_ADDDAY(VLOOKUP(I197,A:F,6,FALSE),H197+2,1)))=FALSE(),J_ADDDAY(VLOOKUP(I197,A:F,6,FALSE),H197+2,1),IF(OR(j_WEEKDAY(J_ADDDAY(VLOOKUP(I197,A:F,6,FALSE),H197+3,1),0)=6,SUMIFS(Holieday[ok],Holieday[date],J_ADDDAY(VLOOKUP(I197,A:F,6,FALSE),H197+3,1)))=FALSE(),J_ADDDAY(VLOOKUP(I197,A:F,6,FALSE),H197+3,1),IF(OR(j_WEEKDAY(J_ADDDAY(VLOOKUP(I197,A:F,6,FALSE),H197+4,1),0)=6,SUMIFS(Holieday[ok],Holieday[date],J_ADDDAY(VLOOKUP(I197,A:F,6,FALSE),H197+4,1)))=FALSE(),J_ADDDAY(VLOOKUP(I197,A:F,6,FALSE),H197+4,1),J_ADDDAY(VLOOKUP(I197,A:F,6,FALSE),H197+5,1))))))</f>
        <v>1398/06/31</v>
      </c>
      <c r="E197" s="1">
        <f t="shared" si="64"/>
        <v>13980631</v>
      </c>
      <c r="F197" s="12" t="str">
        <f>IF(N197=0,J_SUBDAY(D197,1,1),IF((N197-NETWORKDAYS.INTL(J_GregorianDate(D197,1),J_GregorianDate(J_SUBDAY(J_ADDDAY(D197,N197,1),1,1),1),16,1)-SUMIFS(Holieday[ok],Holieday[date],CONCATENATE("&gt;","=",D197),Holieday[date],CONCATENATE("&lt;","=",J_SUBDAY(J_ADDDAY(D197,N197,1),1,1)))+SUMIFS(Holieday[Friday],Holieday[date],CONCATENATE("&gt;","=",D197),Holieday[date],CONCATENATE("&lt;","=",J_SUBDAY(J_ADDDAY(D197,N197,1),1,1))))=0,J_SUBDAY(J_ADDDAY(D197,N197,1),1,1),IF((N197-NETWORKDAYS.INTL(J_GregorianDate(D197,1),J_GregorianDate(J_SUBDAY(J_ADDDAY(D197,N197,1),1,1),1),16,1)-SUMIFS(Holieday[ok],Holieday[date],CONCATENATE("&gt;","=",D197),Holieday[date],CONCATENATE("&lt;","=",J_SUBDAY(J_ADDDAY(D197,N197,1),1,1)))+SUMIFS(Holieday[Friday],Holieday[date],CONCATENATE("&gt;","=",D197),Holieday[date],CONCATENATE("&lt;","=",J_SUBDAY(J_ADDDAY(D197,N197,1),1,1))))=1,J_SUBDAY(J_ADDDAY(D197,N197+1,1),1,1),IF((N197-NETWORKDAYS.INTL(J_GregorianDate(D197,1),J_GregorianDate(J_SUBDAY(J_ADDDAY(D197,N197,1),1,1),1),16,1)-SUMIFS(Holieday[ok],Holieday[date],CONCATENATE("&gt;","=",D197),Holieday[date],CONCATENATE("&lt;","=",J_SUBDAY(J_ADDDAY(D197,N197,1),1,1)))+SUMIFS(Holieday[Friday],Holieday[date],CONCATENATE("&gt;","=",D197),Holieday[date],CONCATENATE("&lt;","=",J_SUBDAY(J_ADDDAY(D197,N197,1),1,1))))=2,J_SUBDAY(J_ADDDAY(D197,N197+2,1),1,1),J_SUBDAY(J_ADDDAY(D197,N197+3,1),1,1)))))</f>
        <v>1398/06/30</v>
      </c>
      <c r="G197" s="2">
        <f t="shared" si="65"/>
        <v>13980630</v>
      </c>
      <c r="H197" s="109"/>
      <c r="I197" s="110">
        <v>1.1000000000000001</v>
      </c>
      <c r="J197" s="9">
        <f>j_WEEKDAY(D197,2)</f>
        <v>1</v>
      </c>
      <c r="K197" s="21">
        <f t="shared" si="62"/>
        <v>0</v>
      </c>
      <c r="L197" s="8">
        <f t="shared" si="63"/>
        <v>0</v>
      </c>
      <c r="M197" s="111">
        <v>0</v>
      </c>
      <c r="N197" s="108">
        <v>0</v>
      </c>
      <c r="O197" s="10">
        <f t="shared" si="60"/>
        <v>0</v>
      </c>
      <c r="P197" s="10">
        <f>VALUE(J_normdate(J_ADDDAY($D197,$O197,1)))</f>
        <v>13980631</v>
      </c>
      <c r="Q197" s="9">
        <f t="shared" si="61"/>
        <v>0</v>
      </c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/>
      <c r="CQ197" s="7"/>
      <c r="CR197" s="7"/>
      <c r="CS197" s="7"/>
      <c r="CT197" s="7"/>
      <c r="CU197" s="7"/>
      <c r="CV197" s="7"/>
      <c r="CW197" s="7"/>
      <c r="CX197" s="7"/>
      <c r="CY197" s="7"/>
      <c r="CZ197" s="7"/>
      <c r="DA197" s="7"/>
      <c r="DB197" s="7"/>
      <c r="DC197" s="7"/>
      <c r="DD197" s="7"/>
      <c r="DE197" s="7"/>
      <c r="DF197" s="7"/>
      <c r="DG197" s="7"/>
      <c r="DH197" s="7"/>
      <c r="DI197" s="7"/>
      <c r="DJ197" s="7"/>
      <c r="DK197" s="7"/>
      <c r="DL197" s="7"/>
      <c r="DM197" s="7"/>
      <c r="DN197" s="7"/>
      <c r="DO197" s="7"/>
      <c r="DP197" s="7"/>
      <c r="DQ197" s="7"/>
      <c r="DR197" s="7"/>
      <c r="DS197" s="7"/>
      <c r="DT197" s="7"/>
      <c r="DU197" s="7"/>
      <c r="DV197" s="7"/>
      <c r="DW197" s="7"/>
      <c r="DX197" s="7"/>
      <c r="DY197" s="7"/>
      <c r="DZ197" s="7"/>
      <c r="EA197" s="7"/>
      <c r="EB197" s="7"/>
      <c r="EC197" s="7"/>
      <c r="ED197" s="7"/>
      <c r="EE197" s="7"/>
      <c r="EF197" s="7"/>
      <c r="EG197" s="7"/>
      <c r="EH197" s="7"/>
      <c r="EI197" s="7"/>
      <c r="EJ197" s="7"/>
      <c r="EK197" s="7"/>
      <c r="EL197" s="7"/>
      <c r="EM197" s="7"/>
      <c r="EN197" s="7"/>
      <c r="EO197" s="7"/>
      <c r="EP197" s="7"/>
      <c r="EQ197" s="7"/>
      <c r="ER197" s="7"/>
      <c r="ES197" s="7"/>
      <c r="ET197" s="7"/>
      <c r="EU197" s="7"/>
      <c r="EV197" s="7"/>
      <c r="EW197" s="7"/>
      <c r="EX197" s="7"/>
      <c r="EY197" s="7"/>
      <c r="EZ197" s="7"/>
      <c r="FA197" s="7"/>
      <c r="FB197" s="7"/>
      <c r="FC197" s="7"/>
      <c r="FD197" s="7"/>
      <c r="FE197" s="7"/>
      <c r="FF197" s="7"/>
      <c r="FG197" s="7"/>
      <c r="FH197" s="7"/>
      <c r="FI197" s="7"/>
      <c r="FJ197" s="7"/>
      <c r="FK197" s="7"/>
      <c r="FL197" s="7"/>
      <c r="FM197" s="7"/>
      <c r="FN197" s="7"/>
      <c r="FO197" s="7"/>
      <c r="FP197" s="7"/>
      <c r="FQ197" s="7"/>
      <c r="FR197" s="7"/>
      <c r="FS197" s="7"/>
      <c r="FT197" s="7"/>
      <c r="FU197" s="7"/>
      <c r="FV197" s="7"/>
      <c r="FW197" s="7"/>
      <c r="FX197" s="7"/>
      <c r="FY197" s="7"/>
      <c r="FZ197" s="7"/>
      <c r="GA197" s="7"/>
      <c r="GB197" s="7"/>
      <c r="GC197" s="7"/>
      <c r="GD197" s="7"/>
      <c r="GE197" s="7"/>
      <c r="GF197" s="7"/>
      <c r="GG197" s="7"/>
      <c r="GH197" s="7"/>
      <c r="GI197" s="7"/>
      <c r="GJ197" s="7"/>
      <c r="GK197" s="7"/>
      <c r="GL197" s="7"/>
      <c r="GM197" s="7"/>
      <c r="GN197" s="7"/>
      <c r="GO197" s="7"/>
      <c r="GP197" s="7"/>
      <c r="GQ197" s="7"/>
      <c r="GR197" s="7"/>
      <c r="GS197" s="7"/>
      <c r="GT197" s="7"/>
      <c r="GU197" s="7"/>
      <c r="GV197" s="7"/>
      <c r="GW197" s="7"/>
      <c r="GX197" s="7"/>
      <c r="GY197" s="7"/>
      <c r="GZ197" s="7"/>
      <c r="HA197" s="7"/>
      <c r="HB197" s="7"/>
      <c r="HC197" s="7"/>
      <c r="HD197" s="7"/>
      <c r="HE197" s="7"/>
      <c r="HF197" s="7"/>
      <c r="HG197" s="7"/>
      <c r="HH197" s="7"/>
      <c r="HI197" s="7"/>
      <c r="HJ197" s="7"/>
      <c r="HK197" s="7"/>
      <c r="HL197" s="7"/>
      <c r="HM197" s="7"/>
      <c r="HN197" s="7"/>
      <c r="HO197" s="7"/>
      <c r="HP197" s="7"/>
      <c r="HQ197" s="7"/>
      <c r="HR197" s="7"/>
      <c r="HS197" s="7"/>
      <c r="HT197" s="7"/>
      <c r="HU197" s="7"/>
      <c r="HV197" s="7"/>
      <c r="HW197" s="7"/>
      <c r="HX197" s="7"/>
      <c r="HY197" s="7"/>
      <c r="HZ197" s="7"/>
      <c r="IA197" s="7"/>
      <c r="IB197" s="7"/>
      <c r="IC197" s="7"/>
      <c r="ID197" s="7"/>
      <c r="IE197" s="7"/>
      <c r="IF197" s="7"/>
      <c r="IG197" s="7"/>
      <c r="IH197" s="7"/>
      <c r="II197" s="7"/>
      <c r="IJ197" s="7"/>
      <c r="IK197" s="7"/>
      <c r="IL197" s="7"/>
      <c r="IM197" s="7"/>
      <c r="IN197" s="7"/>
      <c r="IO197" s="7"/>
      <c r="IP197" s="7"/>
      <c r="IQ197" s="7"/>
      <c r="IR197" s="7"/>
      <c r="IS197" s="7"/>
      <c r="IT197" s="7"/>
      <c r="IU197" s="7"/>
      <c r="IV197" s="7"/>
      <c r="IW197" s="7"/>
      <c r="IX197" s="7"/>
      <c r="JA197" s="113"/>
      <c r="JB197" s="113"/>
      <c r="JC197" s="113"/>
      <c r="JD197" s="66">
        <f>SUM((TEXT(JA197,"[M]")/60)*'Income Person-hours'!$D$3,(TEXT(JB197,"[M]")/60)*'Income Person-hours'!$D$4,(TEXT(JC197,"[M]")/60)*'Income Person-hours'!$D$5)</f>
        <v>0</v>
      </c>
    </row>
    <row r="198" spans="1:264 16383:16384" s="11" customFormat="1" ht="11.25" hidden="1">
      <c r="A198" s="30">
        <v>8.16</v>
      </c>
      <c r="B198" s="116"/>
      <c r="C198" s="107"/>
      <c r="D198" s="12" t="str">
        <f>IF(OR(j_WEEKDAY(J_ADDDAY(VLOOKUP(I198,A:F,6,FALSE),H198,1),0)=6,SUMIFS(Holieday[ok],Holieday[date],J_ADDDAY(VLOOKUP(I198,A:F,6,FALSE),H198,1)))=FALSE(),J_ADDDAY(VLOOKUP(I198,A:F,6,FALSE),H198,1),IF(OR(j_WEEKDAY(J_ADDDAY(VLOOKUP(I198,A:F,6,FALSE),H198+1,1),0)=6,SUMIFS(Holieday[ok],Holieday[date],J_ADDDAY(VLOOKUP(I198,A:F,6,FALSE),H198+1,1)))=FALSE(),J_ADDDAY(VLOOKUP(I198,A:F,6,FALSE),H198+1,1),IF(OR(j_WEEKDAY(J_ADDDAY(VLOOKUP(I198,A:F,6,FALSE),H198+2,1),0)=6,SUMIFS(Holieday[ok],Holieday[date],J_ADDDAY(VLOOKUP(I198,A:F,6,FALSE),H198+2,1)))=FALSE(),J_ADDDAY(VLOOKUP(I198,A:F,6,FALSE),H198+2,1),IF(OR(j_WEEKDAY(J_ADDDAY(VLOOKUP(I198,A:F,6,FALSE),H198+3,1),0)=6,SUMIFS(Holieday[ok],Holieday[date],J_ADDDAY(VLOOKUP(I198,A:F,6,FALSE),H198+3,1)))=FALSE(),J_ADDDAY(VLOOKUP(I198,A:F,6,FALSE),H198+3,1),IF(OR(j_WEEKDAY(J_ADDDAY(VLOOKUP(I198,A:F,6,FALSE),H198+4,1),0)=6,SUMIFS(Holieday[ok],Holieday[date],J_ADDDAY(VLOOKUP(I198,A:F,6,FALSE),H198+4,1)))=FALSE(),J_ADDDAY(VLOOKUP(I198,A:F,6,FALSE),H198+4,1),J_ADDDAY(VLOOKUP(I198,A:F,6,FALSE),H198+5,1))))))</f>
        <v>1398/06/31</v>
      </c>
      <c r="E198" s="1">
        <f t="shared" si="64"/>
        <v>13980631</v>
      </c>
      <c r="F198" s="12" t="str">
        <f>IF(N198=0,J_SUBDAY(D198,1,1),IF((N198-NETWORKDAYS.INTL(J_GregorianDate(D198,1),J_GregorianDate(J_SUBDAY(J_ADDDAY(D198,N198,1),1,1),1),16,1)-SUMIFS(Holieday[ok],Holieday[date],CONCATENATE("&gt;","=",D198),Holieday[date],CONCATENATE("&lt;","=",J_SUBDAY(J_ADDDAY(D198,N198,1),1,1)))+SUMIFS(Holieday[Friday],Holieday[date],CONCATENATE("&gt;","=",D198),Holieday[date],CONCATENATE("&lt;","=",J_SUBDAY(J_ADDDAY(D198,N198,1),1,1))))=0,J_SUBDAY(J_ADDDAY(D198,N198,1),1,1),IF((N198-NETWORKDAYS.INTL(J_GregorianDate(D198,1),J_GregorianDate(J_SUBDAY(J_ADDDAY(D198,N198,1),1,1),1),16,1)-SUMIFS(Holieday[ok],Holieday[date],CONCATENATE("&gt;","=",D198),Holieday[date],CONCATENATE("&lt;","=",J_SUBDAY(J_ADDDAY(D198,N198,1),1,1)))+SUMIFS(Holieday[Friday],Holieday[date],CONCATENATE("&gt;","=",D198),Holieday[date],CONCATENATE("&lt;","=",J_SUBDAY(J_ADDDAY(D198,N198,1),1,1))))=1,J_SUBDAY(J_ADDDAY(D198,N198+1,1),1,1),IF((N198-NETWORKDAYS.INTL(J_GregorianDate(D198,1),J_GregorianDate(J_SUBDAY(J_ADDDAY(D198,N198,1),1,1),1),16,1)-SUMIFS(Holieday[ok],Holieday[date],CONCATENATE("&gt;","=",D198),Holieday[date],CONCATENATE("&lt;","=",J_SUBDAY(J_ADDDAY(D198,N198,1),1,1)))+SUMIFS(Holieday[Friday],Holieday[date],CONCATENATE("&gt;","=",D198),Holieday[date],CONCATENATE("&lt;","=",J_SUBDAY(J_ADDDAY(D198,N198,1),1,1))))=2,J_SUBDAY(J_ADDDAY(D198,N198+2,1),1,1),J_SUBDAY(J_ADDDAY(D198,N198+3,1),1,1)))))</f>
        <v>1398/06/30</v>
      </c>
      <c r="G198" s="2">
        <f t="shared" si="65"/>
        <v>13980630</v>
      </c>
      <c r="H198" s="109"/>
      <c r="I198" s="110">
        <v>1.1000000000000001</v>
      </c>
      <c r="J198" s="9">
        <f>j_WEEKDAY(D198,2)</f>
        <v>1</v>
      </c>
      <c r="K198" s="21">
        <f t="shared" si="62"/>
        <v>0</v>
      </c>
      <c r="L198" s="8">
        <f t="shared" si="63"/>
        <v>0</v>
      </c>
      <c r="M198" s="111">
        <v>0</v>
      </c>
      <c r="N198" s="108">
        <v>0</v>
      </c>
      <c r="O198" s="10">
        <f t="shared" si="60"/>
        <v>0</v>
      </c>
      <c r="P198" s="10">
        <f>VALUE(J_normdate(J_ADDDAY($D198,$O198,1)))</f>
        <v>13980631</v>
      </c>
      <c r="Q198" s="9">
        <f t="shared" si="61"/>
        <v>0</v>
      </c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/>
      <c r="CQ198" s="7"/>
      <c r="CR198" s="7"/>
      <c r="CS198" s="7"/>
      <c r="CT198" s="7"/>
      <c r="CU198" s="7"/>
      <c r="CV198" s="7"/>
      <c r="CW198" s="7"/>
      <c r="CX198" s="7"/>
      <c r="CY198" s="7"/>
      <c r="CZ198" s="7"/>
      <c r="DA198" s="7"/>
      <c r="DB198" s="7"/>
      <c r="DC198" s="7"/>
      <c r="DD198" s="7"/>
      <c r="DE198" s="7"/>
      <c r="DF198" s="7"/>
      <c r="DG198" s="7"/>
      <c r="DH198" s="7"/>
      <c r="DI198" s="7"/>
      <c r="DJ198" s="7"/>
      <c r="DK198" s="7"/>
      <c r="DL198" s="7"/>
      <c r="DM198" s="7"/>
      <c r="DN198" s="7"/>
      <c r="DO198" s="7"/>
      <c r="DP198" s="7"/>
      <c r="DQ198" s="7"/>
      <c r="DR198" s="7"/>
      <c r="DS198" s="7"/>
      <c r="DT198" s="7"/>
      <c r="DU198" s="7"/>
      <c r="DV198" s="7"/>
      <c r="DW198" s="7"/>
      <c r="DX198" s="7"/>
      <c r="DY198" s="7"/>
      <c r="DZ198" s="7"/>
      <c r="EA198" s="7"/>
      <c r="EB198" s="7"/>
      <c r="EC198" s="7"/>
      <c r="ED198" s="7"/>
      <c r="EE198" s="7"/>
      <c r="EF198" s="7"/>
      <c r="EG198" s="7"/>
      <c r="EH198" s="7"/>
      <c r="EI198" s="7"/>
      <c r="EJ198" s="7"/>
      <c r="EK198" s="7"/>
      <c r="EL198" s="7"/>
      <c r="EM198" s="7"/>
      <c r="EN198" s="7"/>
      <c r="EO198" s="7"/>
      <c r="EP198" s="7"/>
      <c r="EQ198" s="7"/>
      <c r="ER198" s="7"/>
      <c r="ES198" s="7"/>
      <c r="ET198" s="7"/>
      <c r="EU198" s="7"/>
      <c r="EV198" s="7"/>
      <c r="EW198" s="7"/>
      <c r="EX198" s="7"/>
      <c r="EY198" s="7"/>
      <c r="EZ198" s="7"/>
      <c r="FA198" s="7"/>
      <c r="FB198" s="7"/>
      <c r="FC198" s="7"/>
      <c r="FD198" s="7"/>
      <c r="FE198" s="7"/>
      <c r="FF198" s="7"/>
      <c r="FG198" s="7"/>
      <c r="FH198" s="7"/>
      <c r="FI198" s="7"/>
      <c r="FJ198" s="7"/>
      <c r="FK198" s="7"/>
      <c r="FL198" s="7"/>
      <c r="FM198" s="7"/>
      <c r="FN198" s="7"/>
      <c r="FO198" s="7"/>
      <c r="FP198" s="7"/>
      <c r="FQ198" s="7"/>
      <c r="FR198" s="7"/>
      <c r="FS198" s="7"/>
      <c r="FT198" s="7"/>
      <c r="FU198" s="7"/>
      <c r="FV198" s="7"/>
      <c r="FW198" s="7"/>
      <c r="FX198" s="7"/>
      <c r="FY198" s="7"/>
      <c r="FZ198" s="7"/>
      <c r="GA198" s="7"/>
      <c r="GB198" s="7"/>
      <c r="GC198" s="7"/>
      <c r="GD198" s="7"/>
      <c r="GE198" s="7"/>
      <c r="GF198" s="7"/>
      <c r="GG198" s="7"/>
      <c r="GH198" s="7"/>
      <c r="GI198" s="7"/>
      <c r="GJ198" s="7"/>
      <c r="GK198" s="7"/>
      <c r="GL198" s="7"/>
      <c r="GM198" s="7"/>
      <c r="GN198" s="7"/>
      <c r="GO198" s="7"/>
      <c r="GP198" s="7"/>
      <c r="GQ198" s="7"/>
      <c r="GR198" s="7"/>
      <c r="GS198" s="7"/>
      <c r="GT198" s="7"/>
      <c r="GU198" s="7"/>
      <c r="GV198" s="7"/>
      <c r="GW198" s="7"/>
      <c r="GX198" s="7"/>
      <c r="GY198" s="7"/>
      <c r="GZ198" s="7"/>
      <c r="HA198" s="7"/>
      <c r="HB198" s="7"/>
      <c r="HC198" s="7"/>
      <c r="HD198" s="7"/>
      <c r="HE198" s="7"/>
      <c r="HF198" s="7"/>
      <c r="HG198" s="7"/>
      <c r="HH198" s="7"/>
      <c r="HI198" s="7"/>
      <c r="HJ198" s="7"/>
      <c r="HK198" s="7"/>
      <c r="HL198" s="7"/>
      <c r="HM198" s="7"/>
      <c r="HN198" s="7"/>
      <c r="HO198" s="7"/>
      <c r="HP198" s="7"/>
      <c r="HQ198" s="7"/>
      <c r="HR198" s="7"/>
      <c r="HS198" s="7"/>
      <c r="HT198" s="7"/>
      <c r="HU198" s="7"/>
      <c r="HV198" s="7"/>
      <c r="HW198" s="7"/>
      <c r="HX198" s="7"/>
      <c r="HY198" s="7"/>
      <c r="HZ198" s="7"/>
      <c r="IA198" s="7"/>
      <c r="IB198" s="7"/>
      <c r="IC198" s="7"/>
      <c r="ID198" s="7"/>
      <c r="IE198" s="7"/>
      <c r="IF198" s="7"/>
      <c r="IG198" s="7"/>
      <c r="IH198" s="7"/>
      <c r="II198" s="7"/>
      <c r="IJ198" s="7"/>
      <c r="IK198" s="7"/>
      <c r="IL198" s="7"/>
      <c r="IM198" s="7"/>
      <c r="IN198" s="7"/>
      <c r="IO198" s="7"/>
      <c r="IP198" s="7"/>
      <c r="IQ198" s="7"/>
      <c r="IR198" s="7"/>
      <c r="IS198" s="7"/>
      <c r="IT198" s="7"/>
      <c r="IU198" s="7"/>
      <c r="IV198" s="7"/>
      <c r="IW198" s="7"/>
      <c r="IX198" s="7"/>
      <c r="JA198" s="113"/>
      <c r="JB198" s="113"/>
      <c r="JC198" s="113"/>
      <c r="JD198" s="66">
        <f>SUM((TEXT(JA198,"[M]")/60)*'Income Person-hours'!$D$3,(TEXT(JB198,"[M]")/60)*'Income Person-hours'!$D$4,(TEXT(JC198,"[M]")/60)*'Income Person-hours'!$D$5)</f>
        <v>0</v>
      </c>
    </row>
    <row r="199" spans="1:264 16383:16384" s="11" customFormat="1" ht="11.25" hidden="1">
      <c r="A199" s="30">
        <v>8.17</v>
      </c>
      <c r="B199" s="116"/>
      <c r="C199" s="107"/>
      <c r="D199" s="12" t="str">
        <f>IF(OR(j_WEEKDAY(J_ADDDAY(VLOOKUP(I199,A:F,6,FALSE),H199,1),0)=6,SUMIFS(Holieday[ok],Holieday[date],J_ADDDAY(VLOOKUP(I199,A:F,6,FALSE),H199,1)))=FALSE(),J_ADDDAY(VLOOKUP(I199,A:F,6,FALSE),H199,1),IF(OR(j_WEEKDAY(J_ADDDAY(VLOOKUP(I199,A:F,6,FALSE),H199+1,1),0)=6,SUMIFS(Holieday[ok],Holieday[date],J_ADDDAY(VLOOKUP(I199,A:F,6,FALSE),H199+1,1)))=FALSE(),J_ADDDAY(VLOOKUP(I199,A:F,6,FALSE),H199+1,1),IF(OR(j_WEEKDAY(J_ADDDAY(VLOOKUP(I199,A:F,6,FALSE),H199+2,1),0)=6,SUMIFS(Holieday[ok],Holieday[date],J_ADDDAY(VLOOKUP(I199,A:F,6,FALSE),H199+2,1)))=FALSE(),J_ADDDAY(VLOOKUP(I199,A:F,6,FALSE),H199+2,1),IF(OR(j_WEEKDAY(J_ADDDAY(VLOOKUP(I199,A:F,6,FALSE),H199+3,1),0)=6,SUMIFS(Holieday[ok],Holieday[date],J_ADDDAY(VLOOKUP(I199,A:F,6,FALSE),H199+3,1)))=FALSE(),J_ADDDAY(VLOOKUP(I199,A:F,6,FALSE),H199+3,1),IF(OR(j_WEEKDAY(J_ADDDAY(VLOOKUP(I199,A:F,6,FALSE),H199+4,1),0)=6,SUMIFS(Holieday[ok],Holieday[date],J_ADDDAY(VLOOKUP(I199,A:F,6,FALSE),H199+4,1)))=FALSE(),J_ADDDAY(VLOOKUP(I199,A:F,6,FALSE),H199+4,1),J_ADDDAY(VLOOKUP(I199,A:F,6,FALSE),H199+5,1))))))</f>
        <v>1398/06/31</v>
      </c>
      <c r="E199" s="1">
        <f t="shared" si="64"/>
        <v>13980631</v>
      </c>
      <c r="F199" s="12" t="str">
        <f>IF(N199=0,J_SUBDAY(D199,1,1),IF((N199-NETWORKDAYS.INTL(J_GregorianDate(D199,1),J_GregorianDate(J_SUBDAY(J_ADDDAY(D199,N199,1),1,1),1),16,1)-SUMIFS(Holieday[ok],Holieday[date],CONCATENATE("&gt;","=",D199),Holieday[date],CONCATENATE("&lt;","=",J_SUBDAY(J_ADDDAY(D199,N199,1),1,1)))+SUMIFS(Holieday[Friday],Holieday[date],CONCATENATE("&gt;","=",D199),Holieday[date],CONCATENATE("&lt;","=",J_SUBDAY(J_ADDDAY(D199,N199,1),1,1))))=0,J_SUBDAY(J_ADDDAY(D199,N199,1),1,1),IF((N199-NETWORKDAYS.INTL(J_GregorianDate(D199,1),J_GregorianDate(J_SUBDAY(J_ADDDAY(D199,N199,1),1,1),1),16,1)-SUMIFS(Holieday[ok],Holieday[date],CONCATENATE("&gt;","=",D199),Holieday[date],CONCATENATE("&lt;","=",J_SUBDAY(J_ADDDAY(D199,N199,1),1,1)))+SUMIFS(Holieday[Friday],Holieday[date],CONCATENATE("&gt;","=",D199),Holieday[date],CONCATENATE("&lt;","=",J_SUBDAY(J_ADDDAY(D199,N199,1),1,1))))=1,J_SUBDAY(J_ADDDAY(D199,N199+1,1),1,1),IF((N199-NETWORKDAYS.INTL(J_GregorianDate(D199,1),J_GregorianDate(J_SUBDAY(J_ADDDAY(D199,N199,1),1,1),1),16,1)-SUMIFS(Holieday[ok],Holieday[date],CONCATENATE("&gt;","=",D199),Holieday[date],CONCATENATE("&lt;","=",J_SUBDAY(J_ADDDAY(D199,N199,1),1,1)))+SUMIFS(Holieday[Friday],Holieday[date],CONCATENATE("&gt;","=",D199),Holieday[date],CONCATENATE("&lt;","=",J_SUBDAY(J_ADDDAY(D199,N199,1),1,1))))=2,J_SUBDAY(J_ADDDAY(D199,N199+2,1),1,1),J_SUBDAY(J_ADDDAY(D199,N199+3,1),1,1)))))</f>
        <v>1398/06/30</v>
      </c>
      <c r="G199" s="2">
        <f t="shared" si="65"/>
        <v>13980630</v>
      </c>
      <c r="H199" s="109"/>
      <c r="I199" s="110">
        <v>1.1000000000000001</v>
      </c>
      <c r="J199" s="9">
        <f>j_WEEKDAY(D199,2)</f>
        <v>1</v>
      </c>
      <c r="K199" s="21">
        <f t="shared" si="62"/>
        <v>0</v>
      </c>
      <c r="L199" s="8">
        <f t="shared" si="63"/>
        <v>0</v>
      </c>
      <c r="M199" s="111">
        <v>0</v>
      </c>
      <c r="N199" s="108">
        <v>0</v>
      </c>
      <c r="O199" s="10">
        <f t="shared" si="60"/>
        <v>0</v>
      </c>
      <c r="P199" s="10">
        <f>VALUE(J_normdate(J_ADDDAY($D199,$O199,1)))</f>
        <v>13980631</v>
      </c>
      <c r="Q199" s="9">
        <f t="shared" si="61"/>
        <v>0</v>
      </c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/>
      <c r="CQ199" s="7"/>
      <c r="CR199" s="7"/>
      <c r="CS199" s="7"/>
      <c r="CT199" s="7"/>
      <c r="CU199" s="7"/>
      <c r="CV199" s="7"/>
      <c r="CW199" s="7"/>
      <c r="CX199" s="7"/>
      <c r="CY199" s="7"/>
      <c r="CZ199" s="7"/>
      <c r="DA199" s="7"/>
      <c r="DB199" s="7"/>
      <c r="DC199" s="7"/>
      <c r="DD199" s="7"/>
      <c r="DE199" s="7"/>
      <c r="DF199" s="7"/>
      <c r="DG199" s="7"/>
      <c r="DH199" s="7"/>
      <c r="DI199" s="7"/>
      <c r="DJ199" s="7"/>
      <c r="DK199" s="7"/>
      <c r="DL199" s="7"/>
      <c r="DM199" s="7"/>
      <c r="DN199" s="7"/>
      <c r="DO199" s="7"/>
      <c r="DP199" s="7"/>
      <c r="DQ199" s="7"/>
      <c r="DR199" s="7"/>
      <c r="DS199" s="7"/>
      <c r="DT199" s="7"/>
      <c r="DU199" s="7"/>
      <c r="DV199" s="7"/>
      <c r="DW199" s="7"/>
      <c r="DX199" s="7"/>
      <c r="DY199" s="7"/>
      <c r="DZ199" s="7"/>
      <c r="EA199" s="7"/>
      <c r="EB199" s="7"/>
      <c r="EC199" s="7"/>
      <c r="ED199" s="7"/>
      <c r="EE199" s="7"/>
      <c r="EF199" s="7"/>
      <c r="EG199" s="7"/>
      <c r="EH199" s="7"/>
      <c r="EI199" s="7"/>
      <c r="EJ199" s="7"/>
      <c r="EK199" s="7"/>
      <c r="EL199" s="7"/>
      <c r="EM199" s="7"/>
      <c r="EN199" s="7"/>
      <c r="EO199" s="7"/>
      <c r="EP199" s="7"/>
      <c r="EQ199" s="7"/>
      <c r="ER199" s="7"/>
      <c r="ES199" s="7"/>
      <c r="ET199" s="7"/>
      <c r="EU199" s="7"/>
      <c r="EV199" s="7"/>
      <c r="EW199" s="7"/>
      <c r="EX199" s="7"/>
      <c r="EY199" s="7"/>
      <c r="EZ199" s="7"/>
      <c r="FA199" s="7"/>
      <c r="FB199" s="7"/>
      <c r="FC199" s="7"/>
      <c r="FD199" s="7"/>
      <c r="FE199" s="7"/>
      <c r="FF199" s="7"/>
      <c r="FG199" s="7"/>
      <c r="FH199" s="7"/>
      <c r="FI199" s="7"/>
      <c r="FJ199" s="7"/>
      <c r="FK199" s="7"/>
      <c r="FL199" s="7"/>
      <c r="FM199" s="7"/>
      <c r="FN199" s="7"/>
      <c r="FO199" s="7"/>
      <c r="FP199" s="7"/>
      <c r="FQ199" s="7"/>
      <c r="FR199" s="7"/>
      <c r="FS199" s="7"/>
      <c r="FT199" s="7"/>
      <c r="FU199" s="7"/>
      <c r="FV199" s="7"/>
      <c r="FW199" s="7"/>
      <c r="FX199" s="7"/>
      <c r="FY199" s="7"/>
      <c r="FZ199" s="7"/>
      <c r="GA199" s="7"/>
      <c r="GB199" s="7"/>
      <c r="GC199" s="7"/>
      <c r="GD199" s="7"/>
      <c r="GE199" s="7"/>
      <c r="GF199" s="7"/>
      <c r="GG199" s="7"/>
      <c r="GH199" s="7"/>
      <c r="GI199" s="7"/>
      <c r="GJ199" s="7"/>
      <c r="GK199" s="7"/>
      <c r="GL199" s="7"/>
      <c r="GM199" s="7"/>
      <c r="GN199" s="7"/>
      <c r="GO199" s="7"/>
      <c r="GP199" s="7"/>
      <c r="GQ199" s="7"/>
      <c r="GR199" s="7"/>
      <c r="GS199" s="7"/>
      <c r="GT199" s="7"/>
      <c r="GU199" s="7"/>
      <c r="GV199" s="7"/>
      <c r="GW199" s="7"/>
      <c r="GX199" s="7"/>
      <c r="GY199" s="7"/>
      <c r="GZ199" s="7"/>
      <c r="HA199" s="7"/>
      <c r="HB199" s="7"/>
      <c r="HC199" s="7"/>
      <c r="HD199" s="7"/>
      <c r="HE199" s="7"/>
      <c r="HF199" s="7"/>
      <c r="HG199" s="7"/>
      <c r="HH199" s="7"/>
      <c r="HI199" s="7"/>
      <c r="HJ199" s="7"/>
      <c r="HK199" s="7"/>
      <c r="HL199" s="7"/>
      <c r="HM199" s="7"/>
      <c r="HN199" s="7"/>
      <c r="HO199" s="7"/>
      <c r="HP199" s="7"/>
      <c r="HQ199" s="7"/>
      <c r="HR199" s="7"/>
      <c r="HS199" s="7"/>
      <c r="HT199" s="7"/>
      <c r="HU199" s="7"/>
      <c r="HV199" s="7"/>
      <c r="HW199" s="7"/>
      <c r="HX199" s="7"/>
      <c r="HY199" s="7"/>
      <c r="HZ199" s="7"/>
      <c r="IA199" s="7"/>
      <c r="IB199" s="7"/>
      <c r="IC199" s="7"/>
      <c r="ID199" s="7"/>
      <c r="IE199" s="7"/>
      <c r="IF199" s="7"/>
      <c r="IG199" s="7"/>
      <c r="IH199" s="7"/>
      <c r="II199" s="7"/>
      <c r="IJ199" s="7"/>
      <c r="IK199" s="7"/>
      <c r="IL199" s="7"/>
      <c r="IM199" s="7"/>
      <c r="IN199" s="7"/>
      <c r="IO199" s="7"/>
      <c r="IP199" s="7"/>
      <c r="IQ199" s="7"/>
      <c r="IR199" s="7"/>
      <c r="IS199" s="7"/>
      <c r="IT199" s="7"/>
      <c r="IU199" s="7"/>
      <c r="IV199" s="7"/>
      <c r="IW199" s="7"/>
      <c r="IX199" s="7"/>
      <c r="JA199" s="113"/>
      <c r="JB199" s="113"/>
      <c r="JC199" s="113"/>
      <c r="JD199" s="66">
        <f>SUM((TEXT(JA199,"[M]")/60)*'Income Person-hours'!$D$3,(TEXT(JB199,"[M]")/60)*'Income Person-hours'!$D$4,(TEXT(JC199,"[M]")/60)*'Income Person-hours'!$D$5)</f>
        <v>0</v>
      </c>
    </row>
    <row r="200" spans="1:264 16383:16384" s="11" customFormat="1" ht="11.25" hidden="1">
      <c r="A200" s="30">
        <v>8.18</v>
      </c>
      <c r="B200" s="116"/>
      <c r="C200" s="107"/>
      <c r="D200" s="12" t="str">
        <f>IF(OR(j_WEEKDAY(J_ADDDAY(VLOOKUP(I200,A:F,6,FALSE),H200,1),0)=6,SUMIFS(Holieday[ok],Holieday[date],J_ADDDAY(VLOOKUP(I200,A:F,6,FALSE),H200,1)))=FALSE(),J_ADDDAY(VLOOKUP(I200,A:F,6,FALSE),H200,1),IF(OR(j_WEEKDAY(J_ADDDAY(VLOOKUP(I200,A:F,6,FALSE),H200+1,1),0)=6,SUMIFS(Holieday[ok],Holieday[date],J_ADDDAY(VLOOKUP(I200,A:F,6,FALSE),H200+1,1)))=FALSE(),J_ADDDAY(VLOOKUP(I200,A:F,6,FALSE),H200+1,1),IF(OR(j_WEEKDAY(J_ADDDAY(VLOOKUP(I200,A:F,6,FALSE),H200+2,1),0)=6,SUMIFS(Holieday[ok],Holieday[date],J_ADDDAY(VLOOKUP(I200,A:F,6,FALSE),H200+2,1)))=FALSE(),J_ADDDAY(VLOOKUP(I200,A:F,6,FALSE),H200+2,1),IF(OR(j_WEEKDAY(J_ADDDAY(VLOOKUP(I200,A:F,6,FALSE),H200+3,1),0)=6,SUMIFS(Holieday[ok],Holieday[date],J_ADDDAY(VLOOKUP(I200,A:F,6,FALSE),H200+3,1)))=FALSE(),J_ADDDAY(VLOOKUP(I200,A:F,6,FALSE),H200+3,1),IF(OR(j_WEEKDAY(J_ADDDAY(VLOOKUP(I200,A:F,6,FALSE),H200+4,1),0)=6,SUMIFS(Holieday[ok],Holieday[date],J_ADDDAY(VLOOKUP(I200,A:F,6,FALSE),H200+4,1)))=FALSE(),J_ADDDAY(VLOOKUP(I200,A:F,6,FALSE),H200+4,1),J_ADDDAY(VLOOKUP(I200,A:F,6,FALSE),H200+5,1))))))</f>
        <v>1398/06/31</v>
      </c>
      <c r="E200" s="1">
        <f t="shared" si="64"/>
        <v>13980631</v>
      </c>
      <c r="F200" s="12" t="str">
        <f>IF(N200=0,J_SUBDAY(D200,1,1),IF((N200-NETWORKDAYS.INTL(J_GregorianDate(D200,1),J_GregorianDate(J_SUBDAY(J_ADDDAY(D200,N200,1),1,1),1),16,1)-SUMIFS(Holieday[ok],Holieday[date],CONCATENATE("&gt;","=",D200),Holieday[date],CONCATENATE("&lt;","=",J_SUBDAY(J_ADDDAY(D200,N200,1),1,1)))+SUMIFS(Holieday[Friday],Holieday[date],CONCATENATE("&gt;","=",D200),Holieday[date],CONCATENATE("&lt;","=",J_SUBDAY(J_ADDDAY(D200,N200,1),1,1))))=0,J_SUBDAY(J_ADDDAY(D200,N200,1),1,1),IF((N200-NETWORKDAYS.INTL(J_GregorianDate(D200,1),J_GregorianDate(J_SUBDAY(J_ADDDAY(D200,N200,1),1,1),1),16,1)-SUMIFS(Holieday[ok],Holieday[date],CONCATENATE("&gt;","=",D200),Holieday[date],CONCATENATE("&lt;","=",J_SUBDAY(J_ADDDAY(D200,N200,1),1,1)))+SUMIFS(Holieday[Friday],Holieday[date],CONCATENATE("&gt;","=",D200),Holieday[date],CONCATENATE("&lt;","=",J_SUBDAY(J_ADDDAY(D200,N200,1),1,1))))=1,J_SUBDAY(J_ADDDAY(D200,N200+1,1),1,1),IF((N200-NETWORKDAYS.INTL(J_GregorianDate(D200,1),J_GregorianDate(J_SUBDAY(J_ADDDAY(D200,N200,1),1,1),1),16,1)-SUMIFS(Holieday[ok],Holieday[date],CONCATENATE("&gt;","=",D200),Holieday[date],CONCATENATE("&lt;","=",J_SUBDAY(J_ADDDAY(D200,N200,1),1,1)))+SUMIFS(Holieday[Friday],Holieday[date],CONCATENATE("&gt;","=",D200),Holieday[date],CONCATENATE("&lt;","=",J_SUBDAY(J_ADDDAY(D200,N200,1),1,1))))=2,J_SUBDAY(J_ADDDAY(D200,N200+2,1),1,1),J_SUBDAY(J_ADDDAY(D200,N200+3,1),1,1)))))</f>
        <v>1398/06/30</v>
      </c>
      <c r="G200" s="2">
        <f t="shared" si="65"/>
        <v>13980630</v>
      </c>
      <c r="H200" s="109"/>
      <c r="I200" s="110">
        <v>1.1000000000000001</v>
      </c>
      <c r="J200" s="9">
        <f>j_WEEKDAY(D200,2)</f>
        <v>1</v>
      </c>
      <c r="K200" s="21">
        <f t="shared" si="62"/>
        <v>0</v>
      </c>
      <c r="L200" s="8">
        <f t="shared" si="63"/>
        <v>0</v>
      </c>
      <c r="M200" s="111">
        <v>0</v>
      </c>
      <c r="N200" s="108">
        <v>0</v>
      </c>
      <c r="O200" s="10">
        <f t="shared" si="60"/>
        <v>0</v>
      </c>
      <c r="P200" s="10">
        <f>VALUE(J_normdate(J_ADDDAY($D200,$O200,1)))</f>
        <v>13980631</v>
      </c>
      <c r="Q200" s="9">
        <f t="shared" si="61"/>
        <v>0</v>
      </c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/>
      <c r="CQ200" s="7"/>
      <c r="CR200" s="7"/>
      <c r="CS200" s="7"/>
      <c r="CT200" s="7"/>
      <c r="CU200" s="7"/>
      <c r="CV200" s="7"/>
      <c r="CW200" s="7"/>
      <c r="CX200" s="7"/>
      <c r="CY200" s="7"/>
      <c r="CZ200" s="7"/>
      <c r="DA200" s="7"/>
      <c r="DB200" s="7"/>
      <c r="DC200" s="7"/>
      <c r="DD200" s="7"/>
      <c r="DE200" s="7"/>
      <c r="DF200" s="7"/>
      <c r="DG200" s="7"/>
      <c r="DH200" s="7"/>
      <c r="DI200" s="7"/>
      <c r="DJ200" s="7"/>
      <c r="DK200" s="7"/>
      <c r="DL200" s="7"/>
      <c r="DM200" s="7"/>
      <c r="DN200" s="7"/>
      <c r="DO200" s="7"/>
      <c r="DP200" s="7"/>
      <c r="DQ200" s="7"/>
      <c r="DR200" s="7"/>
      <c r="DS200" s="7"/>
      <c r="DT200" s="7"/>
      <c r="DU200" s="7"/>
      <c r="DV200" s="7"/>
      <c r="DW200" s="7"/>
      <c r="DX200" s="7"/>
      <c r="DY200" s="7"/>
      <c r="DZ200" s="7"/>
      <c r="EA200" s="7"/>
      <c r="EB200" s="7"/>
      <c r="EC200" s="7"/>
      <c r="ED200" s="7"/>
      <c r="EE200" s="7"/>
      <c r="EF200" s="7"/>
      <c r="EG200" s="7"/>
      <c r="EH200" s="7"/>
      <c r="EI200" s="7"/>
      <c r="EJ200" s="7"/>
      <c r="EK200" s="7"/>
      <c r="EL200" s="7"/>
      <c r="EM200" s="7"/>
      <c r="EN200" s="7"/>
      <c r="EO200" s="7"/>
      <c r="EP200" s="7"/>
      <c r="EQ200" s="7"/>
      <c r="ER200" s="7"/>
      <c r="ES200" s="7"/>
      <c r="ET200" s="7"/>
      <c r="EU200" s="7"/>
      <c r="EV200" s="7"/>
      <c r="EW200" s="7"/>
      <c r="EX200" s="7"/>
      <c r="EY200" s="7"/>
      <c r="EZ200" s="7"/>
      <c r="FA200" s="7"/>
      <c r="FB200" s="7"/>
      <c r="FC200" s="7"/>
      <c r="FD200" s="7"/>
      <c r="FE200" s="7"/>
      <c r="FF200" s="7"/>
      <c r="FG200" s="7"/>
      <c r="FH200" s="7"/>
      <c r="FI200" s="7"/>
      <c r="FJ200" s="7"/>
      <c r="FK200" s="7"/>
      <c r="FL200" s="7"/>
      <c r="FM200" s="7"/>
      <c r="FN200" s="7"/>
      <c r="FO200" s="7"/>
      <c r="FP200" s="7"/>
      <c r="FQ200" s="7"/>
      <c r="FR200" s="7"/>
      <c r="FS200" s="7"/>
      <c r="FT200" s="7"/>
      <c r="FU200" s="7"/>
      <c r="FV200" s="7"/>
      <c r="FW200" s="7"/>
      <c r="FX200" s="7"/>
      <c r="FY200" s="7"/>
      <c r="FZ200" s="7"/>
      <c r="GA200" s="7"/>
      <c r="GB200" s="7"/>
      <c r="GC200" s="7"/>
      <c r="GD200" s="7"/>
      <c r="GE200" s="7"/>
      <c r="GF200" s="7"/>
      <c r="GG200" s="7"/>
      <c r="GH200" s="7"/>
      <c r="GI200" s="7"/>
      <c r="GJ200" s="7"/>
      <c r="GK200" s="7"/>
      <c r="GL200" s="7"/>
      <c r="GM200" s="7"/>
      <c r="GN200" s="7"/>
      <c r="GO200" s="7"/>
      <c r="GP200" s="7"/>
      <c r="GQ200" s="7"/>
      <c r="GR200" s="7"/>
      <c r="GS200" s="7"/>
      <c r="GT200" s="7"/>
      <c r="GU200" s="7"/>
      <c r="GV200" s="7"/>
      <c r="GW200" s="7"/>
      <c r="GX200" s="7"/>
      <c r="GY200" s="7"/>
      <c r="GZ200" s="7"/>
      <c r="HA200" s="7"/>
      <c r="HB200" s="7"/>
      <c r="HC200" s="7"/>
      <c r="HD200" s="7"/>
      <c r="HE200" s="7"/>
      <c r="HF200" s="7"/>
      <c r="HG200" s="7"/>
      <c r="HH200" s="7"/>
      <c r="HI200" s="7"/>
      <c r="HJ200" s="7"/>
      <c r="HK200" s="7"/>
      <c r="HL200" s="7"/>
      <c r="HM200" s="7"/>
      <c r="HN200" s="7"/>
      <c r="HO200" s="7"/>
      <c r="HP200" s="7"/>
      <c r="HQ200" s="7"/>
      <c r="HR200" s="7"/>
      <c r="HS200" s="7"/>
      <c r="HT200" s="7"/>
      <c r="HU200" s="7"/>
      <c r="HV200" s="7"/>
      <c r="HW200" s="7"/>
      <c r="HX200" s="7"/>
      <c r="HY200" s="7"/>
      <c r="HZ200" s="7"/>
      <c r="IA200" s="7"/>
      <c r="IB200" s="7"/>
      <c r="IC200" s="7"/>
      <c r="ID200" s="7"/>
      <c r="IE200" s="7"/>
      <c r="IF200" s="7"/>
      <c r="IG200" s="7"/>
      <c r="IH200" s="7"/>
      <c r="II200" s="7"/>
      <c r="IJ200" s="7"/>
      <c r="IK200" s="7"/>
      <c r="IL200" s="7"/>
      <c r="IM200" s="7"/>
      <c r="IN200" s="7"/>
      <c r="IO200" s="7"/>
      <c r="IP200" s="7"/>
      <c r="IQ200" s="7"/>
      <c r="IR200" s="7"/>
      <c r="IS200" s="7"/>
      <c r="IT200" s="7"/>
      <c r="IU200" s="7"/>
      <c r="IV200" s="7"/>
      <c r="IW200" s="7"/>
      <c r="IX200" s="7"/>
      <c r="JA200" s="113"/>
      <c r="JB200" s="113"/>
      <c r="JC200" s="113"/>
      <c r="JD200" s="66">
        <f>SUM((TEXT(JA200,"[M]")/60)*'Income Person-hours'!$D$3,(TEXT(JB200,"[M]")/60)*'Income Person-hours'!$D$4,(TEXT(JC200,"[M]")/60)*'Income Person-hours'!$D$5)</f>
        <v>0</v>
      </c>
    </row>
    <row r="201" spans="1:264 16383:16384" s="11" customFormat="1" ht="11.25" hidden="1">
      <c r="A201" s="30">
        <v>8.19</v>
      </c>
      <c r="B201" s="116"/>
      <c r="C201" s="107"/>
      <c r="D201" s="12" t="str">
        <f>IF(OR(j_WEEKDAY(J_ADDDAY(VLOOKUP(I201,A:F,6,FALSE),H201,1),0)=6,SUMIFS(Holieday[ok],Holieday[date],J_ADDDAY(VLOOKUP(I201,A:F,6,FALSE),H201,1)))=FALSE(),J_ADDDAY(VLOOKUP(I201,A:F,6,FALSE),H201,1),IF(OR(j_WEEKDAY(J_ADDDAY(VLOOKUP(I201,A:F,6,FALSE),H201+1,1),0)=6,SUMIFS(Holieday[ok],Holieday[date],J_ADDDAY(VLOOKUP(I201,A:F,6,FALSE),H201+1,1)))=FALSE(),J_ADDDAY(VLOOKUP(I201,A:F,6,FALSE),H201+1,1),IF(OR(j_WEEKDAY(J_ADDDAY(VLOOKUP(I201,A:F,6,FALSE),H201+2,1),0)=6,SUMIFS(Holieday[ok],Holieday[date],J_ADDDAY(VLOOKUP(I201,A:F,6,FALSE),H201+2,1)))=FALSE(),J_ADDDAY(VLOOKUP(I201,A:F,6,FALSE),H201+2,1),IF(OR(j_WEEKDAY(J_ADDDAY(VLOOKUP(I201,A:F,6,FALSE),H201+3,1),0)=6,SUMIFS(Holieday[ok],Holieday[date],J_ADDDAY(VLOOKUP(I201,A:F,6,FALSE),H201+3,1)))=FALSE(),J_ADDDAY(VLOOKUP(I201,A:F,6,FALSE),H201+3,1),IF(OR(j_WEEKDAY(J_ADDDAY(VLOOKUP(I201,A:F,6,FALSE),H201+4,1),0)=6,SUMIFS(Holieday[ok],Holieday[date],J_ADDDAY(VLOOKUP(I201,A:F,6,FALSE),H201+4,1)))=FALSE(),J_ADDDAY(VLOOKUP(I201,A:F,6,FALSE),H201+4,1),J_ADDDAY(VLOOKUP(I201,A:F,6,FALSE),H201+5,1))))))</f>
        <v>1398/06/31</v>
      </c>
      <c r="E201" s="1">
        <f t="shared" si="64"/>
        <v>13980631</v>
      </c>
      <c r="F201" s="12" t="str">
        <f>IF(N201=0,J_SUBDAY(D201,1,1),IF((N201-NETWORKDAYS.INTL(J_GregorianDate(D201,1),J_GregorianDate(J_SUBDAY(J_ADDDAY(D201,N201,1),1,1),1),16,1)-SUMIFS(Holieday[ok],Holieday[date],CONCATENATE("&gt;","=",D201),Holieday[date],CONCATENATE("&lt;","=",J_SUBDAY(J_ADDDAY(D201,N201,1),1,1)))+SUMIFS(Holieday[Friday],Holieday[date],CONCATENATE("&gt;","=",D201),Holieday[date],CONCATENATE("&lt;","=",J_SUBDAY(J_ADDDAY(D201,N201,1),1,1))))=0,J_SUBDAY(J_ADDDAY(D201,N201,1),1,1),IF((N201-NETWORKDAYS.INTL(J_GregorianDate(D201,1),J_GregorianDate(J_SUBDAY(J_ADDDAY(D201,N201,1),1,1),1),16,1)-SUMIFS(Holieday[ok],Holieday[date],CONCATENATE("&gt;","=",D201),Holieday[date],CONCATENATE("&lt;","=",J_SUBDAY(J_ADDDAY(D201,N201,1),1,1)))+SUMIFS(Holieday[Friday],Holieday[date],CONCATENATE("&gt;","=",D201),Holieday[date],CONCATENATE("&lt;","=",J_SUBDAY(J_ADDDAY(D201,N201,1),1,1))))=1,J_SUBDAY(J_ADDDAY(D201,N201+1,1),1,1),IF((N201-NETWORKDAYS.INTL(J_GregorianDate(D201,1),J_GregorianDate(J_SUBDAY(J_ADDDAY(D201,N201,1),1,1),1),16,1)-SUMIFS(Holieday[ok],Holieday[date],CONCATENATE("&gt;","=",D201),Holieday[date],CONCATENATE("&lt;","=",J_SUBDAY(J_ADDDAY(D201,N201,1),1,1)))+SUMIFS(Holieday[Friday],Holieday[date],CONCATENATE("&gt;","=",D201),Holieday[date],CONCATENATE("&lt;","=",J_SUBDAY(J_ADDDAY(D201,N201,1),1,1))))=2,J_SUBDAY(J_ADDDAY(D201,N201+2,1),1,1),J_SUBDAY(J_ADDDAY(D201,N201+3,1),1,1)))))</f>
        <v>1398/06/30</v>
      </c>
      <c r="G201" s="2">
        <f t="shared" si="65"/>
        <v>13980630</v>
      </c>
      <c r="H201" s="109"/>
      <c r="I201" s="110">
        <v>1.1000000000000001</v>
      </c>
      <c r="J201" s="9">
        <f>j_WEEKDAY(D201,2)</f>
        <v>1</v>
      </c>
      <c r="K201" s="21">
        <f t="shared" si="62"/>
        <v>0</v>
      </c>
      <c r="L201" s="8">
        <f t="shared" si="63"/>
        <v>0</v>
      </c>
      <c r="M201" s="111">
        <v>0</v>
      </c>
      <c r="N201" s="108">
        <v>0</v>
      </c>
      <c r="O201" s="10">
        <f t="shared" si="60"/>
        <v>0</v>
      </c>
      <c r="P201" s="10">
        <f>VALUE(J_normdate(J_ADDDAY($D201,$O201,1)))</f>
        <v>13980631</v>
      </c>
      <c r="Q201" s="9">
        <f t="shared" si="61"/>
        <v>0</v>
      </c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7"/>
      <c r="BV201" s="7"/>
      <c r="BW201" s="7"/>
      <c r="BX201" s="7"/>
      <c r="BY201" s="7"/>
      <c r="BZ201" s="7"/>
      <c r="CA201" s="7"/>
      <c r="CB201" s="7"/>
      <c r="CC201" s="7"/>
      <c r="CD201" s="7"/>
      <c r="CE201" s="7"/>
      <c r="CF201" s="7"/>
      <c r="CG201" s="7"/>
      <c r="CH201" s="7"/>
      <c r="CI201" s="7"/>
      <c r="CJ201" s="7"/>
      <c r="CK201" s="7"/>
      <c r="CL201" s="7"/>
      <c r="CM201" s="7"/>
      <c r="CN201" s="7"/>
      <c r="CO201" s="7"/>
      <c r="CP201" s="7"/>
      <c r="CQ201" s="7"/>
      <c r="CR201" s="7"/>
      <c r="CS201" s="7"/>
      <c r="CT201" s="7"/>
      <c r="CU201" s="7"/>
      <c r="CV201" s="7"/>
      <c r="CW201" s="7"/>
      <c r="CX201" s="7"/>
      <c r="CY201" s="7"/>
      <c r="CZ201" s="7"/>
      <c r="DA201" s="7"/>
      <c r="DB201" s="7"/>
      <c r="DC201" s="7"/>
      <c r="DD201" s="7"/>
      <c r="DE201" s="7"/>
      <c r="DF201" s="7"/>
      <c r="DG201" s="7"/>
      <c r="DH201" s="7"/>
      <c r="DI201" s="7"/>
      <c r="DJ201" s="7"/>
      <c r="DK201" s="7"/>
      <c r="DL201" s="7"/>
      <c r="DM201" s="7"/>
      <c r="DN201" s="7"/>
      <c r="DO201" s="7"/>
      <c r="DP201" s="7"/>
      <c r="DQ201" s="7"/>
      <c r="DR201" s="7"/>
      <c r="DS201" s="7"/>
      <c r="DT201" s="7"/>
      <c r="DU201" s="7"/>
      <c r="DV201" s="7"/>
      <c r="DW201" s="7"/>
      <c r="DX201" s="7"/>
      <c r="DY201" s="7"/>
      <c r="DZ201" s="7"/>
      <c r="EA201" s="7"/>
      <c r="EB201" s="7"/>
      <c r="EC201" s="7"/>
      <c r="ED201" s="7"/>
      <c r="EE201" s="7"/>
      <c r="EF201" s="7"/>
      <c r="EG201" s="7"/>
      <c r="EH201" s="7"/>
      <c r="EI201" s="7"/>
      <c r="EJ201" s="7"/>
      <c r="EK201" s="7"/>
      <c r="EL201" s="7"/>
      <c r="EM201" s="7"/>
      <c r="EN201" s="7"/>
      <c r="EO201" s="7"/>
      <c r="EP201" s="7"/>
      <c r="EQ201" s="7"/>
      <c r="ER201" s="7"/>
      <c r="ES201" s="7"/>
      <c r="ET201" s="7"/>
      <c r="EU201" s="7"/>
      <c r="EV201" s="7"/>
      <c r="EW201" s="7"/>
      <c r="EX201" s="7"/>
      <c r="EY201" s="7"/>
      <c r="EZ201" s="7"/>
      <c r="FA201" s="7"/>
      <c r="FB201" s="7"/>
      <c r="FC201" s="7"/>
      <c r="FD201" s="7"/>
      <c r="FE201" s="7"/>
      <c r="FF201" s="7"/>
      <c r="FG201" s="7"/>
      <c r="FH201" s="7"/>
      <c r="FI201" s="7"/>
      <c r="FJ201" s="7"/>
      <c r="FK201" s="7"/>
      <c r="FL201" s="7"/>
      <c r="FM201" s="7"/>
      <c r="FN201" s="7"/>
      <c r="FO201" s="7"/>
      <c r="FP201" s="7"/>
      <c r="FQ201" s="7"/>
      <c r="FR201" s="7"/>
      <c r="FS201" s="7"/>
      <c r="FT201" s="7"/>
      <c r="FU201" s="7"/>
      <c r="FV201" s="7"/>
      <c r="FW201" s="7"/>
      <c r="FX201" s="7"/>
      <c r="FY201" s="7"/>
      <c r="FZ201" s="7"/>
      <c r="GA201" s="7"/>
      <c r="GB201" s="7"/>
      <c r="GC201" s="7"/>
      <c r="GD201" s="7"/>
      <c r="GE201" s="7"/>
      <c r="GF201" s="7"/>
      <c r="GG201" s="7"/>
      <c r="GH201" s="7"/>
      <c r="GI201" s="7"/>
      <c r="GJ201" s="7"/>
      <c r="GK201" s="7"/>
      <c r="GL201" s="7"/>
      <c r="GM201" s="7"/>
      <c r="GN201" s="7"/>
      <c r="GO201" s="7"/>
      <c r="GP201" s="7"/>
      <c r="GQ201" s="7"/>
      <c r="GR201" s="7"/>
      <c r="GS201" s="7"/>
      <c r="GT201" s="7"/>
      <c r="GU201" s="7"/>
      <c r="GV201" s="7"/>
      <c r="GW201" s="7"/>
      <c r="GX201" s="7"/>
      <c r="GY201" s="7"/>
      <c r="GZ201" s="7"/>
      <c r="HA201" s="7"/>
      <c r="HB201" s="7"/>
      <c r="HC201" s="7"/>
      <c r="HD201" s="7"/>
      <c r="HE201" s="7"/>
      <c r="HF201" s="7"/>
      <c r="HG201" s="7"/>
      <c r="HH201" s="7"/>
      <c r="HI201" s="7"/>
      <c r="HJ201" s="7"/>
      <c r="HK201" s="7"/>
      <c r="HL201" s="7"/>
      <c r="HM201" s="7"/>
      <c r="HN201" s="7"/>
      <c r="HO201" s="7"/>
      <c r="HP201" s="7"/>
      <c r="HQ201" s="7"/>
      <c r="HR201" s="7"/>
      <c r="HS201" s="7"/>
      <c r="HT201" s="7"/>
      <c r="HU201" s="7"/>
      <c r="HV201" s="7"/>
      <c r="HW201" s="7"/>
      <c r="HX201" s="7"/>
      <c r="HY201" s="7"/>
      <c r="HZ201" s="7"/>
      <c r="IA201" s="7"/>
      <c r="IB201" s="7"/>
      <c r="IC201" s="7"/>
      <c r="ID201" s="7"/>
      <c r="IE201" s="7"/>
      <c r="IF201" s="7"/>
      <c r="IG201" s="7"/>
      <c r="IH201" s="7"/>
      <c r="II201" s="7"/>
      <c r="IJ201" s="7"/>
      <c r="IK201" s="7"/>
      <c r="IL201" s="7"/>
      <c r="IM201" s="7"/>
      <c r="IN201" s="7"/>
      <c r="IO201" s="7"/>
      <c r="IP201" s="7"/>
      <c r="IQ201" s="7"/>
      <c r="IR201" s="7"/>
      <c r="IS201" s="7"/>
      <c r="IT201" s="7"/>
      <c r="IU201" s="7"/>
      <c r="IV201" s="7"/>
      <c r="IW201" s="7"/>
      <c r="IX201" s="7"/>
      <c r="JA201" s="113"/>
      <c r="JB201" s="113"/>
      <c r="JC201" s="113"/>
      <c r="JD201" s="66">
        <f>SUM((TEXT(JA201,"[M]")/60)*'Income Person-hours'!$D$3,(TEXT(JB201,"[M]")/60)*'Income Person-hours'!$D$4,(TEXT(JC201,"[M]")/60)*'Income Person-hours'!$D$5)</f>
        <v>0</v>
      </c>
    </row>
    <row r="202" spans="1:264 16383:16384" s="11" customFormat="1" ht="11.25" hidden="1">
      <c r="A202" s="30">
        <v>8.2100000000000009</v>
      </c>
      <c r="B202" s="116"/>
      <c r="C202" s="107"/>
      <c r="D202" s="12" t="str">
        <f>IF(OR(j_WEEKDAY(J_ADDDAY(VLOOKUP(I202,A:F,6,FALSE),H202,1),0)=6,SUMIFS(Holieday[ok],Holieday[date],J_ADDDAY(VLOOKUP(I202,A:F,6,FALSE),H202,1)))=FALSE(),J_ADDDAY(VLOOKUP(I202,A:F,6,FALSE),H202,1),IF(OR(j_WEEKDAY(J_ADDDAY(VLOOKUP(I202,A:F,6,FALSE),H202+1,1),0)=6,SUMIFS(Holieday[ok],Holieday[date],J_ADDDAY(VLOOKUP(I202,A:F,6,FALSE),H202+1,1)))=FALSE(),J_ADDDAY(VLOOKUP(I202,A:F,6,FALSE),H202+1,1),IF(OR(j_WEEKDAY(J_ADDDAY(VLOOKUP(I202,A:F,6,FALSE),H202+2,1),0)=6,SUMIFS(Holieday[ok],Holieday[date],J_ADDDAY(VLOOKUP(I202,A:F,6,FALSE),H202+2,1)))=FALSE(),J_ADDDAY(VLOOKUP(I202,A:F,6,FALSE),H202+2,1),IF(OR(j_WEEKDAY(J_ADDDAY(VLOOKUP(I202,A:F,6,FALSE),H202+3,1),0)=6,SUMIFS(Holieday[ok],Holieday[date],J_ADDDAY(VLOOKUP(I202,A:F,6,FALSE),H202+3,1)))=FALSE(),J_ADDDAY(VLOOKUP(I202,A:F,6,FALSE),H202+3,1),IF(OR(j_WEEKDAY(J_ADDDAY(VLOOKUP(I202,A:F,6,FALSE),H202+4,1),0)=6,SUMIFS(Holieday[ok],Holieday[date],J_ADDDAY(VLOOKUP(I202,A:F,6,FALSE),H202+4,1)))=FALSE(),J_ADDDAY(VLOOKUP(I202,A:F,6,FALSE),H202+4,1),J_ADDDAY(VLOOKUP(I202,A:F,6,FALSE),H202+5,1))))))</f>
        <v>1398/06/31</v>
      </c>
      <c r="E202" s="1">
        <f t="shared" si="64"/>
        <v>13980631</v>
      </c>
      <c r="F202" s="12" t="str">
        <f>IF(N202=0,J_SUBDAY(D202,1,1),IF((N202-NETWORKDAYS.INTL(J_GregorianDate(D202,1),J_GregorianDate(J_SUBDAY(J_ADDDAY(D202,N202,1),1,1),1),16,1)-SUMIFS(Holieday[ok],Holieday[date],CONCATENATE("&gt;","=",D202),Holieday[date],CONCATENATE("&lt;","=",J_SUBDAY(J_ADDDAY(D202,N202,1),1,1)))+SUMIFS(Holieday[Friday],Holieday[date],CONCATENATE("&gt;","=",D202),Holieday[date],CONCATENATE("&lt;","=",J_SUBDAY(J_ADDDAY(D202,N202,1),1,1))))=0,J_SUBDAY(J_ADDDAY(D202,N202,1),1,1),IF((N202-NETWORKDAYS.INTL(J_GregorianDate(D202,1),J_GregorianDate(J_SUBDAY(J_ADDDAY(D202,N202,1),1,1),1),16,1)-SUMIFS(Holieday[ok],Holieday[date],CONCATENATE("&gt;","=",D202),Holieday[date],CONCATENATE("&lt;","=",J_SUBDAY(J_ADDDAY(D202,N202,1),1,1)))+SUMIFS(Holieday[Friday],Holieday[date],CONCATENATE("&gt;","=",D202),Holieday[date],CONCATENATE("&lt;","=",J_SUBDAY(J_ADDDAY(D202,N202,1),1,1))))=1,J_SUBDAY(J_ADDDAY(D202,N202+1,1),1,1),IF((N202-NETWORKDAYS.INTL(J_GregorianDate(D202,1),J_GregorianDate(J_SUBDAY(J_ADDDAY(D202,N202,1),1,1),1),16,1)-SUMIFS(Holieday[ok],Holieday[date],CONCATENATE("&gt;","=",D202),Holieday[date],CONCATENATE("&lt;","=",J_SUBDAY(J_ADDDAY(D202,N202,1),1,1)))+SUMIFS(Holieday[Friday],Holieday[date],CONCATENATE("&gt;","=",D202),Holieday[date],CONCATENATE("&lt;","=",J_SUBDAY(J_ADDDAY(D202,N202,1),1,1))))=2,J_SUBDAY(J_ADDDAY(D202,N202+2,1),1,1),J_SUBDAY(J_ADDDAY(D202,N202+3,1),1,1)))))</f>
        <v>1398/06/30</v>
      </c>
      <c r="G202" s="2">
        <f t="shared" si="65"/>
        <v>13980630</v>
      </c>
      <c r="H202" s="109"/>
      <c r="I202" s="110">
        <v>1.1000000000000001</v>
      </c>
      <c r="J202" s="9">
        <f>j_WEEKDAY(D202,2)</f>
        <v>1</v>
      </c>
      <c r="K202" s="21">
        <f t="shared" si="62"/>
        <v>0</v>
      </c>
      <c r="L202" s="8">
        <f t="shared" si="63"/>
        <v>0</v>
      </c>
      <c r="M202" s="111">
        <v>0</v>
      </c>
      <c r="N202" s="108">
        <v>0</v>
      </c>
      <c r="O202" s="10">
        <f t="shared" si="60"/>
        <v>0</v>
      </c>
      <c r="P202" s="10">
        <f>VALUE(J_normdate(J_ADDDAY($D202,$O202,1)))</f>
        <v>13980631</v>
      </c>
      <c r="Q202" s="9">
        <f t="shared" si="61"/>
        <v>0</v>
      </c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  <c r="CC202" s="7"/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/>
      <c r="CQ202" s="7"/>
      <c r="CR202" s="7"/>
      <c r="CS202" s="7"/>
      <c r="CT202" s="7"/>
      <c r="CU202" s="7"/>
      <c r="CV202" s="7"/>
      <c r="CW202" s="7"/>
      <c r="CX202" s="7"/>
      <c r="CY202" s="7"/>
      <c r="CZ202" s="7"/>
      <c r="DA202" s="7"/>
      <c r="DB202" s="7"/>
      <c r="DC202" s="7"/>
      <c r="DD202" s="7"/>
      <c r="DE202" s="7"/>
      <c r="DF202" s="7"/>
      <c r="DG202" s="7"/>
      <c r="DH202" s="7"/>
      <c r="DI202" s="7"/>
      <c r="DJ202" s="7"/>
      <c r="DK202" s="7"/>
      <c r="DL202" s="7"/>
      <c r="DM202" s="7"/>
      <c r="DN202" s="7"/>
      <c r="DO202" s="7"/>
      <c r="DP202" s="7"/>
      <c r="DQ202" s="7"/>
      <c r="DR202" s="7"/>
      <c r="DS202" s="7"/>
      <c r="DT202" s="7"/>
      <c r="DU202" s="7"/>
      <c r="DV202" s="7"/>
      <c r="DW202" s="7"/>
      <c r="DX202" s="7"/>
      <c r="DY202" s="7"/>
      <c r="DZ202" s="7"/>
      <c r="EA202" s="7"/>
      <c r="EB202" s="7"/>
      <c r="EC202" s="7"/>
      <c r="ED202" s="7"/>
      <c r="EE202" s="7"/>
      <c r="EF202" s="7"/>
      <c r="EG202" s="7"/>
      <c r="EH202" s="7"/>
      <c r="EI202" s="7"/>
      <c r="EJ202" s="7"/>
      <c r="EK202" s="7"/>
      <c r="EL202" s="7"/>
      <c r="EM202" s="7"/>
      <c r="EN202" s="7"/>
      <c r="EO202" s="7"/>
      <c r="EP202" s="7"/>
      <c r="EQ202" s="7"/>
      <c r="ER202" s="7"/>
      <c r="ES202" s="7"/>
      <c r="ET202" s="7"/>
      <c r="EU202" s="7"/>
      <c r="EV202" s="7"/>
      <c r="EW202" s="7"/>
      <c r="EX202" s="7"/>
      <c r="EY202" s="7"/>
      <c r="EZ202" s="7"/>
      <c r="FA202" s="7"/>
      <c r="FB202" s="7"/>
      <c r="FC202" s="7"/>
      <c r="FD202" s="7"/>
      <c r="FE202" s="7"/>
      <c r="FF202" s="7"/>
      <c r="FG202" s="7"/>
      <c r="FH202" s="7"/>
      <c r="FI202" s="7"/>
      <c r="FJ202" s="7"/>
      <c r="FK202" s="7"/>
      <c r="FL202" s="7"/>
      <c r="FM202" s="7"/>
      <c r="FN202" s="7"/>
      <c r="FO202" s="7"/>
      <c r="FP202" s="7"/>
      <c r="FQ202" s="7"/>
      <c r="FR202" s="7"/>
      <c r="FS202" s="7"/>
      <c r="FT202" s="7"/>
      <c r="FU202" s="7"/>
      <c r="FV202" s="7"/>
      <c r="FW202" s="7"/>
      <c r="FX202" s="7"/>
      <c r="FY202" s="7"/>
      <c r="FZ202" s="7"/>
      <c r="GA202" s="7"/>
      <c r="GB202" s="7"/>
      <c r="GC202" s="7"/>
      <c r="GD202" s="7"/>
      <c r="GE202" s="7"/>
      <c r="GF202" s="7"/>
      <c r="GG202" s="7"/>
      <c r="GH202" s="7"/>
      <c r="GI202" s="7"/>
      <c r="GJ202" s="7"/>
      <c r="GK202" s="7"/>
      <c r="GL202" s="7"/>
      <c r="GM202" s="7"/>
      <c r="GN202" s="7"/>
      <c r="GO202" s="7"/>
      <c r="GP202" s="7"/>
      <c r="GQ202" s="7"/>
      <c r="GR202" s="7"/>
      <c r="GS202" s="7"/>
      <c r="GT202" s="7"/>
      <c r="GU202" s="7"/>
      <c r="GV202" s="7"/>
      <c r="GW202" s="7"/>
      <c r="GX202" s="7"/>
      <c r="GY202" s="7"/>
      <c r="GZ202" s="7"/>
      <c r="HA202" s="7"/>
      <c r="HB202" s="7"/>
      <c r="HC202" s="7"/>
      <c r="HD202" s="7"/>
      <c r="HE202" s="7"/>
      <c r="HF202" s="7"/>
      <c r="HG202" s="7"/>
      <c r="HH202" s="7"/>
      <c r="HI202" s="7"/>
      <c r="HJ202" s="7"/>
      <c r="HK202" s="7"/>
      <c r="HL202" s="7"/>
      <c r="HM202" s="7"/>
      <c r="HN202" s="7"/>
      <c r="HO202" s="7"/>
      <c r="HP202" s="7"/>
      <c r="HQ202" s="7"/>
      <c r="HR202" s="7"/>
      <c r="HS202" s="7"/>
      <c r="HT202" s="7"/>
      <c r="HU202" s="7"/>
      <c r="HV202" s="7"/>
      <c r="HW202" s="7"/>
      <c r="HX202" s="7"/>
      <c r="HY202" s="7"/>
      <c r="HZ202" s="7"/>
      <c r="IA202" s="7"/>
      <c r="IB202" s="7"/>
      <c r="IC202" s="7"/>
      <c r="ID202" s="7"/>
      <c r="IE202" s="7"/>
      <c r="IF202" s="7"/>
      <c r="IG202" s="7"/>
      <c r="IH202" s="7"/>
      <c r="II202" s="7"/>
      <c r="IJ202" s="7"/>
      <c r="IK202" s="7"/>
      <c r="IL202" s="7"/>
      <c r="IM202" s="7"/>
      <c r="IN202" s="7"/>
      <c r="IO202" s="7"/>
      <c r="IP202" s="7"/>
      <c r="IQ202" s="7"/>
      <c r="IR202" s="7"/>
      <c r="IS202" s="7"/>
      <c r="IT202" s="7"/>
      <c r="IU202" s="7"/>
      <c r="IV202" s="7"/>
      <c r="IW202" s="7"/>
      <c r="IX202" s="7"/>
      <c r="JA202" s="113"/>
      <c r="JB202" s="113"/>
      <c r="JC202" s="113"/>
      <c r="JD202" s="66">
        <f>SUM((TEXT(JA202,"[M]")/60)*'Income Person-hours'!$D$3,(TEXT(JB202,"[M]")/60)*'Income Person-hours'!$D$4,(TEXT(JC202,"[M]")/60)*'Income Person-hours'!$D$5)</f>
        <v>0</v>
      </c>
    </row>
    <row r="203" spans="1:264 16383:16384" s="11" customFormat="1" ht="11.25" hidden="1">
      <c r="A203" s="30">
        <v>8.2200000000000006</v>
      </c>
      <c r="B203" s="116"/>
      <c r="C203" s="107"/>
      <c r="D203" s="12" t="str">
        <f>IF(OR(j_WEEKDAY(J_ADDDAY(VLOOKUP(I203,A:F,6,FALSE),H203,1),0)=6,SUMIFS(Holieday[ok],Holieday[date],J_ADDDAY(VLOOKUP(I203,A:F,6,FALSE),H203,1)))=FALSE(),J_ADDDAY(VLOOKUP(I203,A:F,6,FALSE),H203,1),IF(OR(j_WEEKDAY(J_ADDDAY(VLOOKUP(I203,A:F,6,FALSE),H203+1,1),0)=6,SUMIFS(Holieday[ok],Holieday[date],J_ADDDAY(VLOOKUP(I203,A:F,6,FALSE),H203+1,1)))=FALSE(),J_ADDDAY(VLOOKUP(I203,A:F,6,FALSE),H203+1,1),IF(OR(j_WEEKDAY(J_ADDDAY(VLOOKUP(I203,A:F,6,FALSE),H203+2,1),0)=6,SUMIFS(Holieday[ok],Holieday[date],J_ADDDAY(VLOOKUP(I203,A:F,6,FALSE),H203+2,1)))=FALSE(),J_ADDDAY(VLOOKUP(I203,A:F,6,FALSE),H203+2,1),IF(OR(j_WEEKDAY(J_ADDDAY(VLOOKUP(I203,A:F,6,FALSE),H203+3,1),0)=6,SUMIFS(Holieday[ok],Holieday[date],J_ADDDAY(VLOOKUP(I203,A:F,6,FALSE),H203+3,1)))=FALSE(),J_ADDDAY(VLOOKUP(I203,A:F,6,FALSE),H203+3,1),IF(OR(j_WEEKDAY(J_ADDDAY(VLOOKUP(I203,A:F,6,FALSE),H203+4,1),0)=6,SUMIFS(Holieday[ok],Holieday[date],J_ADDDAY(VLOOKUP(I203,A:F,6,FALSE),H203+4,1)))=FALSE(),J_ADDDAY(VLOOKUP(I203,A:F,6,FALSE),H203+4,1),J_ADDDAY(VLOOKUP(I203,A:F,6,FALSE),H203+5,1))))))</f>
        <v>1398/06/31</v>
      </c>
      <c r="E203" s="1">
        <f t="shared" si="64"/>
        <v>13980631</v>
      </c>
      <c r="F203" s="12" t="str">
        <f>IF(N203=0,J_SUBDAY(D203,1,1),IF((N203-NETWORKDAYS.INTL(J_GregorianDate(D203,1),J_GregorianDate(J_SUBDAY(J_ADDDAY(D203,N203,1),1,1),1),16,1)-SUMIFS(Holieday[ok],Holieday[date],CONCATENATE("&gt;","=",D203),Holieday[date],CONCATENATE("&lt;","=",J_SUBDAY(J_ADDDAY(D203,N203,1),1,1)))+SUMIFS(Holieday[Friday],Holieday[date],CONCATENATE("&gt;","=",D203),Holieday[date],CONCATENATE("&lt;","=",J_SUBDAY(J_ADDDAY(D203,N203,1),1,1))))=0,J_SUBDAY(J_ADDDAY(D203,N203,1),1,1),IF((N203-NETWORKDAYS.INTL(J_GregorianDate(D203,1),J_GregorianDate(J_SUBDAY(J_ADDDAY(D203,N203,1),1,1),1),16,1)-SUMIFS(Holieday[ok],Holieday[date],CONCATENATE("&gt;","=",D203),Holieday[date],CONCATENATE("&lt;","=",J_SUBDAY(J_ADDDAY(D203,N203,1),1,1)))+SUMIFS(Holieday[Friday],Holieday[date],CONCATENATE("&gt;","=",D203),Holieday[date],CONCATENATE("&lt;","=",J_SUBDAY(J_ADDDAY(D203,N203,1),1,1))))=1,J_SUBDAY(J_ADDDAY(D203,N203+1,1),1,1),IF((N203-NETWORKDAYS.INTL(J_GregorianDate(D203,1),J_GregorianDate(J_SUBDAY(J_ADDDAY(D203,N203,1),1,1),1),16,1)-SUMIFS(Holieday[ok],Holieday[date],CONCATENATE("&gt;","=",D203),Holieday[date],CONCATENATE("&lt;","=",J_SUBDAY(J_ADDDAY(D203,N203,1),1,1)))+SUMIFS(Holieday[Friday],Holieday[date],CONCATENATE("&gt;","=",D203),Holieday[date],CONCATENATE("&lt;","=",J_SUBDAY(J_ADDDAY(D203,N203,1),1,1))))=2,J_SUBDAY(J_ADDDAY(D203,N203+2,1),1,1),J_SUBDAY(J_ADDDAY(D203,N203+3,1),1,1)))))</f>
        <v>1398/06/30</v>
      </c>
      <c r="G203" s="2">
        <f t="shared" si="65"/>
        <v>13980630</v>
      </c>
      <c r="H203" s="109"/>
      <c r="I203" s="110">
        <v>1.1000000000000001</v>
      </c>
      <c r="J203" s="9">
        <f>j_WEEKDAY(D203,2)</f>
        <v>1</v>
      </c>
      <c r="K203" s="21">
        <f t="shared" si="62"/>
        <v>0</v>
      </c>
      <c r="L203" s="8">
        <f t="shared" si="63"/>
        <v>0</v>
      </c>
      <c r="M203" s="111">
        <v>0</v>
      </c>
      <c r="N203" s="108">
        <v>0</v>
      </c>
      <c r="O203" s="10">
        <f t="shared" si="60"/>
        <v>0</v>
      </c>
      <c r="P203" s="10">
        <f>VALUE(J_normdate(J_ADDDAY($D203,$O203,1)))</f>
        <v>13980631</v>
      </c>
      <c r="Q203" s="9">
        <f t="shared" si="61"/>
        <v>0</v>
      </c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  <c r="CC203" s="7"/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/>
      <c r="CQ203" s="7"/>
      <c r="CR203" s="7"/>
      <c r="CS203" s="7"/>
      <c r="CT203" s="7"/>
      <c r="CU203" s="7"/>
      <c r="CV203" s="7"/>
      <c r="CW203" s="7"/>
      <c r="CX203" s="7"/>
      <c r="CY203" s="7"/>
      <c r="CZ203" s="7"/>
      <c r="DA203" s="7"/>
      <c r="DB203" s="7"/>
      <c r="DC203" s="7"/>
      <c r="DD203" s="7"/>
      <c r="DE203" s="7"/>
      <c r="DF203" s="7"/>
      <c r="DG203" s="7"/>
      <c r="DH203" s="7"/>
      <c r="DI203" s="7"/>
      <c r="DJ203" s="7"/>
      <c r="DK203" s="7"/>
      <c r="DL203" s="7"/>
      <c r="DM203" s="7"/>
      <c r="DN203" s="7"/>
      <c r="DO203" s="7"/>
      <c r="DP203" s="7"/>
      <c r="DQ203" s="7"/>
      <c r="DR203" s="7"/>
      <c r="DS203" s="7"/>
      <c r="DT203" s="7"/>
      <c r="DU203" s="7"/>
      <c r="DV203" s="7"/>
      <c r="DW203" s="7"/>
      <c r="DX203" s="7"/>
      <c r="DY203" s="7"/>
      <c r="DZ203" s="7"/>
      <c r="EA203" s="7"/>
      <c r="EB203" s="7"/>
      <c r="EC203" s="7"/>
      <c r="ED203" s="7"/>
      <c r="EE203" s="7"/>
      <c r="EF203" s="7"/>
      <c r="EG203" s="7"/>
      <c r="EH203" s="7"/>
      <c r="EI203" s="7"/>
      <c r="EJ203" s="7"/>
      <c r="EK203" s="7"/>
      <c r="EL203" s="7"/>
      <c r="EM203" s="7"/>
      <c r="EN203" s="7"/>
      <c r="EO203" s="7"/>
      <c r="EP203" s="7"/>
      <c r="EQ203" s="7"/>
      <c r="ER203" s="7"/>
      <c r="ES203" s="7"/>
      <c r="ET203" s="7"/>
      <c r="EU203" s="7"/>
      <c r="EV203" s="7"/>
      <c r="EW203" s="7"/>
      <c r="EX203" s="7"/>
      <c r="EY203" s="7"/>
      <c r="EZ203" s="7"/>
      <c r="FA203" s="7"/>
      <c r="FB203" s="7"/>
      <c r="FC203" s="7"/>
      <c r="FD203" s="7"/>
      <c r="FE203" s="7"/>
      <c r="FF203" s="7"/>
      <c r="FG203" s="7"/>
      <c r="FH203" s="7"/>
      <c r="FI203" s="7"/>
      <c r="FJ203" s="7"/>
      <c r="FK203" s="7"/>
      <c r="FL203" s="7"/>
      <c r="FM203" s="7"/>
      <c r="FN203" s="7"/>
      <c r="FO203" s="7"/>
      <c r="FP203" s="7"/>
      <c r="FQ203" s="7"/>
      <c r="FR203" s="7"/>
      <c r="FS203" s="7"/>
      <c r="FT203" s="7"/>
      <c r="FU203" s="7"/>
      <c r="FV203" s="7"/>
      <c r="FW203" s="7"/>
      <c r="FX203" s="7"/>
      <c r="FY203" s="7"/>
      <c r="FZ203" s="7"/>
      <c r="GA203" s="7"/>
      <c r="GB203" s="7"/>
      <c r="GC203" s="7"/>
      <c r="GD203" s="7"/>
      <c r="GE203" s="7"/>
      <c r="GF203" s="7"/>
      <c r="GG203" s="7"/>
      <c r="GH203" s="7"/>
      <c r="GI203" s="7"/>
      <c r="GJ203" s="7"/>
      <c r="GK203" s="7"/>
      <c r="GL203" s="7"/>
      <c r="GM203" s="7"/>
      <c r="GN203" s="7"/>
      <c r="GO203" s="7"/>
      <c r="GP203" s="7"/>
      <c r="GQ203" s="7"/>
      <c r="GR203" s="7"/>
      <c r="GS203" s="7"/>
      <c r="GT203" s="7"/>
      <c r="GU203" s="7"/>
      <c r="GV203" s="7"/>
      <c r="GW203" s="7"/>
      <c r="GX203" s="7"/>
      <c r="GY203" s="7"/>
      <c r="GZ203" s="7"/>
      <c r="HA203" s="7"/>
      <c r="HB203" s="7"/>
      <c r="HC203" s="7"/>
      <c r="HD203" s="7"/>
      <c r="HE203" s="7"/>
      <c r="HF203" s="7"/>
      <c r="HG203" s="7"/>
      <c r="HH203" s="7"/>
      <c r="HI203" s="7"/>
      <c r="HJ203" s="7"/>
      <c r="HK203" s="7"/>
      <c r="HL203" s="7"/>
      <c r="HM203" s="7"/>
      <c r="HN203" s="7"/>
      <c r="HO203" s="7"/>
      <c r="HP203" s="7"/>
      <c r="HQ203" s="7"/>
      <c r="HR203" s="7"/>
      <c r="HS203" s="7"/>
      <c r="HT203" s="7"/>
      <c r="HU203" s="7"/>
      <c r="HV203" s="7"/>
      <c r="HW203" s="7"/>
      <c r="HX203" s="7"/>
      <c r="HY203" s="7"/>
      <c r="HZ203" s="7"/>
      <c r="IA203" s="7"/>
      <c r="IB203" s="7"/>
      <c r="IC203" s="7"/>
      <c r="ID203" s="7"/>
      <c r="IE203" s="7"/>
      <c r="IF203" s="7"/>
      <c r="IG203" s="7"/>
      <c r="IH203" s="7"/>
      <c r="II203" s="7"/>
      <c r="IJ203" s="7"/>
      <c r="IK203" s="7"/>
      <c r="IL203" s="7"/>
      <c r="IM203" s="7"/>
      <c r="IN203" s="7"/>
      <c r="IO203" s="7"/>
      <c r="IP203" s="7"/>
      <c r="IQ203" s="7"/>
      <c r="IR203" s="7"/>
      <c r="IS203" s="7"/>
      <c r="IT203" s="7"/>
      <c r="IU203" s="7"/>
      <c r="IV203" s="7"/>
      <c r="IW203" s="7"/>
      <c r="IX203" s="7"/>
      <c r="JA203" s="113"/>
      <c r="JB203" s="113"/>
      <c r="JC203" s="113"/>
      <c r="JD203" s="66">
        <f>SUM((TEXT(JA203,"[M]")/60)*'Income Person-hours'!$D$3,(TEXT(JB203,"[M]")/60)*'Income Person-hours'!$D$4,(TEXT(JC203,"[M]")/60)*'Income Person-hours'!$D$5)</f>
        <v>0</v>
      </c>
    </row>
    <row r="204" spans="1:264 16383:16384" s="11" customFormat="1" ht="11.25" hidden="1">
      <c r="A204" s="30">
        <v>8.23</v>
      </c>
      <c r="B204" s="116"/>
      <c r="C204" s="107"/>
      <c r="D204" s="12" t="str">
        <f>IF(OR(j_WEEKDAY(J_ADDDAY(VLOOKUP(I204,A:F,6,FALSE),H204,1),0)=6,SUMIFS(Holieday[ok],Holieday[date],J_ADDDAY(VLOOKUP(I204,A:F,6,FALSE),H204,1)))=FALSE(),J_ADDDAY(VLOOKUP(I204,A:F,6,FALSE),H204,1),IF(OR(j_WEEKDAY(J_ADDDAY(VLOOKUP(I204,A:F,6,FALSE),H204+1,1),0)=6,SUMIFS(Holieday[ok],Holieday[date],J_ADDDAY(VLOOKUP(I204,A:F,6,FALSE),H204+1,1)))=FALSE(),J_ADDDAY(VLOOKUP(I204,A:F,6,FALSE),H204+1,1),IF(OR(j_WEEKDAY(J_ADDDAY(VLOOKUP(I204,A:F,6,FALSE),H204+2,1),0)=6,SUMIFS(Holieday[ok],Holieday[date],J_ADDDAY(VLOOKUP(I204,A:F,6,FALSE),H204+2,1)))=FALSE(),J_ADDDAY(VLOOKUP(I204,A:F,6,FALSE),H204+2,1),IF(OR(j_WEEKDAY(J_ADDDAY(VLOOKUP(I204,A:F,6,FALSE),H204+3,1),0)=6,SUMIFS(Holieday[ok],Holieday[date],J_ADDDAY(VLOOKUP(I204,A:F,6,FALSE),H204+3,1)))=FALSE(),J_ADDDAY(VLOOKUP(I204,A:F,6,FALSE),H204+3,1),IF(OR(j_WEEKDAY(J_ADDDAY(VLOOKUP(I204,A:F,6,FALSE),H204+4,1),0)=6,SUMIFS(Holieday[ok],Holieday[date],J_ADDDAY(VLOOKUP(I204,A:F,6,FALSE),H204+4,1)))=FALSE(),J_ADDDAY(VLOOKUP(I204,A:F,6,FALSE),H204+4,1),J_ADDDAY(VLOOKUP(I204,A:F,6,FALSE),H204+5,1))))))</f>
        <v>1398/06/31</v>
      </c>
      <c r="E204" s="1">
        <f t="shared" si="64"/>
        <v>13980631</v>
      </c>
      <c r="F204" s="12" t="str">
        <f>IF(N204=0,J_SUBDAY(D204,1,1),IF((N204-NETWORKDAYS.INTL(J_GregorianDate(D204,1),J_GregorianDate(J_SUBDAY(J_ADDDAY(D204,N204,1),1,1),1),16,1)-SUMIFS(Holieday[ok],Holieday[date],CONCATENATE("&gt;","=",D204),Holieday[date],CONCATENATE("&lt;","=",J_SUBDAY(J_ADDDAY(D204,N204,1),1,1)))+SUMIFS(Holieday[Friday],Holieday[date],CONCATENATE("&gt;","=",D204),Holieday[date],CONCATENATE("&lt;","=",J_SUBDAY(J_ADDDAY(D204,N204,1),1,1))))=0,J_SUBDAY(J_ADDDAY(D204,N204,1),1,1),IF((N204-NETWORKDAYS.INTL(J_GregorianDate(D204,1),J_GregorianDate(J_SUBDAY(J_ADDDAY(D204,N204,1),1,1),1),16,1)-SUMIFS(Holieday[ok],Holieday[date],CONCATENATE("&gt;","=",D204),Holieday[date],CONCATENATE("&lt;","=",J_SUBDAY(J_ADDDAY(D204,N204,1),1,1)))+SUMIFS(Holieday[Friday],Holieday[date],CONCATENATE("&gt;","=",D204),Holieday[date],CONCATENATE("&lt;","=",J_SUBDAY(J_ADDDAY(D204,N204,1),1,1))))=1,J_SUBDAY(J_ADDDAY(D204,N204+1,1),1,1),IF((N204-NETWORKDAYS.INTL(J_GregorianDate(D204,1),J_GregorianDate(J_SUBDAY(J_ADDDAY(D204,N204,1),1,1),1),16,1)-SUMIFS(Holieday[ok],Holieday[date],CONCATENATE("&gt;","=",D204),Holieday[date],CONCATENATE("&lt;","=",J_SUBDAY(J_ADDDAY(D204,N204,1),1,1)))+SUMIFS(Holieday[Friday],Holieday[date],CONCATENATE("&gt;","=",D204),Holieday[date],CONCATENATE("&lt;","=",J_SUBDAY(J_ADDDAY(D204,N204,1),1,1))))=2,J_SUBDAY(J_ADDDAY(D204,N204+2,1),1,1),J_SUBDAY(J_ADDDAY(D204,N204+3,1),1,1)))))</f>
        <v>1398/06/30</v>
      </c>
      <c r="G204" s="2">
        <f t="shared" si="65"/>
        <v>13980630</v>
      </c>
      <c r="H204" s="109"/>
      <c r="I204" s="110">
        <v>1.1000000000000001</v>
      </c>
      <c r="J204" s="9">
        <f>j_WEEKDAY(D204,2)</f>
        <v>1</v>
      </c>
      <c r="K204" s="21">
        <f t="shared" si="62"/>
        <v>0</v>
      </c>
      <c r="L204" s="8">
        <f t="shared" si="63"/>
        <v>0</v>
      </c>
      <c r="M204" s="111">
        <v>0</v>
      </c>
      <c r="N204" s="108">
        <v>0</v>
      </c>
      <c r="O204" s="10">
        <f t="shared" si="60"/>
        <v>0</v>
      </c>
      <c r="P204" s="10">
        <f>VALUE(J_normdate(J_ADDDAY($D204,$O204,1)))</f>
        <v>13980631</v>
      </c>
      <c r="Q204" s="9">
        <f t="shared" si="61"/>
        <v>0</v>
      </c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7"/>
      <c r="BV204" s="7"/>
      <c r="BW204" s="7"/>
      <c r="BX204" s="7"/>
      <c r="BY204" s="7"/>
      <c r="BZ204" s="7"/>
      <c r="CA204" s="7"/>
      <c r="CB204" s="7"/>
      <c r="CC204" s="7"/>
      <c r="CD204" s="7"/>
      <c r="CE204" s="7"/>
      <c r="CF204" s="7"/>
      <c r="CG204" s="7"/>
      <c r="CH204" s="7"/>
      <c r="CI204" s="7"/>
      <c r="CJ204" s="7"/>
      <c r="CK204" s="7"/>
      <c r="CL204" s="7"/>
      <c r="CM204" s="7"/>
      <c r="CN204" s="7"/>
      <c r="CO204" s="7"/>
      <c r="CP204" s="7"/>
      <c r="CQ204" s="7"/>
      <c r="CR204" s="7"/>
      <c r="CS204" s="7"/>
      <c r="CT204" s="7"/>
      <c r="CU204" s="7"/>
      <c r="CV204" s="7"/>
      <c r="CW204" s="7"/>
      <c r="CX204" s="7"/>
      <c r="CY204" s="7"/>
      <c r="CZ204" s="7"/>
      <c r="DA204" s="7"/>
      <c r="DB204" s="7"/>
      <c r="DC204" s="7"/>
      <c r="DD204" s="7"/>
      <c r="DE204" s="7"/>
      <c r="DF204" s="7"/>
      <c r="DG204" s="7"/>
      <c r="DH204" s="7"/>
      <c r="DI204" s="7"/>
      <c r="DJ204" s="7"/>
      <c r="DK204" s="7"/>
      <c r="DL204" s="7"/>
      <c r="DM204" s="7"/>
      <c r="DN204" s="7"/>
      <c r="DO204" s="7"/>
      <c r="DP204" s="7"/>
      <c r="DQ204" s="7"/>
      <c r="DR204" s="7"/>
      <c r="DS204" s="7"/>
      <c r="DT204" s="7"/>
      <c r="DU204" s="7"/>
      <c r="DV204" s="7"/>
      <c r="DW204" s="7"/>
      <c r="DX204" s="7"/>
      <c r="DY204" s="7"/>
      <c r="DZ204" s="7"/>
      <c r="EA204" s="7"/>
      <c r="EB204" s="7"/>
      <c r="EC204" s="7"/>
      <c r="ED204" s="7"/>
      <c r="EE204" s="7"/>
      <c r="EF204" s="7"/>
      <c r="EG204" s="7"/>
      <c r="EH204" s="7"/>
      <c r="EI204" s="7"/>
      <c r="EJ204" s="7"/>
      <c r="EK204" s="7"/>
      <c r="EL204" s="7"/>
      <c r="EM204" s="7"/>
      <c r="EN204" s="7"/>
      <c r="EO204" s="7"/>
      <c r="EP204" s="7"/>
      <c r="EQ204" s="7"/>
      <c r="ER204" s="7"/>
      <c r="ES204" s="7"/>
      <c r="ET204" s="7"/>
      <c r="EU204" s="7"/>
      <c r="EV204" s="7"/>
      <c r="EW204" s="7"/>
      <c r="EX204" s="7"/>
      <c r="EY204" s="7"/>
      <c r="EZ204" s="7"/>
      <c r="FA204" s="7"/>
      <c r="FB204" s="7"/>
      <c r="FC204" s="7"/>
      <c r="FD204" s="7"/>
      <c r="FE204" s="7"/>
      <c r="FF204" s="7"/>
      <c r="FG204" s="7"/>
      <c r="FH204" s="7"/>
      <c r="FI204" s="7"/>
      <c r="FJ204" s="7"/>
      <c r="FK204" s="7"/>
      <c r="FL204" s="7"/>
      <c r="FM204" s="7"/>
      <c r="FN204" s="7"/>
      <c r="FO204" s="7"/>
      <c r="FP204" s="7"/>
      <c r="FQ204" s="7"/>
      <c r="FR204" s="7"/>
      <c r="FS204" s="7"/>
      <c r="FT204" s="7"/>
      <c r="FU204" s="7"/>
      <c r="FV204" s="7"/>
      <c r="FW204" s="7"/>
      <c r="FX204" s="7"/>
      <c r="FY204" s="7"/>
      <c r="FZ204" s="7"/>
      <c r="GA204" s="7"/>
      <c r="GB204" s="7"/>
      <c r="GC204" s="7"/>
      <c r="GD204" s="7"/>
      <c r="GE204" s="7"/>
      <c r="GF204" s="7"/>
      <c r="GG204" s="7"/>
      <c r="GH204" s="7"/>
      <c r="GI204" s="7"/>
      <c r="GJ204" s="7"/>
      <c r="GK204" s="7"/>
      <c r="GL204" s="7"/>
      <c r="GM204" s="7"/>
      <c r="GN204" s="7"/>
      <c r="GO204" s="7"/>
      <c r="GP204" s="7"/>
      <c r="GQ204" s="7"/>
      <c r="GR204" s="7"/>
      <c r="GS204" s="7"/>
      <c r="GT204" s="7"/>
      <c r="GU204" s="7"/>
      <c r="GV204" s="7"/>
      <c r="GW204" s="7"/>
      <c r="GX204" s="7"/>
      <c r="GY204" s="7"/>
      <c r="GZ204" s="7"/>
      <c r="HA204" s="7"/>
      <c r="HB204" s="7"/>
      <c r="HC204" s="7"/>
      <c r="HD204" s="7"/>
      <c r="HE204" s="7"/>
      <c r="HF204" s="7"/>
      <c r="HG204" s="7"/>
      <c r="HH204" s="7"/>
      <c r="HI204" s="7"/>
      <c r="HJ204" s="7"/>
      <c r="HK204" s="7"/>
      <c r="HL204" s="7"/>
      <c r="HM204" s="7"/>
      <c r="HN204" s="7"/>
      <c r="HO204" s="7"/>
      <c r="HP204" s="7"/>
      <c r="HQ204" s="7"/>
      <c r="HR204" s="7"/>
      <c r="HS204" s="7"/>
      <c r="HT204" s="7"/>
      <c r="HU204" s="7"/>
      <c r="HV204" s="7"/>
      <c r="HW204" s="7"/>
      <c r="HX204" s="7"/>
      <c r="HY204" s="7"/>
      <c r="HZ204" s="7"/>
      <c r="IA204" s="7"/>
      <c r="IB204" s="7"/>
      <c r="IC204" s="7"/>
      <c r="ID204" s="7"/>
      <c r="IE204" s="7"/>
      <c r="IF204" s="7"/>
      <c r="IG204" s="7"/>
      <c r="IH204" s="7"/>
      <c r="II204" s="7"/>
      <c r="IJ204" s="7"/>
      <c r="IK204" s="7"/>
      <c r="IL204" s="7"/>
      <c r="IM204" s="7"/>
      <c r="IN204" s="7"/>
      <c r="IO204" s="7"/>
      <c r="IP204" s="7"/>
      <c r="IQ204" s="7"/>
      <c r="IR204" s="7"/>
      <c r="IS204" s="7"/>
      <c r="IT204" s="7"/>
      <c r="IU204" s="7"/>
      <c r="IV204" s="7"/>
      <c r="IW204" s="7"/>
      <c r="IX204" s="7"/>
      <c r="JA204" s="113"/>
      <c r="JB204" s="113"/>
      <c r="JC204" s="113"/>
      <c r="JD204" s="66">
        <f>SUM((TEXT(JA204,"[M]")/60)*'Income Person-hours'!$D$3,(TEXT(JB204,"[M]")/60)*'Income Person-hours'!$D$4,(TEXT(JC204,"[M]")/60)*'Income Person-hours'!$D$5)</f>
        <v>0</v>
      </c>
    </row>
    <row r="205" spans="1:264 16383:16384" s="220" customFormat="1" ht="11.25" hidden="1">
      <c r="A205" s="216">
        <v>9</v>
      </c>
      <c r="B205" s="217"/>
      <c r="C205" s="218"/>
      <c r="D205" s="219" t="str">
        <f>FDate(MIN(E206:E226))</f>
        <v>1398/06/31</v>
      </c>
      <c r="E205" s="1">
        <f t="shared" si="64"/>
        <v>13980631</v>
      </c>
      <c r="F205" s="219" t="str">
        <f>J_SUBDAY(J_ADDDAY(D205,L205,1),1,1)</f>
        <v>1398/06/30</v>
      </c>
      <c r="G205" s="2">
        <f t="shared" si="65"/>
        <v>13980630</v>
      </c>
      <c r="H205" s="114"/>
      <c r="I205" s="115"/>
      <c r="J205" s="219">
        <f>j_WEEKDAY(D205,2)</f>
        <v>1</v>
      </c>
      <c r="K205" s="20">
        <f>SUM(K206:K226)</f>
        <v>0</v>
      </c>
      <c r="L205" s="225">
        <f>J_DIFF(D205,FDate(MAX(G206:G226)))+1</f>
        <v>0</v>
      </c>
      <c r="M205" s="226">
        <f>IF(SUM(L206:L226)&lt;&gt;0,SUMPRODUCT(L206:L226,M206:M226)/SUM(L206:L226),0)</f>
        <v>0</v>
      </c>
      <c r="N205" s="214">
        <f>IF(F205&gt;=D205,NETWORKDAYS.INTL(J_GregorianDate(D205,1),J_GregorianDate(F205,1),16,1)-SUMIFS(Holieday[ok],Holieday[date],CONCATENATE("&gt;","=",D205),Holieday[date],CONCATENATE("&lt;","=",F205))+SUMIFS(Holieday[Friday],Holieday[date],CONCATENATE("&gt;","=",D205),Holieday[date],CONCATENATE("&lt;","=",F205)),0)</f>
        <v>0</v>
      </c>
      <c r="O205" s="14">
        <f t="shared" ref="O205:O226" si="66">ROUNDDOWN(M205*L205,0)</f>
        <v>0</v>
      </c>
      <c r="P205" s="14">
        <f>VALUE(J_normdate(J_ADDDAY($D205,$O205,1)))</f>
        <v>13980631</v>
      </c>
      <c r="Q205" s="4">
        <f t="shared" ref="Q205:Q226" si="67">L205-O205</f>
        <v>0</v>
      </c>
      <c r="IY205" s="221"/>
      <c r="IZ205" s="221"/>
      <c r="JA205" s="222"/>
      <c r="JB205" s="223"/>
      <c r="JC205" s="224"/>
      <c r="XFC205" s="219"/>
      <c r="XFD205" s="219"/>
    </row>
    <row r="206" spans="1:264 16383:16384" s="11" customFormat="1" ht="11.25" hidden="1">
      <c r="A206" s="30">
        <v>9.1</v>
      </c>
      <c r="B206" s="106"/>
      <c r="C206" s="107"/>
      <c r="D206" s="12" t="str">
        <f>IF(OR(j_WEEKDAY(J_ADDDAY(VLOOKUP(I206,A:F,6,FALSE),H206,1),0)=6,SUMIFS(Holieday[ok],Holieday[date],J_ADDDAY(VLOOKUP(I206,A:F,6,FALSE),H206,1)))=FALSE(),J_ADDDAY(VLOOKUP(I206,A:F,6,FALSE),H206,1),IF(OR(j_WEEKDAY(J_ADDDAY(VLOOKUP(I206,A:F,6,FALSE),H206+1,1),0)=6,SUMIFS(Holieday[ok],Holieday[date],J_ADDDAY(VLOOKUP(I206,A:F,6,FALSE),H206+1,1)))=FALSE(),J_ADDDAY(VLOOKUP(I206,A:F,6,FALSE),H206+1,1),IF(OR(j_WEEKDAY(J_ADDDAY(VLOOKUP(I206,A:F,6,FALSE),H206+2,1),0)=6,SUMIFS(Holieday[ok],Holieday[date],J_ADDDAY(VLOOKUP(I206,A:F,6,FALSE),H206+2,1)))=FALSE(),J_ADDDAY(VLOOKUP(I206,A:F,6,FALSE),H206+2,1),IF(OR(j_WEEKDAY(J_ADDDAY(VLOOKUP(I206,A:F,6,FALSE),H206+3,1),0)=6,SUMIFS(Holieday[ok],Holieday[date],J_ADDDAY(VLOOKUP(I206,A:F,6,FALSE),H206+3,1)))=FALSE(),J_ADDDAY(VLOOKUP(I206,A:F,6,FALSE),H206+3,1),IF(OR(j_WEEKDAY(J_ADDDAY(VLOOKUP(I206,A:F,6,FALSE),H206+4,1),0)=6,SUMIFS(Holieday[ok],Holieday[date],J_ADDDAY(VLOOKUP(I206,A:F,6,FALSE),H206+4,1)))=FALSE(),J_ADDDAY(VLOOKUP(I206,A:F,6,FALSE),H206+4,1),J_ADDDAY(VLOOKUP(I206,A:F,6,FALSE),H206+5,1))))))</f>
        <v>1398/06/31</v>
      </c>
      <c r="E206" s="1">
        <f t="shared" si="64"/>
        <v>13980631</v>
      </c>
      <c r="F206" s="12" t="str">
        <f>IF(N206=0,J_SUBDAY(D206,1,1),IF((N206-NETWORKDAYS.INTL(J_GregorianDate(D206,1),J_GregorianDate(J_SUBDAY(J_ADDDAY(D206,N206,1),1,1),1),16,1)-SUMIFS(Holieday[ok],Holieday[date],CONCATENATE("&gt;","=",D206),Holieday[date],CONCATENATE("&lt;","=",J_SUBDAY(J_ADDDAY(D206,N206,1),1,1)))+SUMIFS(Holieday[Friday],Holieday[date],CONCATENATE("&gt;","=",D206),Holieday[date],CONCATENATE("&lt;","=",J_SUBDAY(J_ADDDAY(D206,N206,1),1,1))))=0,J_SUBDAY(J_ADDDAY(D206,N206,1),1,1),IF((N206-NETWORKDAYS.INTL(J_GregorianDate(D206,1),J_GregorianDate(J_SUBDAY(J_ADDDAY(D206,N206,1),1,1),1),16,1)-SUMIFS(Holieday[ok],Holieday[date],CONCATENATE("&gt;","=",D206),Holieday[date],CONCATENATE("&lt;","=",J_SUBDAY(J_ADDDAY(D206,N206,1),1,1)))+SUMIFS(Holieday[Friday],Holieday[date],CONCATENATE("&gt;","=",D206),Holieday[date],CONCATENATE("&lt;","=",J_SUBDAY(J_ADDDAY(D206,N206,1),1,1))))=1,J_SUBDAY(J_ADDDAY(D206,N206+1,1),1,1),IF((N206-NETWORKDAYS.INTL(J_GregorianDate(D206,1),J_GregorianDate(J_SUBDAY(J_ADDDAY(D206,N206,1),1,1),1),16,1)-SUMIFS(Holieday[ok],Holieday[date],CONCATENATE("&gt;","=",D206),Holieday[date],CONCATENATE("&lt;","=",J_SUBDAY(J_ADDDAY(D206,N206,1),1,1)))+SUMIFS(Holieday[Friday],Holieday[date],CONCATENATE("&gt;","=",D206),Holieday[date],CONCATENATE("&lt;","=",J_SUBDAY(J_ADDDAY(D206,N206,1),1,1))))=2,J_SUBDAY(J_ADDDAY(D206,N206+2,1),1,1),J_SUBDAY(J_ADDDAY(D206,N206+3,1),1,1)))))</f>
        <v>1398/06/30</v>
      </c>
      <c r="G206" s="2">
        <f t="shared" si="65"/>
        <v>13980630</v>
      </c>
      <c r="H206" s="109"/>
      <c r="I206" s="110">
        <v>1.1000000000000001</v>
      </c>
      <c r="J206" s="9">
        <f>j_WEEKDAY(D206,2)</f>
        <v>1</v>
      </c>
      <c r="K206" s="21">
        <f>SUM(JA206:JC206)</f>
        <v>0</v>
      </c>
      <c r="L206" s="8">
        <f t="shared" ref="L206:L226" si="68">J_DIFF(D206,F206)+1</f>
        <v>0</v>
      </c>
      <c r="M206" s="111">
        <v>0</v>
      </c>
      <c r="N206" s="108">
        <v>0</v>
      </c>
      <c r="O206" s="10">
        <f t="shared" si="66"/>
        <v>0</v>
      </c>
      <c r="P206" s="10">
        <f>VALUE(J_normdate(J_ADDDAY($D206,$O206,1)))</f>
        <v>13980631</v>
      </c>
      <c r="Q206" s="9">
        <f t="shared" si="67"/>
        <v>0</v>
      </c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7"/>
      <c r="BV206" s="7"/>
      <c r="BW206" s="7"/>
      <c r="BX206" s="7"/>
      <c r="BY206" s="7"/>
      <c r="BZ206" s="7"/>
      <c r="CA206" s="7"/>
      <c r="CB206" s="7"/>
      <c r="CC206" s="7"/>
      <c r="CD206" s="7"/>
      <c r="CE206" s="7"/>
      <c r="CF206" s="7"/>
      <c r="CG206" s="7"/>
      <c r="CH206" s="7"/>
      <c r="CI206" s="7"/>
      <c r="CJ206" s="7"/>
      <c r="CK206" s="7"/>
      <c r="CL206" s="7"/>
      <c r="CM206" s="7"/>
      <c r="CN206" s="7"/>
      <c r="CO206" s="7"/>
      <c r="CP206" s="7"/>
      <c r="CQ206" s="7"/>
      <c r="CR206" s="7"/>
      <c r="CS206" s="7"/>
      <c r="CT206" s="7"/>
      <c r="CU206" s="7"/>
      <c r="CV206" s="7"/>
      <c r="CW206" s="7"/>
      <c r="CX206" s="7"/>
      <c r="CY206" s="7"/>
      <c r="CZ206" s="7"/>
      <c r="DA206" s="7"/>
      <c r="DB206" s="7"/>
      <c r="DC206" s="7"/>
      <c r="DD206" s="7"/>
      <c r="DE206" s="7"/>
      <c r="DF206" s="7"/>
      <c r="DG206" s="7"/>
      <c r="DH206" s="7"/>
      <c r="DI206" s="7"/>
      <c r="DJ206" s="7"/>
      <c r="DK206" s="7"/>
      <c r="DL206" s="7"/>
      <c r="DM206" s="7"/>
      <c r="DN206" s="7"/>
      <c r="DO206" s="7"/>
      <c r="DP206" s="7"/>
      <c r="DQ206" s="7"/>
      <c r="DR206" s="7"/>
      <c r="DS206" s="7"/>
      <c r="DT206" s="7"/>
      <c r="DU206" s="7"/>
      <c r="DV206" s="7"/>
      <c r="DW206" s="7"/>
      <c r="DX206" s="7"/>
      <c r="DY206" s="7"/>
      <c r="DZ206" s="7"/>
      <c r="EA206" s="7"/>
      <c r="EB206" s="7"/>
      <c r="EC206" s="7"/>
      <c r="ED206" s="7"/>
      <c r="EE206" s="7"/>
      <c r="EF206" s="7"/>
      <c r="EG206" s="7"/>
      <c r="EH206" s="7"/>
      <c r="EI206" s="7"/>
      <c r="EJ206" s="7"/>
      <c r="EK206" s="7"/>
      <c r="EL206" s="7"/>
      <c r="EM206" s="7"/>
      <c r="EN206" s="7"/>
      <c r="EO206" s="7"/>
      <c r="EP206" s="7"/>
      <c r="EQ206" s="7"/>
      <c r="ER206" s="7"/>
      <c r="ES206" s="7"/>
      <c r="ET206" s="7"/>
      <c r="EU206" s="7"/>
      <c r="EV206" s="7"/>
      <c r="EW206" s="7"/>
      <c r="EX206" s="7"/>
      <c r="EY206" s="7"/>
      <c r="EZ206" s="7"/>
      <c r="FA206" s="7"/>
      <c r="FB206" s="7"/>
      <c r="FC206" s="7"/>
      <c r="FD206" s="7"/>
      <c r="FE206" s="7"/>
      <c r="FF206" s="7"/>
      <c r="FG206" s="7"/>
      <c r="FH206" s="7"/>
      <c r="FI206" s="7"/>
      <c r="FJ206" s="7"/>
      <c r="FK206" s="7"/>
      <c r="FL206" s="7"/>
      <c r="FM206" s="7"/>
      <c r="FN206" s="7"/>
      <c r="FO206" s="7"/>
      <c r="FP206" s="7"/>
      <c r="FQ206" s="7"/>
      <c r="FR206" s="7"/>
      <c r="FS206" s="7"/>
      <c r="FT206" s="7"/>
      <c r="FU206" s="7"/>
      <c r="FV206" s="7"/>
      <c r="FW206" s="7"/>
      <c r="FX206" s="7"/>
      <c r="FY206" s="7"/>
      <c r="FZ206" s="7"/>
      <c r="GA206" s="7"/>
      <c r="GB206" s="7"/>
      <c r="GC206" s="7"/>
      <c r="GD206" s="7"/>
      <c r="GE206" s="7"/>
      <c r="GF206" s="7"/>
      <c r="GG206" s="7"/>
      <c r="GH206" s="7"/>
      <c r="GI206" s="7"/>
      <c r="GJ206" s="7"/>
      <c r="GK206" s="7"/>
      <c r="GL206" s="7"/>
      <c r="GM206" s="7"/>
      <c r="GN206" s="7"/>
      <c r="GO206" s="7"/>
      <c r="GP206" s="7"/>
      <c r="GQ206" s="7"/>
      <c r="GR206" s="7"/>
      <c r="GS206" s="7"/>
      <c r="GT206" s="7"/>
      <c r="GU206" s="7"/>
      <c r="GV206" s="7"/>
      <c r="GW206" s="7"/>
      <c r="GX206" s="7"/>
      <c r="GY206" s="7"/>
      <c r="GZ206" s="7"/>
      <c r="HA206" s="7"/>
      <c r="HB206" s="7"/>
      <c r="HC206" s="7"/>
      <c r="HD206" s="7"/>
      <c r="HE206" s="7"/>
      <c r="HF206" s="7"/>
      <c r="HG206" s="7"/>
      <c r="HH206" s="7"/>
      <c r="HI206" s="7"/>
      <c r="HJ206" s="7"/>
      <c r="HK206" s="7"/>
      <c r="HL206" s="7"/>
      <c r="HM206" s="7"/>
      <c r="HN206" s="7"/>
      <c r="HO206" s="7"/>
      <c r="HP206" s="7"/>
      <c r="HQ206" s="7"/>
      <c r="HR206" s="7"/>
      <c r="HS206" s="7"/>
      <c r="HT206" s="7"/>
      <c r="HU206" s="7"/>
      <c r="HV206" s="7"/>
      <c r="HW206" s="7"/>
      <c r="HX206" s="7"/>
      <c r="HY206" s="7"/>
      <c r="HZ206" s="7"/>
      <c r="IA206" s="7"/>
      <c r="IB206" s="7"/>
      <c r="IC206" s="7"/>
      <c r="ID206" s="7"/>
      <c r="IE206" s="7"/>
      <c r="IF206" s="7"/>
      <c r="IG206" s="7"/>
      <c r="IH206" s="7"/>
      <c r="II206" s="7"/>
      <c r="IJ206" s="7"/>
      <c r="IK206" s="7"/>
      <c r="IL206" s="7"/>
      <c r="IM206" s="7"/>
      <c r="IN206" s="7"/>
      <c r="IO206" s="7"/>
      <c r="IP206" s="7"/>
      <c r="IQ206" s="7"/>
      <c r="IR206" s="7"/>
      <c r="IS206" s="7"/>
      <c r="IT206" s="7"/>
      <c r="IU206" s="7"/>
      <c r="IV206" s="7"/>
      <c r="IW206" s="7"/>
      <c r="IX206" s="7"/>
      <c r="JA206" s="113"/>
      <c r="JB206" s="113"/>
      <c r="JC206" s="113"/>
      <c r="JD206" s="66">
        <f>SUM((TEXT(JA206,"[M]")/60)*'Income Person-hours'!$D$3,(TEXT(JB206,"[M]")/60)*'Income Person-hours'!$D$4,(TEXT(JC206,"[M]")/60)*'Income Person-hours'!$D$5)</f>
        <v>0</v>
      </c>
    </row>
    <row r="207" spans="1:264 16383:16384" s="11" customFormat="1" ht="11.25" hidden="1">
      <c r="A207" s="30">
        <v>9.1999999999999993</v>
      </c>
      <c r="B207" s="106"/>
      <c r="C207" s="107"/>
      <c r="D207" s="12" t="str">
        <f>IF(OR(j_WEEKDAY(J_ADDDAY(VLOOKUP(I207,A:F,6,FALSE),H207,1),0)=6,SUMIFS(Holieday[ok],Holieday[date],J_ADDDAY(VLOOKUP(I207,A:F,6,FALSE),H207,1)))=FALSE(),J_ADDDAY(VLOOKUP(I207,A:F,6,FALSE),H207,1),IF(OR(j_WEEKDAY(J_ADDDAY(VLOOKUP(I207,A:F,6,FALSE),H207+1,1),0)=6,SUMIFS(Holieday[ok],Holieday[date],J_ADDDAY(VLOOKUP(I207,A:F,6,FALSE),H207+1,1)))=FALSE(),J_ADDDAY(VLOOKUP(I207,A:F,6,FALSE),H207+1,1),IF(OR(j_WEEKDAY(J_ADDDAY(VLOOKUP(I207,A:F,6,FALSE),H207+2,1),0)=6,SUMIFS(Holieday[ok],Holieday[date],J_ADDDAY(VLOOKUP(I207,A:F,6,FALSE),H207+2,1)))=FALSE(),J_ADDDAY(VLOOKUP(I207,A:F,6,FALSE),H207+2,1),IF(OR(j_WEEKDAY(J_ADDDAY(VLOOKUP(I207,A:F,6,FALSE),H207+3,1),0)=6,SUMIFS(Holieday[ok],Holieday[date],J_ADDDAY(VLOOKUP(I207,A:F,6,FALSE),H207+3,1)))=FALSE(),J_ADDDAY(VLOOKUP(I207,A:F,6,FALSE),H207+3,1),IF(OR(j_WEEKDAY(J_ADDDAY(VLOOKUP(I207,A:F,6,FALSE),H207+4,1),0)=6,SUMIFS(Holieday[ok],Holieday[date],J_ADDDAY(VLOOKUP(I207,A:F,6,FALSE),H207+4,1)))=FALSE(),J_ADDDAY(VLOOKUP(I207,A:F,6,FALSE),H207+4,1),J_ADDDAY(VLOOKUP(I207,A:F,6,FALSE),H207+5,1))))))</f>
        <v>1398/06/31</v>
      </c>
      <c r="E207" s="1">
        <f t="shared" si="64"/>
        <v>13980631</v>
      </c>
      <c r="F207" s="12" t="str">
        <f>IF(N207=0,J_SUBDAY(D207,1,1),IF((N207-NETWORKDAYS.INTL(J_GregorianDate(D207,1),J_GregorianDate(J_SUBDAY(J_ADDDAY(D207,N207,1),1,1),1),16,1)-SUMIFS(Holieday[ok],Holieday[date],CONCATENATE("&gt;","=",D207),Holieday[date],CONCATENATE("&lt;","=",J_SUBDAY(J_ADDDAY(D207,N207,1),1,1)))+SUMIFS(Holieday[Friday],Holieday[date],CONCATENATE("&gt;","=",D207),Holieday[date],CONCATENATE("&lt;","=",J_SUBDAY(J_ADDDAY(D207,N207,1),1,1))))=0,J_SUBDAY(J_ADDDAY(D207,N207,1),1,1),IF((N207-NETWORKDAYS.INTL(J_GregorianDate(D207,1),J_GregorianDate(J_SUBDAY(J_ADDDAY(D207,N207,1),1,1),1),16,1)-SUMIFS(Holieday[ok],Holieday[date],CONCATENATE("&gt;","=",D207),Holieday[date],CONCATENATE("&lt;","=",J_SUBDAY(J_ADDDAY(D207,N207,1),1,1)))+SUMIFS(Holieday[Friday],Holieday[date],CONCATENATE("&gt;","=",D207),Holieday[date],CONCATENATE("&lt;","=",J_SUBDAY(J_ADDDAY(D207,N207,1),1,1))))=1,J_SUBDAY(J_ADDDAY(D207,N207+1,1),1,1),IF((N207-NETWORKDAYS.INTL(J_GregorianDate(D207,1),J_GregorianDate(J_SUBDAY(J_ADDDAY(D207,N207,1),1,1),1),16,1)-SUMIFS(Holieday[ok],Holieday[date],CONCATENATE("&gt;","=",D207),Holieday[date],CONCATENATE("&lt;","=",J_SUBDAY(J_ADDDAY(D207,N207,1),1,1)))+SUMIFS(Holieday[Friday],Holieday[date],CONCATENATE("&gt;","=",D207),Holieday[date],CONCATENATE("&lt;","=",J_SUBDAY(J_ADDDAY(D207,N207,1),1,1))))=2,J_SUBDAY(J_ADDDAY(D207,N207+2,1),1,1),J_SUBDAY(J_ADDDAY(D207,N207+3,1),1,1)))))</f>
        <v>1398/06/30</v>
      </c>
      <c r="G207" s="2">
        <f t="shared" si="65"/>
        <v>13980630</v>
      </c>
      <c r="H207" s="109"/>
      <c r="I207" s="110">
        <v>1.1000000000000001</v>
      </c>
      <c r="J207" s="9">
        <f>j_WEEKDAY(D207,2)</f>
        <v>1</v>
      </c>
      <c r="K207" s="21">
        <f t="shared" ref="K207:K248" si="69">SUM(JA207:JC207)</f>
        <v>0</v>
      </c>
      <c r="L207" s="8">
        <f t="shared" si="68"/>
        <v>0</v>
      </c>
      <c r="M207" s="111">
        <v>0</v>
      </c>
      <c r="N207" s="108">
        <v>0</v>
      </c>
      <c r="O207" s="10">
        <f t="shared" si="66"/>
        <v>0</v>
      </c>
      <c r="P207" s="10">
        <f>VALUE(J_normdate(J_ADDDAY($D207,$O207,1)))</f>
        <v>13980631</v>
      </c>
      <c r="Q207" s="9">
        <f t="shared" si="67"/>
        <v>0</v>
      </c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7"/>
      <c r="BV207" s="7"/>
      <c r="BW207" s="7"/>
      <c r="BX207" s="7"/>
      <c r="BY207" s="7"/>
      <c r="BZ207" s="7"/>
      <c r="CA207" s="7"/>
      <c r="CB207" s="7"/>
      <c r="CC207" s="7"/>
      <c r="CD207" s="7"/>
      <c r="CE207" s="7"/>
      <c r="CF207" s="7"/>
      <c r="CG207" s="7"/>
      <c r="CH207" s="7"/>
      <c r="CI207" s="7"/>
      <c r="CJ207" s="7"/>
      <c r="CK207" s="7"/>
      <c r="CL207" s="7"/>
      <c r="CM207" s="7"/>
      <c r="CN207" s="7"/>
      <c r="CO207" s="7"/>
      <c r="CP207" s="7"/>
      <c r="CQ207" s="7"/>
      <c r="CR207" s="7"/>
      <c r="CS207" s="7"/>
      <c r="CT207" s="7"/>
      <c r="CU207" s="7"/>
      <c r="CV207" s="7"/>
      <c r="CW207" s="7"/>
      <c r="CX207" s="7"/>
      <c r="CY207" s="7"/>
      <c r="CZ207" s="7"/>
      <c r="DA207" s="7"/>
      <c r="DB207" s="7"/>
      <c r="DC207" s="7"/>
      <c r="DD207" s="7"/>
      <c r="DE207" s="7"/>
      <c r="DF207" s="7"/>
      <c r="DG207" s="7"/>
      <c r="DH207" s="7"/>
      <c r="DI207" s="7"/>
      <c r="DJ207" s="7"/>
      <c r="DK207" s="7"/>
      <c r="DL207" s="7"/>
      <c r="DM207" s="7"/>
      <c r="DN207" s="7"/>
      <c r="DO207" s="7"/>
      <c r="DP207" s="7"/>
      <c r="DQ207" s="7"/>
      <c r="DR207" s="7"/>
      <c r="DS207" s="7"/>
      <c r="DT207" s="7"/>
      <c r="DU207" s="7"/>
      <c r="DV207" s="7"/>
      <c r="DW207" s="7"/>
      <c r="DX207" s="7"/>
      <c r="DY207" s="7"/>
      <c r="DZ207" s="7"/>
      <c r="EA207" s="7"/>
      <c r="EB207" s="7"/>
      <c r="EC207" s="7"/>
      <c r="ED207" s="7"/>
      <c r="EE207" s="7"/>
      <c r="EF207" s="7"/>
      <c r="EG207" s="7"/>
      <c r="EH207" s="7"/>
      <c r="EI207" s="7"/>
      <c r="EJ207" s="7"/>
      <c r="EK207" s="7"/>
      <c r="EL207" s="7"/>
      <c r="EM207" s="7"/>
      <c r="EN207" s="7"/>
      <c r="EO207" s="7"/>
      <c r="EP207" s="7"/>
      <c r="EQ207" s="7"/>
      <c r="ER207" s="7"/>
      <c r="ES207" s="7"/>
      <c r="ET207" s="7"/>
      <c r="EU207" s="7"/>
      <c r="EV207" s="7"/>
      <c r="EW207" s="7"/>
      <c r="EX207" s="7"/>
      <c r="EY207" s="7"/>
      <c r="EZ207" s="7"/>
      <c r="FA207" s="7"/>
      <c r="FB207" s="7"/>
      <c r="FC207" s="7"/>
      <c r="FD207" s="7"/>
      <c r="FE207" s="7"/>
      <c r="FF207" s="7"/>
      <c r="FG207" s="7"/>
      <c r="FH207" s="7"/>
      <c r="FI207" s="7"/>
      <c r="FJ207" s="7"/>
      <c r="FK207" s="7"/>
      <c r="FL207" s="7"/>
      <c r="FM207" s="7"/>
      <c r="FN207" s="7"/>
      <c r="FO207" s="7"/>
      <c r="FP207" s="7"/>
      <c r="FQ207" s="7"/>
      <c r="FR207" s="7"/>
      <c r="FS207" s="7"/>
      <c r="FT207" s="7"/>
      <c r="FU207" s="7"/>
      <c r="FV207" s="7"/>
      <c r="FW207" s="7"/>
      <c r="FX207" s="7"/>
      <c r="FY207" s="7"/>
      <c r="FZ207" s="7"/>
      <c r="GA207" s="7"/>
      <c r="GB207" s="7"/>
      <c r="GC207" s="7"/>
      <c r="GD207" s="7"/>
      <c r="GE207" s="7"/>
      <c r="GF207" s="7"/>
      <c r="GG207" s="7"/>
      <c r="GH207" s="7"/>
      <c r="GI207" s="7"/>
      <c r="GJ207" s="7"/>
      <c r="GK207" s="7"/>
      <c r="GL207" s="7"/>
      <c r="GM207" s="7"/>
      <c r="GN207" s="7"/>
      <c r="GO207" s="7"/>
      <c r="GP207" s="7"/>
      <c r="GQ207" s="7"/>
      <c r="GR207" s="7"/>
      <c r="GS207" s="7"/>
      <c r="GT207" s="7"/>
      <c r="GU207" s="7"/>
      <c r="GV207" s="7"/>
      <c r="GW207" s="7"/>
      <c r="GX207" s="7"/>
      <c r="GY207" s="7"/>
      <c r="GZ207" s="7"/>
      <c r="HA207" s="7"/>
      <c r="HB207" s="7"/>
      <c r="HC207" s="7"/>
      <c r="HD207" s="7"/>
      <c r="HE207" s="7"/>
      <c r="HF207" s="7"/>
      <c r="HG207" s="7"/>
      <c r="HH207" s="7"/>
      <c r="HI207" s="7"/>
      <c r="HJ207" s="7"/>
      <c r="HK207" s="7"/>
      <c r="HL207" s="7"/>
      <c r="HM207" s="7"/>
      <c r="HN207" s="7"/>
      <c r="HO207" s="7"/>
      <c r="HP207" s="7"/>
      <c r="HQ207" s="7"/>
      <c r="HR207" s="7"/>
      <c r="HS207" s="7"/>
      <c r="HT207" s="7"/>
      <c r="HU207" s="7"/>
      <c r="HV207" s="7"/>
      <c r="HW207" s="7"/>
      <c r="HX207" s="7"/>
      <c r="HY207" s="7"/>
      <c r="HZ207" s="7"/>
      <c r="IA207" s="7"/>
      <c r="IB207" s="7"/>
      <c r="IC207" s="7"/>
      <c r="ID207" s="7"/>
      <c r="IE207" s="7"/>
      <c r="IF207" s="7"/>
      <c r="IG207" s="7"/>
      <c r="IH207" s="7"/>
      <c r="II207" s="7"/>
      <c r="IJ207" s="7"/>
      <c r="IK207" s="7"/>
      <c r="IL207" s="7"/>
      <c r="IM207" s="7"/>
      <c r="IN207" s="7"/>
      <c r="IO207" s="7"/>
      <c r="IP207" s="7"/>
      <c r="IQ207" s="7"/>
      <c r="IR207" s="7"/>
      <c r="IS207" s="7"/>
      <c r="IT207" s="7"/>
      <c r="IU207" s="7"/>
      <c r="IV207" s="7"/>
      <c r="IW207" s="7"/>
      <c r="IX207" s="7"/>
      <c r="JA207" s="113"/>
      <c r="JB207" s="113"/>
      <c r="JC207" s="113"/>
      <c r="JD207" s="66">
        <f>SUM((TEXT(JA207,"[M]")/60)*'Income Person-hours'!$D$3,(TEXT(JB207,"[M]")/60)*'Income Person-hours'!$D$4,(TEXT(JC207,"[M]")/60)*'Income Person-hours'!$D$5)</f>
        <v>0</v>
      </c>
    </row>
    <row r="208" spans="1:264 16383:16384" s="11" customFormat="1" ht="11.25" hidden="1">
      <c r="A208" s="30">
        <v>9.3000000000000007</v>
      </c>
      <c r="B208" s="116"/>
      <c r="C208" s="107"/>
      <c r="D208" s="12" t="str">
        <f>IF(OR(j_WEEKDAY(J_ADDDAY(VLOOKUP(I208,A:F,6,FALSE),H208,1),0)=6,SUMIFS(Holieday[ok],Holieday[date],J_ADDDAY(VLOOKUP(I208,A:F,6,FALSE),H208,1)))=FALSE(),J_ADDDAY(VLOOKUP(I208,A:F,6,FALSE),H208,1),IF(OR(j_WEEKDAY(J_ADDDAY(VLOOKUP(I208,A:F,6,FALSE),H208+1,1),0)=6,SUMIFS(Holieday[ok],Holieday[date],J_ADDDAY(VLOOKUP(I208,A:F,6,FALSE),H208+1,1)))=FALSE(),J_ADDDAY(VLOOKUP(I208,A:F,6,FALSE),H208+1,1),IF(OR(j_WEEKDAY(J_ADDDAY(VLOOKUP(I208,A:F,6,FALSE),H208+2,1),0)=6,SUMIFS(Holieday[ok],Holieday[date],J_ADDDAY(VLOOKUP(I208,A:F,6,FALSE),H208+2,1)))=FALSE(),J_ADDDAY(VLOOKUP(I208,A:F,6,FALSE),H208+2,1),IF(OR(j_WEEKDAY(J_ADDDAY(VLOOKUP(I208,A:F,6,FALSE),H208+3,1),0)=6,SUMIFS(Holieday[ok],Holieday[date],J_ADDDAY(VLOOKUP(I208,A:F,6,FALSE),H208+3,1)))=FALSE(),J_ADDDAY(VLOOKUP(I208,A:F,6,FALSE),H208+3,1),IF(OR(j_WEEKDAY(J_ADDDAY(VLOOKUP(I208,A:F,6,FALSE),H208+4,1),0)=6,SUMIFS(Holieday[ok],Holieday[date],J_ADDDAY(VLOOKUP(I208,A:F,6,FALSE),H208+4,1)))=FALSE(),J_ADDDAY(VLOOKUP(I208,A:F,6,FALSE),H208+4,1),J_ADDDAY(VLOOKUP(I208,A:F,6,FALSE),H208+5,1))))))</f>
        <v>1398/06/31</v>
      </c>
      <c r="E208" s="1">
        <f t="shared" si="64"/>
        <v>13980631</v>
      </c>
      <c r="F208" s="12" t="str">
        <f>IF(N208=0,J_SUBDAY(D208,1,1),IF((N208-NETWORKDAYS.INTL(J_GregorianDate(D208,1),J_GregorianDate(J_SUBDAY(J_ADDDAY(D208,N208,1),1,1),1),16,1)-SUMIFS(Holieday[ok],Holieday[date],CONCATENATE("&gt;","=",D208),Holieday[date],CONCATENATE("&lt;","=",J_SUBDAY(J_ADDDAY(D208,N208,1),1,1)))+SUMIFS(Holieday[Friday],Holieday[date],CONCATENATE("&gt;","=",D208),Holieday[date],CONCATENATE("&lt;","=",J_SUBDAY(J_ADDDAY(D208,N208,1),1,1))))=0,J_SUBDAY(J_ADDDAY(D208,N208,1),1,1),IF((N208-NETWORKDAYS.INTL(J_GregorianDate(D208,1),J_GregorianDate(J_SUBDAY(J_ADDDAY(D208,N208,1),1,1),1),16,1)-SUMIFS(Holieday[ok],Holieday[date],CONCATENATE("&gt;","=",D208),Holieday[date],CONCATENATE("&lt;","=",J_SUBDAY(J_ADDDAY(D208,N208,1),1,1)))+SUMIFS(Holieday[Friday],Holieday[date],CONCATENATE("&gt;","=",D208),Holieday[date],CONCATENATE("&lt;","=",J_SUBDAY(J_ADDDAY(D208,N208,1),1,1))))=1,J_SUBDAY(J_ADDDAY(D208,N208+1,1),1,1),IF((N208-NETWORKDAYS.INTL(J_GregorianDate(D208,1),J_GregorianDate(J_SUBDAY(J_ADDDAY(D208,N208,1),1,1),1),16,1)-SUMIFS(Holieday[ok],Holieday[date],CONCATENATE("&gt;","=",D208),Holieday[date],CONCATENATE("&lt;","=",J_SUBDAY(J_ADDDAY(D208,N208,1),1,1)))+SUMIFS(Holieday[Friday],Holieday[date],CONCATENATE("&gt;","=",D208),Holieday[date],CONCATENATE("&lt;","=",J_SUBDAY(J_ADDDAY(D208,N208,1),1,1))))=2,J_SUBDAY(J_ADDDAY(D208,N208+2,1),1,1),J_SUBDAY(J_ADDDAY(D208,N208+3,1),1,1)))))</f>
        <v>1398/06/30</v>
      </c>
      <c r="G208" s="2">
        <f t="shared" si="65"/>
        <v>13980630</v>
      </c>
      <c r="H208" s="109"/>
      <c r="I208" s="110">
        <v>1.1000000000000001</v>
      </c>
      <c r="J208" s="9">
        <f>j_WEEKDAY(D208,2)</f>
        <v>1</v>
      </c>
      <c r="K208" s="21">
        <f t="shared" si="69"/>
        <v>0</v>
      </c>
      <c r="L208" s="8">
        <f t="shared" si="68"/>
        <v>0</v>
      </c>
      <c r="M208" s="111">
        <v>0</v>
      </c>
      <c r="N208" s="108">
        <v>0</v>
      </c>
      <c r="O208" s="10">
        <f t="shared" si="66"/>
        <v>0</v>
      </c>
      <c r="P208" s="10">
        <f>VALUE(J_normdate(J_ADDDAY($D208,$O208,1)))</f>
        <v>13980631</v>
      </c>
      <c r="Q208" s="9">
        <f t="shared" si="67"/>
        <v>0</v>
      </c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7"/>
      <c r="BV208" s="7"/>
      <c r="BW208" s="7"/>
      <c r="BX208" s="7"/>
      <c r="BY208" s="7"/>
      <c r="BZ208" s="7"/>
      <c r="CA208" s="7"/>
      <c r="CB208" s="7"/>
      <c r="CC208" s="7"/>
      <c r="CD208" s="7"/>
      <c r="CE208" s="7"/>
      <c r="CF208" s="7"/>
      <c r="CG208" s="7"/>
      <c r="CH208" s="7"/>
      <c r="CI208" s="7"/>
      <c r="CJ208" s="7"/>
      <c r="CK208" s="7"/>
      <c r="CL208" s="7"/>
      <c r="CM208" s="7"/>
      <c r="CN208" s="7"/>
      <c r="CO208" s="7"/>
      <c r="CP208" s="7"/>
      <c r="CQ208" s="7"/>
      <c r="CR208" s="7"/>
      <c r="CS208" s="7"/>
      <c r="CT208" s="7"/>
      <c r="CU208" s="7"/>
      <c r="CV208" s="7"/>
      <c r="CW208" s="7"/>
      <c r="CX208" s="7"/>
      <c r="CY208" s="7"/>
      <c r="CZ208" s="7"/>
      <c r="DA208" s="7"/>
      <c r="DB208" s="7"/>
      <c r="DC208" s="7"/>
      <c r="DD208" s="7"/>
      <c r="DE208" s="7"/>
      <c r="DF208" s="7"/>
      <c r="DG208" s="7"/>
      <c r="DH208" s="7"/>
      <c r="DI208" s="7"/>
      <c r="DJ208" s="7"/>
      <c r="DK208" s="7"/>
      <c r="DL208" s="7"/>
      <c r="DM208" s="7"/>
      <c r="DN208" s="7"/>
      <c r="DO208" s="7"/>
      <c r="DP208" s="7"/>
      <c r="DQ208" s="7"/>
      <c r="DR208" s="7"/>
      <c r="DS208" s="7"/>
      <c r="DT208" s="7"/>
      <c r="DU208" s="7"/>
      <c r="DV208" s="7"/>
      <c r="DW208" s="7"/>
      <c r="DX208" s="7"/>
      <c r="DY208" s="7"/>
      <c r="DZ208" s="7"/>
      <c r="EA208" s="7"/>
      <c r="EB208" s="7"/>
      <c r="EC208" s="7"/>
      <c r="ED208" s="7"/>
      <c r="EE208" s="7"/>
      <c r="EF208" s="7"/>
      <c r="EG208" s="7"/>
      <c r="EH208" s="7"/>
      <c r="EI208" s="7"/>
      <c r="EJ208" s="7"/>
      <c r="EK208" s="7"/>
      <c r="EL208" s="7"/>
      <c r="EM208" s="7"/>
      <c r="EN208" s="7"/>
      <c r="EO208" s="7"/>
      <c r="EP208" s="7"/>
      <c r="EQ208" s="7"/>
      <c r="ER208" s="7"/>
      <c r="ES208" s="7"/>
      <c r="ET208" s="7"/>
      <c r="EU208" s="7"/>
      <c r="EV208" s="7"/>
      <c r="EW208" s="7"/>
      <c r="EX208" s="7"/>
      <c r="EY208" s="7"/>
      <c r="EZ208" s="7"/>
      <c r="FA208" s="7"/>
      <c r="FB208" s="7"/>
      <c r="FC208" s="7"/>
      <c r="FD208" s="7"/>
      <c r="FE208" s="7"/>
      <c r="FF208" s="7"/>
      <c r="FG208" s="7"/>
      <c r="FH208" s="7"/>
      <c r="FI208" s="7"/>
      <c r="FJ208" s="7"/>
      <c r="FK208" s="7"/>
      <c r="FL208" s="7"/>
      <c r="FM208" s="7"/>
      <c r="FN208" s="7"/>
      <c r="FO208" s="7"/>
      <c r="FP208" s="7"/>
      <c r="FQ208" s="7"/>
      <c r="FR208" s="7"/>
      <c r="FS208" s="7"/>
      <c r="FT208" s="7"/>
      <c r="FU208" s="7"/>
      <c r="FV208" s="7"/>
      <c r="FW208" s="7"/>
      <c r="FX208" s="7"/>
      <c r="FY208" s="7"/>
      <c r="FZ208" s="7"/>
      <c r="GA208" s="7"/>
      <c r="GB208" s="7"/>
      <c r="GC208" s="7"/>
      <c r="GD208" s="7"/>
      <c r="GE208" s="7"/>
      <c r="GF208" s="7"/>
      <c r="GG208" s="7"/>
      <c r="GH208" s="7"/>
      <c r="GI208" s="7"/>
      <c r="GJ208" s="7"/>
      <c r="GK208" s="7"/>
      <c r="GL208" s="7"/>
      <c r="GM208" s="7"/>
      <c r="GN208" s="7"/>
      <c r="GO208" s="7"/>
      <c r="GP208" s="7"/>
      <c r="GQ208" s="7"/>
      <c r="GR208" s="7"/>
      <c r="GS208" s="7"/>
      <c r="GT208" s="7"/>
      <c r="GU208" s="7"/>
      <c r="GV208" s="7"/>
      <c r="GW208" s="7"/>
      <c r="GX208" s="7"/>
      <c r="GY208" s="7"/>
      <c r="GZ208" s="7"/>
      <c r="HA208" s="7"/>
      <c r="HB208" s="7"/>
      <c r="HC208" s="7"/>
      <c r="HD208" s="7"/>
      <c r="HE208" s="7"/>
      <c r="HF208" s="7"/>
      <c r="HG208" s="7"/>
      <c r="HH208" s="7"/>
      <c r="HI208" s="7"/>
      <c r="HJ208" s="7"/>
      <c r="HK208" s="7"/>
      <c r="HL208" s="7"/>
      <c r="HM208" s="7"/>
      <c r="HN208" s="7"/>
      <c r="HO208" s="7"/>
      <c r="HP208" s="7"/>
      <c r="HQ208" s="7"/>
      <c r="HR208" s="7"/>
      <c r="HS208" s="7"/>
      <c r="HT208" s="7"/>
      <c r="HU208" s="7"/>
      <c r="HV208" s="7"/>
      <c r="HW208" s="7"/>
      <c r="HX208" s="7"/>
      <c r="HY208" s="7"/>
      <c r="HZ208" s="7"/>
      <c r="IA208" s="7"/>
      <c r="IB208" s="7"/>
      <c r="IC208" s="7"/>
      <c r="ID208" s="7"/>
      <c r="IE208" s="7"/>
      <c r="IF208" s="7"/>
      <c r="IG208" s="7"/>
      <c r="IH208" s="7"/>
      <c r="II208" s="7"/>
      <c r="IJ208" s="7"/>
      <c r="IK208" s="7"/>
      <c r="IL208" s="7"/>
      <c r="IM208" s="7"/>
      <c r="IN208" s="7"/>
      <c r="IO208" s="7"/>
      <c r="IP208" s="7"/>
      <c r="IQ208" s="7"/>
      <c r="IR208" s="7"/>
      <c r="IS208" s="7"/>
      <c r="IT208" s="7"/>
      <c r="IU208" s="7"/>
      <c r="IV208" s="7"/>
      <c r="IW208" s="7"/>
      <c r="IX208" s="7"/>
      <c r="JA208" s="113"/>
      <c r="JB208" s="113"/>
      <c r="JC208" s="113"/>
      <c r="JD208" s="66">
        <f>SUM((TEXT(JA208,"[M]")/60)*'Income Person-hours'!$D$3,(TEXT(JB208,"[M]")/60)*'Income Person-hours'!$D$4,(TEXT(JC208,"[M]")/60)*'Income Person-hours'!$D$5)</f>
        <v>0</v>
      </c>
    </row>
    <row r="209" spans="1:264" s="11" customFormat="1" ht="11.25" hidden="1">
      <c r="A209" s="30">
        <v>9.4</v>
      </c>
      <c r="B209" s="116"/>
      <c r="C209" s="107"/>
      <c r="D209" s="12" t="str">
        <f>IF(OR(j_WEEKDAY(J_ADDDAY(VLOOKUP(I209,A:F,6,FALSE),H209,1),0)=6,SUMIFS(Holieday[ok],Holieday[date],J_ADDDAY(VLOOKUP(I209,A:F,6,FALSE),H209,1)))=FALSE(),J_ADDDAY(VLOOKUP(I209,A:F,6,FALSE),H209,1),IF(OR(j_WEEKDAY(J_ADDDAY(VLOOKUP(I209,A:F,6,FALSE),H209+1,1),0)=6,SUMIFS(Holieday[ok],Holieday[date],J_ADDDAY(VLOOKUP(I209,A:F,6,FALSE),H209+1,1)))=FALSE(),J_ADDDAY(VLOOKUP(I209,A:F,6,FALSE),H209+1,1),IF(OR(j_WEEKDAY(J_ADDDAY(VLOOKUP(I209,A:F,6,FALSE),H209+2,1),0)=6,SUMIFS(Holieday[ok],Holieday[date],J_ADDDAY(VLOOKUP(I209,A:F,6,FALSE),H209+2,1)))=FALSE(),J_ADDDAY(VLOOKUP(I209,A:F,6,FALSE),H209+2,1),IF(OR(j_WEEKDAY(J_ADDDAY(VLOOKUP(I209,A:F,6,FALSE),H209+3,1),0)=6,SUMIFS(Holieday[ok],Holieday[date],J_ADDDAY(VLOOKUP(I209,A:F,6,FALSE),H209+3,1)))=FALSE(),J_ADDDAY(VLOOKUP(I209,A:F,6,FALSE),H209+3,1),IF(OR(j_WEEKDAY(J_ADDDAY(VLOOKUP(I209,A:F,6,FALSE),H209+4,1),0)=6,SUMIFS(Holieday[ok],Holieday[date],J_ADDDAY(VLOOKUP(I209,A:F,6,FALSE),H209+4,1)))=FALSE(),J_ADDDAY(VLOOKUP(I209,A:F,6,FALSE),H209+4,1),J_ADDDAY(VLOOKUP(I209,A:F,6,FALSE),H209+5,1))))))</f>
        <v>1398/06/31</v>
      </c>
      <c r="E209" s="1">
        <f t="shared" si="64"/>
        <v>13980631</v>
      </c>
      <c r="F209" s="12" t="str">
        <f>IF(N209=0,J_SUBDAY(D209,1,1),IF((N209-NETWORKDAYS.INTL(J_GregorianDate(D209,1),J_GregorianDate(J_SUBDAY(J_ADDDAY(D209,N209,1),1,1),1),16,1)-SUMIFS(Holieday[ok],Holieday[date],CONCATENATE("&gt;","=",D209),Holieday[date],CONCATENATE("&lt;","=",J_SUBDAY(J_ADDDAY(D209,N209,1),1,1)))+SUMIFS(Holieday[Friday],Holieday[date],CONCATENATE("&gt;","=",D209),Holieday[date],CONCATENATE("&lt;","=",J_SUBDAY(J_ADDDAY(D209,N209,1),1,1))))=0,J_SUBDAY(J_ADDDAY(D209,N209,1),1,1),IF((N209-NETWORKDAYS.INTL(J_GregorianDate(D209,1),J_GregorianDate(J_SUBDAY(J_ADDDAY(D209,N209,1),1,1),1),16,1)-SUMIFS(Holieday[ok],Holieday[date],CONCATENATE("&gt;","=",D209),Holieday[date],CONCATENATE("&lt;","=",J_SUBDAY(J_ADDDAY(D209,N209,1),1,1)))+SUMIFS(Holieday[Friday],Holieday[date],CONCATENATE("&gt;","=",D209),Holieday[date],CONCATENATE("&lt;","=",J_SUBDAY(J_ADDDAY(D209,N209,1),1,1))))=1,J_SUBDAY(J_ADDDAY(D209,N209+1,1),1,1),IF((N209-NETWORKDAYS.INTL(J_GregorianDate(D209,1),J_GregorianDate(J_SUBDAY(J_ADDDAY(D209,N209,1),1,1),1),16,1)-SUMIFS(Holieday[ok],Holieday[date],CONCATENATE("&gt;","=",D209),Holieday[date],CONCATENATE("&lt;","=",J_SUBDAY(J_ADDDAY(D209,N209,1),1,1)))+SUMIFS(Holieday[Friday],Holieday[date],CONCATENATE("&gt;","=",D209),Holieday[date],CONCATENATE("&lt;","=",J_SUBDAY(J_ADDDAY(D209,N209,1),1,1))))=2,J_SUBDAY(J_ADDDAY(D209,N209+2,1),1,1),J_SUBDAY(J_ADDDAY(D209,N209+3,1),1,1)))))</f>
        <v>1398/06/30</v>
      </c>
      <c r="G209" s="2">
        <f t="shared" si="65"/>
        <v>13980630</v>
      </c>
      <c r="H209" s="109"/>
      <c r="I209" s="110">
        <v>1.1000000000000001</v>
      </c>
      <c r="J209" s="9">
        <f>j_WEEKDAY(D209,2)</f>
        <v>1</v>
      </c>
      <c r="K209" s="21">
        <f t="shared" si="69"/>
        <v>0</v>
      </c>
      <c r="L209" s="8">
        <f t="shared" si="68"/>
        <v>0</v>
      </c>
      <c r="M209" s="111">
        <v>0</v>
      </c>
      <c r="N209" s="108">
        <v>0</v>
      </c>
      <c r="O209" s="10">
        <f t="shared" si="66"/>
        <v>0</v>
      </c>
      <c r="P209" s="10">
        <f>VALUE(J_normdate(J_ADDDAY($D209,$O209,1)))</f>
        <v>13980631</v>
      </c>
      <c r="Q209" s="9">
        <f t="shared" si="67"/>
        <v>0</v>
      </c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  <c r="CC209" s="7"/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/>
      <c r="CQ209" s="7"/>
      <c r="CR209" s="7"/>
      <c r="CS209" s="7"/>
      <c r="CT209" s="7"/>
      <c r="CU209" s="7"/>
      <c r="CV209" s="7"/>
      <c r="CW209" s="7"/>
      <c r="CX209" s="7"/>
      <c r="CY209" s="7"/>
      <c r="CZ209" s="7"/>
      <c r="DA209" s="7"/>
      <c r="DB209" s="7"/>
      <c r="DC209" s="7"/>
      <c r="DD209" s="7"/>
      <c r="DE209" s="7"/>
      <c r="DF209" s="7"/>
      <c r="DG209" s="7"/>
      <c r="DH209" s="7"/>
      <c r="DI209" s="7"/>
      <c r="DJ209" s="7"/>
      <c r="DK209" s="7"/>
      <c r="DL209" s="7"/>
      <c r="DM209" s="7"/>
      <c r="DN209" s="7"/>
      <c r="DO209" s="7"/>
      <c r="DP209" s="7"/>
      <c r="DQ209" s="7"/>
      <c r="DR209" s="7"/>
      <c r="DS209" s="7"/>
      <c r="DT209" s="7"/>
      <c r="DU209" s="7"/>
      <c r="DV209" s="7"/>
      <c r="DW209" s="7"/>
      <c r="DX209" s="7"/>
      <c r="DY209" s="7"/>
      <c r="DZ209" s="7"/>
      <c r="EA209" s="7"/>
      <c r="EB209" s="7"/>
      <c r="EC209" s="7"/>
      <c r="ED209" s="7"/>
      <c r="EE209" s="7"/>
      <c r="EF209" s="7"/>
      <c r="EG209" s="7"/>
      <c r="EH209" s="7"/>
      <c r="EI209" s="7"/>
      <c r="EJ209" s="7"/>
      <c r="EK209" s="7"/>
      <c r="EL209" s="7"/>
      <c r="EM209" s="7"/>
      <c r="EN209" s="7"/>
      <c r="EO209" s="7"/>
      <c r="EP209" s="7"/>
      <c r="EQ209" s="7"/>
      <c r="ER209" s="7"/>
      <c r="ES209" s="7"/>
      <c r="ET209" s="7"/>
      <c r="EU209" s="7"/>
      <c r="EV209" s="7"/>
      <c r="EW209" s="7"/>
      <c r="EX209" s="7"/>
      <c r="EY209" s="7"/>
      <c r="EZ209" s="7"/>
      <c r="FA209" s="7"/>
      <c r="FB209" s="7"/>
      <c r="FC209" s="7"/>
      <c r="FD209" s="7"/>
      <c r="FE209" s="7"/>
      <c r="FF209" s="7"/>
      <c r="FG209" s="7"/>
      <c r="FH209" s="7"/>
      <c r="FI209" s="7"/>
      <c r="FJ209" s="7"/>
      <c r="FK209" s="7"/>
      <c r="FL209" s="7"/>
      <c r="FM209" s="7"/>
      <c r="FN209" s="7"/>
      <c r="FO209" s="7"/>
      <c r="FP209" s="7"/>
      <c r="FQ209" s="7"/>
      <c r="FR209" s="7"/>
      <c r="FS209" s="7"/>
      <c r="FT209" s="7"/>
      <c r="FU209" s="7"/>
      <c r="FV209" s="7"/>
      <c r="FW209" s="7"/>
      <c r="FX209" s="7"/>
      <c r="FY209" s="7"/>
      <c r="FZ209" s="7"/>
      <c r="GA209" s="7"/>
      <c r="GB209" s="7"/>
      <c r="GC209" s="7"/>
      <c r="GD209" s="7"/>
      <c r="GE209" s="7"/>
      <c r="GF209" s="7"/>
      <c r="GG209" s="7"/>
      <c r="GH209" s="7"/>
      <c r="GI209" s="7"/>
      <c r="GJ209" s="7"/>
      <c r="GK209" s="7"/>
      <c r="GL209" s="7"/>
      <c r="GM209" s="7"/>
      <c r="GN209" s="7"/>
      <c r="GO209" s="7"/>
      <c r="GP209" s="7"/>
      <c r="GQ209" s="7"/>
      <c r="GR209" s="7"/>
      <c r="GS209" s="7"/>
      <c r="GT209" s="7"/>
      <c r="GU209" s="7"/>
      <c r="GV209" s="7"/>
      <c r="GW209" s="7"/>
      <c r="GX209" s="7"/>
      <c r="GY209" s="7"/>
      <c r="GZ209" s="7"/>
      <c r="HA209" s="7"/>
      <c r="HB209" s="7"/>
      <c r="HC209" s="7"/>
      <c r="HD209" s="7"/>
      <c r="HE209" s="7"/>
      <c r="HF209" s="7"/>
      <c r="HG209" s="7"/>
      <c r="HH209" s="7"/>
      <c r="HI209" s="7"/>
      <c r="HJ209" s="7"/>
      <c r="HK209" s="7"/>
      <c r="HL209" s="7"/>
      <c r="HM209" s="7"/>
      <c r="HN209" s="7"/>
      <c r="HO209" s="7"/>
      <c r="HP209" s="7"/>
      <c r="HQ209" s="7"/>
      <c r="HR209" s="7"/>
      <c r="HS209" s="7"/>
      <c r="HT209" s="7"/>
      <c r="HU209" s="7"/>
      <c r="HV209" s="7"/>
      <c r="HW209" s="7"/>
      <c r="HX209" s="7"/>
      <c r="HY209" s="7"/>
      <c r="HZ209" s="7"/>
      <c r="IA209" s="7"/>
      <c r="IB209" s="7"/>
      <c r="IC209" s="7"/>
      <c r="ID209" s="7"/>
      <c r="IE209" s="7"/>
      <c r="IF209" s="7"/>
      <c r="IG209" s="7"/>
      <c r="IH209" s="7"/>
      <c r="II209" s="7"/>
      <c r="IJ209" s="7"/>
      <c r="IK209" s="7"/>
      <c r="IL209" s="7"/>
      <c r="IM209" s="7"/>
      <c r="IN209" s="7"/>
      <c r="IO209" s="7"/>
      <c r="IP209" s="7"/>
      <c r="IQ209" s="7"/>
      <c r="IR209" s="7"/>
      <c r="IS209" s="7"/>
      <c r="IT209" s="7"/>
      <c r="IU209" s="7"/>
      <c r="IV209" s="7"/>
      <c r="IW209" s="7"/>
      <c r="IX209" s="7"/>
      <c r="JA209" s="113"/>
      <c r="JB209" s="113"/>
      <c r="JC209" s="113"/>
      <c r="JD209" s="66">
        <f>SUM((TEXT(JA209,"[M]")/60)*'Income Person-hours'!$D$3,(TEXT(JB209,"[M]")/60)*'Income Person-hours'!$D$4,(TEXT(JC209,"[M]")/60)*'Income Person-hours'!$D$5)</f>
        <v>0</v>
      </c>
    </row>
    <row r="210" spans="1:264" s="11" customFormat="1" ht="11.25" hidden="1">
      <c r="A210" s="30">
        <v>9.5</v>
      </c>
      <c r="B210" s="116"/>
      <c r="C210" s="107"/>
      <c r="D210" s="12" t="str">
        <f>IF(OR(j_WEEKDAY(J_ADDDAY(VLOOKUP(I210,A:F,6,FALSE),H210,1),0)=6,SUMIFS(Holieday[ok],Holieday[date],J_ADDDAY(VLOOKUP(I210,A:F,6,FALSE),H210,1)))=FALSE(),J_ADDDAY(VLOOKUP(I210,A:F,6,FALSE),H210,1),IF(OR(j_WEEKDAY(J_ADDDAY(VLOOKUP(I210,A:F,6,FALSE),H210+1,1),0)=6,SUMIFS(Holieday[ok],Holieday[date],J_ADDDAY(VLOOKUP(I210,A:F,6,FALSE),H210+1,1)))=FALSE(),J_ADDDAY(VLOOKUP(I210,A:F,6,FALSE),H210+1,1),IF(OR(j_WEEKDAY(J_ADDDAY(VLOOKUP(I210,A:F,6,FALSE),H210+2,1),0)=6,SUMIFS(Holieday[ok],Holieday[date],J_ADDDAY(VLOOKUP(I210,A:F,6,FALSE),H210+2,1)))=FALSE(),J_ADDDAY(VLOOKUP(I210,A:F,6,FALSE),H210+2,1),IF(OR(j_WEEKDAY(J_ADDDAY(VLOOKUP(I210,A:F,6,FALSE),H210+3,1),0)=6,SUMIFS(Holieday[ok],Holieday[date],J_ADDDAY(VLOOKUP(I210,A:F,6,FALSE),H210+3,1)))=FALSE(),J_ADDDAY(VLOOKUP(I210,A:F,6,FALSE),H210+3,1),IF(OR(j_WEEKDAY(J_ADDDAY(VLOOKUP(I210,A:F,6,FALSE),H210+4,1),0)=6,SUMIFS(Holieday[ok],Holieday[date],J_ADDDAY(VLOOKUP(I210,A:F,6,FALSE),H210+4,1)))=FALSE(),J_ADDDAY(VLOOKUP(I210,A:F,6,FALSE),H210+4,1),J_ADDDAY(VLOOKUP(I210,A:F,6,FALSE),H210+5,1))))))</f>
        <v>1398/06/31</v>
      </c>
      <c r="E210" s="1">
        <f t="shared" si="64"/>
        <v>13980631</v>
      </c>
      <c r="F210" s="12" t="str">
        <f>IF(N210=0,J_SUBDAY(D210,1,1),IF((N210-NETWORKDAYS.INTL(J_GregorianDate(D210,1),J_GregorianDate(J_SUBDAY(J_ADDDAY(D210,N210,1),1,1),1),16,1)-SUMIFS(Holieday[ok],Holieday[date],CONCATENATE("&gt;","=",D210),Holieday[date],CONCATENATE("&lt;","=",J_SUBDAY(J_ADDDAY(D210,N210,1),1,1)))+SUMIFS(Holieday[Friday],Holieday[date],CONCATENATE("&gt;","=",D210),Holieday[date],CONCATENATE("&lt;","=",J_SUBDAY(J_ADDDAY(D210,N210,1),1,1))))=0,J_SUBDAY(J_ADDDAY(D210,N210,1),1,1),IF((N210-NETWORKDAYS.INTL(J_GregorianDate(D210,1),J_GregorianDate(J_SUBDAY(J_ADDDAY(D210,N210,1),1,1),1),16,1)-SUMIFS(Holieday[ok],Holieday[date],CONCATENATE("&gt;","=",D210),Holieday[date],CONCATENATE("&lt;","=",J_SUBDAY(J_ADDDAY(D210,N210,1),1,1)))+SUMIFS(Holieday[Friday],Holieday[date],CONCATENATE("&gt;","=",D210),Holieday[date],CONCATENATE("&lt;","=",J_SUBDAY(J_ADDDAY(D210,N210,1),1,1))))=1,J_SUBDAY(J_ADDDAY(D210,N210+1,1),1,1),IF((N210-NETWORKDAYS.INTL(J_GregorianDate(D210,1),J_GregorianDate(J_SUBDAY(J_ADDDAY(D210,N210,1),1,1),1),16,1)-SUMIFS(Holieday[ok],Holieday[date],CONCATENATE("&gt;","=",D210),Holieday[date],CONCATENATE("&lt;","=",J_SUBDAY(J_ADDDAY(D210,N210,1),1,1)))+SUMIFS(Holieday[Friday],Holieday[date],CONCATENATE("&gt;","=",D210),Holieday[date],CONCATENATE("&lt;","=",J_SUBDAY(J_ADDDAY(D210,N210,1),1,1))))=2,J_SUBDAY(J_ADDDAY(D210,N210+2,1),1,1),J_SUBDAY(J_ADDDAY(D210,N210+3,1),1,1)))))</f>
        <v>1398/06/30</v>
      </c>
      <c r="G210" s="2">
        <f t="shared" si="65"/>
        <v>13980630</v>
      </c>
      <c r="H210" s="109"/>
      <c r="I210" s="110">
        <v>1.1000000000000001</v>
      </c>
      <c r="J210" s="9">
        <f>j_WEEKDAY(D210,2)</f>
        <v>1</v>
      </c>
      <c r="K210" s="21">
        <f t="shared" si="69"/>
        <v>0</v>
      </c>
      <c r="L210" s="8">
        <f t="shared" si="68"/>
        <v>0</v>
      </c>
      <c r="M210" s="111">
        <v>0</v>
      </c>
      <c r="N210" s="108">
        <v>0</v>
      </c>
      <c r="O210" s="10">
        <f t="shared" si="66"/>
        <v>0</v>
      </c>
      <c r="P210" s="10">
        <f>VALUE(J_normdate(J_ADDDAY($D210,$O210,1)))</f>
        <v>13980631</v>
      </c>
      <c r="Q210" s="9">
        <f t="shared" si="67"/>
        <v>0</v>
      </c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  <c r="CC210" s="7"/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/>
      <c r="CQ210" s="7"/>
      <c r="CR210" s="7"/>
      <c r="CS210" s="7"/>
      <c r="CT210" s="7"/>
      <c r="CU210" s="7"/>
      <c r="CV210" s="7"/>
      <c r="CW210" s="7"/>
      <c r="CX210" s="7"/>
      <c r="CY210" s="7"/>
      <c r="CZ210" s="7"/>
      <c r="DA210" s="7"/>
      <c r="DB210" s="7"/>
      <c r="DC210" s="7"/>
      <c r="DD210" s="7"/>
      <c r="DE210" s="7"/>
      <c r="DF210" s="7"/>
      <c r="DG210" s="7"/>
      <c r="DH210" s="7"/>
      <c r="DI210" s="7"/>
      <c r="DJ210" s="7"/>
      <c r="DK210" s="7"/>
      <c r="DL210" s="7"/>
      <c r="DM210" s="7"/>
      <c r="DN210" s="7"/>
      <c r="DO210" s="7"/>
      <c r="DP210" s="7"/>
      <c r="DQ210" s="7"/>
      <c r="DR210" s="7"/>
      <c r="DS210" s="7"/>
      <c r="DT210" s="7"/>
      <c r="DU210" s="7"/>
      <c r="DV210" s="7"/>
      <c r="DW210" s="7"/>
      <c r="DX210" s="7"/>
      <c r="DY210" s="7"/>
      <c r="DZ210" s="7"/>
      <c r="EA210" s="7"/>
      <c r="EB210" s="7"/>
      <c r="EC210" s="7"/>
      <c r="ED210" s="7"/>
      <c r="EE210" s="7"/>
      <c r="EF210" s="7"/>
      <c r="EG210" s="7"/>
      <c r="EH210" s="7"/>
      <c r="EI210" s="7"/>
      <c r="EJ210" s="7"/>
      <c r="EK210" s="7"/>
      <c r="EL210" s="7"/>
      <c r="EM210" s="7"/>
      <c r="EN210" s="7"/>
      <c r="EO210" s="7"/>
      <c r="EP210" s="7"/>
      <c r="EQ210" s="7"/>
      <c r="ER210" s="7"/>
      <c r="ES210" s="7"/>
      <c r="ET210" s="7"/>
      <c r="EU210" s="7"/>
      <c r="EV210" s="7"/>
      <c r="EW210" s="7"/>
      <c r="EX210" s="7"/>
      <c r="EY210" s="7"/>
      <c r="EZ210" s="7"/>
      <c r="FA210" s="7"/>
      <c r="FB210" s="7"/>
      <c r="FC210" s="7"/>
      <c r="FD210" s="7"/>
      <c r="FE210" s="7"/>
      <c r="FF210" s="7"/>
      <c r="FG210" s="7"/>
      <c r="FH210" s="7"/>
      <c r="FI210" s="7"/>
      <c r="FJ210" s="7"/>
      <c r="FK210" s="7"/>
      <c r="FL210" s="7"/>
      <c r="FM210" s="7"/>
      <c r="FN210" s="7"/>
      <c r="FO210" s="7"/>
      <c r="FP210" s="7"/>
      <c r="FQ210" s="7"/>
      <c r="FR210" s="7"/>
      <c r="FS210" s="7"/>
      <c r="FT210" s="7"/>
      <c r="FU210" s="7"/>
      <c r="FV210" s="7"/>
      <c r="FW210" s="7"/>
      <c r="FX210" s="7"/>
      <c r="FY210" s="7"/>
      <c r="FZ210" s="7"/>
      <c r="GA210" s="7"/>
      <c r="GB210" s="7"/>
      <c r="GC210" s="7"/>
      <c r="GD210" s="7"/>
      <c r="GE210" s="7"/>
      <c r="GF210" s="7"/>
      <c r="GG210" s="7"/>
      <c r="GH210" s="7"/>
      <c r="GI210" s="7"/>
      <c r="GJ210" s="7"/>
      <c r="GK210" s="7"/>
      <c r="GL210" s="7"/>
      <c r="GM210" s="7"/>
      <c r="GN210" s="7"/>
      <c r="GO210" s="7"/>
      <c r="GP210" s="7"/>
      <c r="GQ210" s="7"/>
      <c r="GR210" s="7"/>
      <c r="GS210" s="7"/>
      <c r="GT210" s="7"/>
      <c r="GU210" s="7"/>
      <c r="GV210" s="7"/>
      <c r="GW210" s="7"/>
      <c r="GX210" s="7"/>
      <c r="GY210" s="7"/>
      <c r="GZ210" s="7"/>
      <c r="HA210" s="7"/>
      <c r="HB210" s="7"/>
      <c r="HC210" s="7"/>
      <c r="HD210" s="7"/>
      <c r="HE210" s="7"/>
      <c r="HF210" s="7"/>
      <c r="HG210" s="7"/>
      <c r="HH210" s="7"/>
      <c r="HI210" s="7"/>
      <c r="HJ210" s="7"/>
      <c r="HK210" s="7"/>
      <c r="HL210" s="7"/>
      <c r="HM210" s="7"/>
      <c r="HN210" s="7"/>
      <c r="HO210" s="7"/>
      <c r="HP210" s="7"/>
      <c r="HQ210" s="7"/>
      <c r="HR210" s="7"/>
      <c r="HS210" s="7"/>
      <c r="HT210" s="7"/>
      <c r="HU210" s="7"/>
      <c r="HV210" s="7"/>
      <c r="HW210" s="7"/>
      <c r="HX210" s="7"/>
      <c r="HY210" s="7"/>
      <c r="HZ210" s="7"/>
      <c r="IA210" s="7"/>
      <c r="IB210" s="7"/>
      <c r="IC210" s="7"/>
      <c r="ID210" s="7"/>
      <c r="IE210" s="7"/>
      <c r="IF210" s="7"/>
      <c r="IG210" s="7"/>
      <c r="IH210" s="7"/>
      <c r="II210" s="7"/>
      <c r="IJ210" s="7"/>
      <c r="IK210" s="7"/>
      <c r="IL210" s="7"/>
      <c r="IM210" s="7"/>
      <c r="IN210" s="7"/>
      <c r="IO210" s="7"/>
      <c r="IP210" s="7"/>
      <c r="IQ210" s="7"/>
      <c r="IR210" s="7"/>
      <c r="IS210" s="7"/>
      <c r="IT210" s="7"/>
      <c r="IU210" s="7"/>
      <c r="IV210" s="7"/>
      <c r="IW210" s="7"/>
      <c r="IX210" s="7"/>
      <c r="JA210" s="113"/>
      <c r="JB210" s="113"/>
      <c r="JC210" s="113"/>
      <c r="JD210" s="66">
        <f>SUM((TEXT(JA210,"[M]")/60)*'Income Person-hours'!$D$3,(TEXT(JB210,"[M]")/60)*'Income Person-hours'!$D$4,(TEXT(JC210,"[M]")/60)*'Income Person-hours'!$D$5)</f>
        <v>0</v>
      </c>
    </row>
    <row r="211" spans="1:264" s="11" customFormat="1" ht="11.25" hidden="1">
      <c r="A211" s="30">
        <v>9.6</v>
      </c>
      <c r="B211" s="116"/>
      <c r="C211" s="107"/>
      <c r="D211" s="12" t="str">
        <f>IF(OR(j_WEEKDAY(J_ADDDAY(VLOOKUP(I211,A:F,6,FALSE),H211,1),0)=6,SUMIFS(Holieday[ok],Holieday[date],J_ADDDAY(VLOOKUP(I211,A:F,6,FALSE),H211,1)))=FALSE(),J_ADDDAY(VLOOKUP(I211,A:F,6,FALSE),H211,1),IF(OR(j_WEEKDAY(J_ADDDAY(VLOOKUP(I211,A:F,6,FALSE),H211+1,1),0)=6,SUMIFS(Holieday[ok],Holieday[date],J_ADDDAY(VLOOKUP(I211,A:F,6,FALSE),H211+1,1)))=FALSE(),J_ADDDAY(VLOOKUP(I211,A:F,6,FALSE),H211+1,1),IF(OR(j_WEEKDAY(J_ADDDAY(VLOOKUP(I211,A:F,6,FALSE),H211+2,1),0)=6,SUMIFS(Holieday[ok],Holieday[date],J_ADDDAY(VLOOKUP(I211,A:F,6,FALSE),H211+2,1)))=FALSE(),J_ADDDAY(VLOOKUP(I211,A:F,6,FALSE),H211+2,1),IF(OR(j_WEEKDAY(J_ADDDAY(VLOOKUP(I211,A:F,6,FALSE),H211+3,1),0)=6,SUMIFS(Holieday[ok],Holieday[date],J_ADDDAY(VLOOKUP(I211,A:F,6,FALSE),H211+3,1)))=FALSE(),J_ADDDAY(VLOOKUP(I211,A:F,6,FALSE),H211+3,1),IF(OR(j_WEEKDAY(J_ADDDAY(VLOOKUP(I211,A:F,6,FALSE),H211+4,1),0)=6,SUMIFS(Holieday[ok],Holieday[date],J_ADDDAY(VLOOKUP(I211,A:F,6,FALSE),H211+4,1)))=FALSE(),J_ADDDAY(VLOOKUP(I211,A:F,6,FALSE),H211+4,1),J_ADDDAY(VLOOKUP(I211,A:F,6,FALSE),H211+5,1))))))</f>
        <v>1398/06/31</v>
      </c>
      <c r="E211" s="1">
        <f t="shared" si="64"/>
        <v>13980631</v>
      </c>
      <c r="F211" s="12" t="str">
        <f>IF(N211=0,J_SUBDAY(D211,1,1),IF((N211-NETWORKDAYS.INTL(J_GregorianDate(D211,1),J_GregorianDate(J_SUBDAY(J_ADDDAY(D211,N211,1),1,1),1),16,1)-SUMIFS(Holieday[ok],Holieday[date],CONCATENATE("&gt;","=",D211),Holieday[date],CONCATENATE("&lt;","=",J_SUBDAY(J_ADDDAY(D211,N211,1),1,1)))+SUMIFS(Holieday[Friday],Holieday[date],CONCATENATE("&gt;","=",D211),Holieday[date],CONCATENATE("&lt;","=",J_SUBDAY(J_ADDDAY(D211,N211,1),1,1))))=0,J_SUBDAY(J_ADDDAY(D211,N211,1),1,1),IF((N211-NETWORKDAYS.INTL(J_GregorianDate(D211,1),J_GregorianDate(J_SUBDAY(J_ADDDAY(D211,N211,1),1,1),1),16,1)-SUMIFS(Holieday[ok],Holieday[date],CONCATENATE("&gt;","=",D211),Holieday[date],CONCATENATE("&lt;","=",J_SUBDAY(J_ADDDAY(D211,N211,1),1,1)))+SUMIFS(Holieday[Friday],Holieday[date],CONCATENATE("&gt;","=",D211),Holieday[date],CONCATENATE("&lt;","=",J_SUBDAY(J_ADDDAY(D211,N211,1),1,1))))=1,J_SUBDAY(J_ADDDAY(D211,N211+1,1),1,1),IF((N211-NETWORKDAYS.INTL(J_GregorianDate(D211,1),J_GregorianDate(J_SUBDAY(J_ADDDAY(D211,N211,1),1,1),1),16,1)-SUMIFS(Holieday[ok],Holieday[date],CONCATENATE("&gt;","=",D211),Holieday[date],CONCATENATE("&lt;","=",J_SUBDAY(J_ADDDAY(D211,N211,1),1,1)))+SUMIFS(Holieday[Friday],Holieday[date],CONCATENATE("&gt;","=",D211),Holieday[date],CONCATENATE("&lt;","=",J_SUBDAY(J_ADDDAY(D211,N211,1),1,1))))=2,J_SUBDAY(J_ADDDAY(D211,N211+2,1),1,1),J_SUBDAY(J_ADDDAY(D211,N211+3,1),1,1)))))</f>
        <v>1398/06/30</v>
      </c>
      <c r="G211" s="2">
        <f t="shared" si="65"/>
        <v>13980630</v>
      </c>
      <c r="H211" s="109"/>
      <c r="I211" s="110">
        <v>1.1000000000000001</v>
      </c>
      <c r="J211" s="9">
        <f>j_WEEKDAY(D211,2)</f>
        <v>1</v>
      </c>
      <c r="K211" s="21">
        <f t="shared" si="69"/>
        <v>0</v>
      </c>
      <c r="L211" s="8">
        <f t="shared" si="68"/>
        <v>0</v>
      </c>
      <c r="M211" s="111">
        <v>0</v>
      </c>
      <c r="N211" s="108">
        <v>0</v>
      </c>
      <c r="O211" s="10">
        <f t="shared" si="66"/>
        <v>0</v>
      </c>
      <c r="P211" s="10">
        <f>VALUE(J_normdate(J_ADDDAY($D211,$O211,1)))</f>
        <v>13980631</v>
      </c>
      <c r="Q211" s="9">
        <f t="shared" si="67"/>
        <v>0</v>
      </c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7"/>
      <c r="BV211" s="7"/>
      <c r="BW211" s="7"/>
      <c r="BX211" s="7"/>
      <c r="BY211" s="7"/>
      <c r="BZ211" s="7"/>
      <c r="CA211" s="7"/>
      <c r="CB211" s="7"/>
      <c r="CC211" s="7"/>
      <c r="CD211" s="7"/>
      <c r="CE211" s="7"/>
      <c r="CF211" s="7"/>
      <c r="CG211" s="7"/>
      <c r="CH211" s="7"/>
      <c r="CI211" s="7"/>
      <c r="CJ211" s="7"/>
      <c r="CK211" s="7"/>
      <c r="CL211" s="7"/>
      <c r="CM211" s="7"/>
      <c r="CN211" s="7"/>
      <c r="CO211" s="7"/>
      <c r="CP211" s="7"/>
      <c r="CQ211" s="7"/>
      <c r="CR211" s="7"/>
      <c r="CS211" s="7"/>
      <c r="CT211" s="7"/>
      <c r="CU211" s="7"/>
      <c r="CV211" s="7"/>
      <c r="CW211" s="7"/>
      <c r="CX211" s="7"/>
      <c r="CY211" s="7"/>
      <c r="CZ211" s="7"/>
      <c r="DA211" s="7"/>
      <c r="DB211" s="7"/>
      <c r="DC211" s="7"/>
      <c r="DD211" s="7"/>
      <c r="DE211" s="7"/>
      <c r="DF211" s="7"/>
      <c r="DG211" s="7"/>
      <c r="DH211" s="7"/>
      <c r="DI211" s="7"/>
      <c r="DJ211" s="7"/>
      <c r="DK211" s="7"/>
      <c r="DL211" s="7"/>
      <c r="DM211" s="7"/>
      <c r="DN211" s="7"/>
      <c r="DO211" s="7"/>
      <c r="DP211" s="7"/>
      <c r="DQ211" s="7"/>
      <c r="DR211" s="7"/>
      <c r="DS211" s="7"/>
      <c r="DT211" s="7"/>
      <c r="DU211" s="7"/>
      <c r="DV211" s="7"/>
      <c r="DW211" s="7"/>
      <c r="DX211" s="7"/>
      <c r="DY211" s="7"/>
      <c r="DZ211" s="7"/>
      <c r="EA211" s="7"/>
      <c r="EB211" s="7"/>
      <c r="EC211" s="7"/>
      <c r="ED211" s="7"/>
      <c r="EE211" s="7"/>
      <c r="EF211" s="7"/>
      <c r="EG211" s="7"/>
      <c r="EH211" s="7"/>
      <c r="EI211" s="7"/>
      <c r="EJ211" s="7"/>
      <c r="EK211" s="7"/>
      <c r="EL211" s="7"/>
      <c r="EM211" s="7"/>
      <c r="EN211" s="7"/>
      <c r="EO211" s="7"/>
      <c r="EP211" s="7"/>
      <c r="EQ211" s="7"/>
      <c r="ER211" s="7"/>
      <c r="ES211" s="7"/>
      <c r="ET211" s="7"/>
      <c r="EU211" s="7"/>
      <c r="EV211" s="7"/>
      <c r="EW211" s="7"/>
      <c r="EX211" s="7"/>
      <c r="EY211" s="7"/>
      <c r="EZ211" s="7"/>
      <c r="FA211" s="7"/>
      <c r="FB211" s="7"/>
      <c r="FC211" s="7"/>
      <c r="FD211" s="7"/>
      <c r="FE211" s="7"/>
      <c r="FF211" s="7"/>
      <c r="FG211" s="7"/>
      <c r="FH211" s="7"/>
      <c r="FI211" s="7"/>
      <c r="FJ211" s="7"/>
      <c r="FK211" s="7"/>
      <c r="FL211" s="7"/>
      <c r="FM211" s="7"/>
      <c r="FN211" s="7"/>
      <c r="FO211" s="7"/>
      <c r="FP211" s="7"/>
      <c r="FQ211" s="7"/>
      <c r="FR211" s="7"/>
      <c r="FS211" s="7"/>
      <c r="FT211" s="7"/>
      <c r="FU211" s="7"/>
      <c r="FV211" s="7"/>
      <c r="FW211" s="7"/>
      <c r="FX211" s="7"/>
      <c r="FY211" s="7"/>
      <c r="FZ211" s="7"/>
      <c r="GA211" s="7"/>
      <c r="GB211" s="7"/>
      <c r="GC211" s="7"/>
      <c r="GD211" s="7"/>
      <c r="GE211" s="7"/>
      <c r="GF211" s="7"/>
      <c r="GG211" s="7"/>
      <c r="GH211" s="7"/>
      <c r="GI211" s="7"/>
      <c r="GJ211" s="7"/>
      <c r="GK211" s="7"/>
      <c r="GL211" s="7"/>
      <c r="GM211" s="7"/>
      <c r="GN211" s="7"/>
      <c r="GO211" s="7"/>
      <c r="GP211" s="7"/>
      <c r="GQ211" s="7"/>
      <c r="GR211" s="7"/>
      <c r="GS211" s="7"/>
      <c r="GT211" s="7"/>
      <c r="GU211" s="7"/>
      <c r="GV211" s="7"/>
      <c r="GW211" s="7"/>
      <c r="GX211" s="7"/>
      <c r="GY211" s="7"/>
      <c r="GZ211" s="7"/>
      <c r="HA211" s="7"/>
      <c r="HB211" s="7"/>
      <c r="HC211" s="7"/>
      <c r="HD211" s="7"/>
      <c r="HE211" s="7"/>
      <c r="HF211" s="7"/>
      <c r="HG211" s="7"/>
      <c r="HH211" s="7"/>
      <c r="HI211" s="7"/>
      <c r="HJ211" s="7"/>
      <c r="HK211" s="7"/>
      <c r="HL211" s="7"/>
      <c r="HM211" s="7"/>
      <c r="HN211" s="7"/>
      <c r="HO211" s="7"/>
      <c r="HP211" s="7"/>
      <c r="HQ211" s="7"/>
      <c r="HR211" s="7"/>
      <c r="HS211" s="7"/>
      <c r="HT211" s="7"/>
      <c r="HU211" s="7"/>
      <c r="HV211" s="7"/>
      <c r="HW211" s="7"/>
      <c r="HX211" s="7"/>
      <c r="HY211" s="7"/>
      <c r="HZ211" s="7"/>
      <c r="IA211" s="7"/>
      <c r="IB211" s="7"/>
      <c r="IC211" s="7"/>
      <c r="ID211" s="7"/>
      <c r="IE211" s="7"/>
      <c r="IF211" s="7"/>
      <c r="IG211" s="7"/>
      <c r="IH211" s="7"/>
      <c r="II211" s="7"/>
      <c r="IJ211" s="7"/>
      <c r="IK211" s="7"/>
      <c r="IL211" s="7"/>
      <c r="IM211" s="7"/>
      <c r="IN211" s="7"/>
      <c r="IO211" s="7"/>
      <c r="IP211" s="7"/>
      <c r="IQ211" s="7"/>
      <c r="IR211" s="7"/>
      <c r="IS211" s="7"/>
      <c r="IT211" s="7"/>
      <c r="IU211" s="7"/>
      <c r="IV211" s="7"/>
      <c r="IW211" s="7"/>
      <c r="IX211" s="7"/>
      <c r="JA211" s="113"/>
      <c r="JB211" s="113"/>
      <c r="JC211" s="113"/>
      <c r="JD211" s="66">
        <f>SUM((TEXT(JA211,"[M]")/60)*'Income Person-hours'!$D$3,(TEXT(JB211,"[M]")/60)*'Income Person-hours'!$D$4,(TEXT(JC211,"[M]")/60)*'Income Person-hours'!$D$5)</f>
        <v>0</v>
      </c>
    </row>
    <row r="212" spans="1:264" s="11" customFormat="1" ht="11.25" hidden="1">
      <c r="A212" s="30">
        <v>9.6999999999999993</v>
      </c>
      <c r="B212" s="116"/>
      <c r="C212" s="107"/>
      <c r="D212" s="12" t="str">
        <f>IF(OR(j_WEEKDAY(J_ADDDAY(VLOOKUP(I212,A:F,6,FALSE),H212,1),0)=6,SUMIFS(Holieday[ok],Holieday[date],J_ADDDAY(VLOOKUP(I212,A:F,6,FALSE),H212,1)))=FALSE(),J_ADDDAY(VLOOKUP(I212,A:F,6,FALSE),H212,1),IF(OR(j_WEEKDAY(J_ADDDAY(VLOOKUP(I212,A:F,6,FALSE),H212+1,1),0)=6,SUMIFS(Holieday[ok],Holieday[date],J_ADDDAY(VLOOKUP(I212,A:F,6,FALSE),H212+1,1)))=FALSE(),J_ADDDAY(VLOOKUP(I212,A:F,6,FALSE),H212+1,1),IF(OR(j_WEEKDAY(J_ADDDAY(VLOOKUP(I212,A:F,6,FALSE),H212+2,1),0)=6,SUMIFS(Holieday[ok],Holieday[date],J_ADDDAY(VLOOKUP(I212,A:F,6,FALSE),H212+2,1)))=FALSE(),J_ADDDAY(VLOOKUP(I212,A:F,6,FALSE),H212+2,1),IF(OR(j_WEEKDAY(J_ADDDAY(VLOOKUP(I212,A:F,6,FALSE),H212+3,1),0)=6,SUMIFS(Holieday[ok],Holieday[date],J_ADDDAY(VLOOKUP(I212,A:F,6,FALSE),H212+3,1)))=FALSE(),J_ADDDAY(VLOOKUP(I212,A:F,6,FALSE),H212+3,1),IF(OR(j_WEEKDAY(J_ADDDAY(VLOOKUP(I212,A:F,6,FALSE),H212+4,1),0)=6,SUMIFS(Holieday[ok],Holieday[date],J_ADDDAY(VLOOKUP(I212,A:F,6,FALSE),H212+4,1)))=FALSE(),J_ADDDAY(VLOOKUP(I212,A:F,6,FALSE),H212+4,1),J_ADDDAY(VLOOKUP(I212,A:F,6,FALSE),H212+5,1))))))</f>
        <v>1398/06/31</v>
      </c>
      <c r="E212" s="1">
        <f t="shared" si="64"/>
        <v>13980631</v>
      </c>
      <c r="F212" s="12" t="str">
        <f>IF(N212=0,J_SUBDAY(D212,1,1),IF((N212-NETWORKDAYS.INTL(J_GregorianDate(D212,1),J_GregorianDate(J_SUBDAY(J_ADDDAY(D212,N212,1),1,1),1),16,1)-SUMIFS(Holieday[ok],Holieday[date],CONCATENATE("&gt;","=",D212),Holieday[date],CONCATENATE("&lt;","=",J_SUBDAY(J_ADDDAY(D212,N212,1),1,1)))+SUMIFS(Holieday[Friday],Holieday[date],CONCATENATE("&gt;","=",D212),Holieday[date],CONCATENATE("&lt;","=",J_SUBDAY(J_ADDDAY(D212,N212,1),1,1))))=0,J_SUBDAY(J_ADDDAY(D212,N212,1),1,1),IF((N212-NETWORKDAYS.INTL(J_GregorianDate(D212,1),J_GregorianDate(J_SUBDAY(J_ADDDAY(D212,N212,1),1,1),1),16,1)-SUMIFS(Holieday[ok],Holieday[date],CONCATENATE("&gt;","=",D212),Holieday[date],CONCATENATE("&lt;","=",J_SUBDAY(J_ADDDAY(D212,N212,1),1,1)))+SUMIFS(Holieday[Friday],Holieday[date],CONCATENATE("&gt;","=",D212),Holieday[date],CONCATENATE("&lt;","=",J_SUBDAY(J_ADDDAY(D212,N212,1),1,1))))=1,J_SUBDAY(J_ADDDAY(D212,N212+1,1),1,1),IF((N212-NETWORKDAYS.INTL(J_GregorianDate(D212,1),J_GregorianDate(J_SUBDAY(J_ADDDAY(D212,N212,1),1,1),1),16,1)-SUMIFS(Holieday[ok],Holieday[date],CONCATENATE("&gt;","=",D212),Holieday[date],CONCATENATE("&lt;","=",J_SUBDAY(J_ADDDAY(D212,N212,1),1,1)))+SUMIFS(Holieday[Friday],Holieday[date],CONCATENATE("&gt;","=",D212),Holieday[date],CONCATENATE("&lt;","=",J_SUBDAY(J_ADDDAY(D212,N212,1),1,1))))=2,J_SUBDAY(J_ADDDAY(D212,N212+2,1),1,1),J_SUBDAY(J_ADDDAY(D212,N212+3,1),1,1)))))</f>
        <v>1398/06/30</v>
      </c>
      <c r="G212" s="2">
        <f t="shared" si="65"/>
        <v>13980630</v>
      </c>
      <c r="H212" s="109"/>
      <c r="I212" s="110">
        <v>1.1000000000000001</v>
      </c>
      <c r="J212" s="9">
        <f>j_WEEKDAY(D212,2)</f>
        <v>1</v>
      </c>
      <c r="K212" s="21">
        <f t="shared" si="69"/>
        <v>0</v>
      </c>
      <c r="L212" s="8">
        <f t="shared" si="68"/>
        <v>0</v>
      </c>
      <c r="M212" s="111">
        <v>0</v>
      </c>
      <c r="N212" s="108">
        <v>0</v>
      </c>
      <c r="O212" s="10">
        <f t="shared" si="66"/>
        <v>0</v>
      </c>
      <c r="P212" s="10">
        <f>VALUE(J_normdate(J_ADDDAY($D212,$O212,1)))</f>
        <v>13980631</v>
      </c>
      <c r="Q212" s="9">
        <f t="shared" si="67"/>
        <v>0</v>
      </c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  <c r="CC212" s="7"/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/>
      <c r="CQ212" s="7"/>
      <c r="CR212" s="7"/>
      <c r="CS212" s="7"/>
      <c r="CT212" s="7"/>
      <c r="CU212" s="7"/>
      <c r="CV212" s="7"/>
      <c r="CW212" s="7"/>
      <c r="CX212" s="7"/>
      <c r="CY212" s="7"/>
      <c r="CZ212" s="7"/>
      <c r="DA212" s="7"/>
      <c r="DB212" s="7"/>
      <c r="DC212" s="7"/>
      <c r="DD212" s="7"/>
      <c r="DE212" s="7"/>
      <c r="DF212" s="7"/>
      <c r="DG212" s="7"/>
      <c r="DH212" s="7"/>
      <c r="DI212" s="7"/>
      <c r="DJ212" s="7"/>
      <c r="DK212" s="7"/>
      <c r="DL212" s="7"/>
      <c r="DM212" s="7"/>
      <c r="DN212" s="7"/>
      <c r="DO212" s="7"/>
      <c r="DP212" s="7"/>
      <c r="DQ212" s="7"/>
      <c r="DR212" s="7"/>
      <c r="DS212" s="7"/>
      <c r="DT212" s="7"/>
      <c r="DU212" s="7"/>
      <c r="DV212" s="7"/>
      <c r="DW212" s="7"/>
      <c r="DX212" s="7"/>
      <c r="DY212" s="7"/>
      <c r="DZ212" s="7"/>
      <c r="EA212" s="7"/>
      <c r="EB212" s="7"/>
      <c r="EC212" s="7"/>
      <c r="ED212" s="7"/>
      <c r="EE212" s="7"/>
      <c r="EF212" s="7"/>
      <c r="EG212" s="7"/>
      <c r="EH212" s="7"/>
      <c r="EI212" s="7"/>
      <c r="EJ212" s="7"/>
      <c r="EK212" s="7"/>
      <c r="EL212" s="7"/>
      <c r="EM212" s="7"/>
      <c r="EN212" s="7"/>
      <c r="EO212" s="7"/>
      <c r="EP212" s="7"/>
      <c r="EQ212" s="7"/>
      <c r="ER212" s="7"/>
      <c r="ES212" s="7"/>
      <c r="ET212" s="7"/>
      <c r="EU212" s="7"/>
      <c r="EV212" s="7"/>
      <c r="EW212" s="7"/>
      <c r="EX212" s="7"/>
      <c r="EY212" s="7"/>
      <c r="EZ212" s="7"/>
      <c r="FA212" s="7"/>
      <c r="FB212" s="7"/>
      <c r="FC212" s="7"/>
      <c r="FD212" s="7"/>
      <c r="FE212" s="7"/>
      <c r="FF212" s="7"/>
      <c r="FG212" s="7"/>
      <c r="FH212" s="7"/>
      <c r="FI212" s="7"/>
      <c r="FJ212" s="7"/>
      <c r="FK212" s="7"/>
      <c r="FL212" s="7"/>
      <c r="FM212" s="7"/>
      <c r="FN212" s="7"/>
      <c r="FO212" s="7"/>
      <c r="FP212" s="7"/>
      <c r="FQ212" s="7"/>
      <c r="FR212" s="7"/>
      <c r="FS212" s="7"/>
      <c r="FT212" s="7"/>
      <c r="FU212" s="7"/>
      <c r="FV212" s="7"/>
      <c r="FW212" s="7"/>
      <c r="FX212" s="7"/>
      <c r="FY212" s="7"/>
      <c r="FZ212" s="7"/>
      <c r="GA212" s="7"/>
      <c r="GB212" s="7"/>
      <c r="GC212" s="7"/>
      <c r="GD212" s="7"/>
      <c r="GE212" s="7"/>
      <c r="GF212" s="7"/>
      <c r="GG212" s="7"/>
      <c r="GH212" s="7"/>
      <c r="GI212" s="7"/>
      <c r="GJ212" s="7"/>
      <c r="GK212" s="7"/>
      <c r="GL212" s="7"/>
      <c r="GM212" s="7"/>
      <c r="GN212" s="7"/>
      <c r="GO212" s="7"/>
      <c r="GP212" s="7"/>
      <c r="GQ212" s="7"/>
      <c r="GR212" s="7"/>
      <c r="GS212" s="7"/>
      <c r="GT212" s="7"/>
      <c r="GU212" s="7"/>
      <c r="GV212" s="7"/>
      <c r="GW212" s="7"/>
      <c r="GX212" s="7"/>
      <c r="GY212" s="7"/>
      <c r="GZ212" s="7"/>
      <c r="HA212" s="7"/>
      <c r="HB212" s="7"/>
      <c r="HC212" s="7"/>
      <c r="HD212" s="7"/>
      <c r="HE212" s="7"/>
      <c r="HF212" s="7"/>
      <c r="HG212" s="7"/>
      <c r="HH212" s="7"/>
      <c r="HI212" s="7"/>
      <c r="HJ212" s="7"/>
      <c r="HK212" s="7"/>
      <c r="HL212" s="7"/>
      <c r="HM212" s="7"/>
      <c r="HN212" s="7"/>
      <c r="HO212" s="7"/>
      <c r="HP212" s="7"/>
      <c r="HQ212" s="7"/>
      <c r="HR212" s="7"/>
      <c r="HS212" s="7"/>
      <c r="HT212" s="7"/>
      <c r="HU212" s="7"/>
      <c r="HV212" s="7"/>
      <c r="HW212" s="7"/>
      <c r="HX212" s="7"/>
      <c r="HY212" s="7"/>
      <c r="HZ212" s="7"/>
      <c r="IA212" s="7"/>
      <c r="IB212" s="7"/>
      <c r="IC212" s="7"/>
      <c r="ID212" s="7"/>
      <c r="IE212" s="7"/>
      <c r="IF212" s="7"/>
      <c r="IG212" s="7"/>
      <c r="IH212" s="7"/>
      <c r="II212" s="7"/>
      <c r="IJ212" s="7"/>
      <c r="IK212" s="7"/>
      <c r="IL212" s="7"/>
      <c r="IM212" s="7"/>
      <c r="IN212" s="7"/>
      <c r="IO212" s="7"/>
      <c r="IP212" s="7"/>
      <c r="IQ212" s="7"/>
      <c r="IR212" s="7"/>
      <c r="IS212" s="7"/>
      <c r="IT212" s="7"/>
      <c r="IU212" s="7"/>
      <c r="IV212" s="7"/>
      <c r="IW212" s="7"/>
      <c r="IX212" s="7"/>
      <c r="JA212" s="113"/>
      <c r="JB212" s="113"/>
      <c r="JC212" s="113"/>
      <c r="JD212" s="66">
        <f>SUM((TEXT(JA212,"[M]")/60)*'Income Person-hours'!$D$3,(TEXT(JB212,"[M]")/60)*'Income Person-hours'!$D$4,(TEXT(JC212,"[M]")/60)*'Income Person-hours'!$D$5)</f>
        <v>0</v>
      </c>
    </row>
    <row r="213" spans="1:264" s="11" customFormat="1" ht="11.25" hidden="1">
      <c r="A213" s="30">
        <v>9.8000000000000007</v>
      </c>
      <c r="B213" s="116"/>
      <c r="C213" s="107"/>
      <c r="D213" s="12" t="str">
        <f>IF(OR(j_WEEKDAY(J_ADDDAY(VLOOKUP(I213,A:F,6,FALSE),H213,1),0)=6,SUMIFS(Holieday[ok],Holieday[date],J_ADDDAY(VLOOKUP(I213,A:F,6,FALSE),H213,1)))=FALSE(),J_ADDDAY(VLOOKUP(I213,A:F,6,FALSE),H213,1),IF(OR(j_WEEKDAY(J_ADDDAY(VLOOKUP(I213,A:F,6,FALSE),H213+1,1),0)=6,SUMIFS(Holieday[ok],Holieday[date],J_ADDDAY(VLOOKUP(I213,A:F,6,FALSE),H213+1,1)))=FALSE(),J_ADDDAY(VLOOKUP(I213,A:F,6,FALSE),H213+1,1),IF(OR(j_WEEKDAY(J_ADDDAY(VLOOKUP(I213,A:F,6,FALSE),H213+2,1),0)=6,SUMIFS(Holieday[ok],Holieday[date],J_ADDDAY(VLOOKUP(I213,A:F,6,FALSE),H213+2,1)))=FALSE(),J_ADDDAY(VLOOKUP(I213,A:F,6,FALSE),H213+2,1),IF(OR(j_WEEKDAY(J_ADDDAY(VLOOKUP(I213,A:F,6,FALSE),H213+3,1),0)=6,SUMIFS(Holieday[ok],Holieday[date],J_ADDDAY(VLOOKUP(I213,A:F,6,FALSE),H213+3,1)))=FALSE(),J_ADDDAY(VLOOKUP(I213,A:F,6,FALSE),H213+3,1),IF(OR(j_WEEKDAY(J_ADDDAY(VLOOKUP(I213,A:F,6,FALSE),H213+4,1),0)=6,SUMIFS(Holieday[ok],Holieday[date],J_ADDDAY(VLOOKUP(I213,A:F,6,FALSE),H213+4,1)))=FALSE(),J_ADDDAY(VLOOKUP(I213,A:F,6,FALSE),H213+4,1),J_ADDDAY(VLOOKUP(I213,A:F,6,FALSE),H213+5,1))))))</f>
        <v>1398/06/31</v>
      </c>
      <c r="E213" s="1">
        <f t="shared" si="64"/>
        <v>13980631</v>
      </c>
      <c r="F213" s="12" t="str">
        <f>IF(N213=0,J_SUBDAY(D213,1,1),IF((N213-NETWORKDAYS.INTL(J_GregorianDate(D213,1),J_GregorianDate(J_SUBDAY(J_ADDDAY(D213,N213,1),1,1),1),16,1)-SUMIFS(Holieday[ok],Holieday[date],CONCATENATE("&gt;","=",D213),Holieday[date],CONCATENATE("&lt;","=",J_SUBDAY(J_ADDDAY(D213,N213,1),1,1)))+SUMIFS(Holieday[Friday],Holieday[date],CONCATENATE("&gt;","=",D213),Holieday[date],CONCATENATE("&lt;","=",J_SUBDAY(J_ADDDAY(D213,N213,1),1,1))))=0,J_SUBDAY(J_ADDDAY(D213,N213,1),1,1),IF((N213-NETWORKDAYS.INTL(J_GregorianDate(D213,1),J_GregorianDate(J_SUBDAY(J_ADDDAY(D213,N213,1),1,1),1),16,1)-SUMIFS(Holieday[ok],Holieday[date],CONCATENATE("&gt;","=",D213),Holieday[date],CONCATENATE("&lt;","=",J_SUBDAY(J_ADDDAY(D213,N213,1),1,1)))+SUMIFS(Holieday[Friday],Holieday[date],CONCATENATE("&gt;","=",D213),Holieday[date],CONCATENATE("&lt;","=",J_SUBDAY(J_ADDDAY(D213,N213,1),1,1))))=1,J_SUBDAY(J_ADDDAY(D213,N213+1,1),1,1),IF((N213-NETWORKDAYS.INTL(J_GregorianDate(D213,1),J_GregorianDate(J_SUBDAY(J_ADDDAY(D213,N213,1),1,1),1),16,1)-SUMIFS(Holieday[ok],Holieday[date],CONCATENATE("&gt;","=",D213),Holieday[date],CONCATENATE("&lt;","=",J_SUBDAY(J_ADDDAY(D213,N213,1),1,1)))+SUMIFS(Holieday[Friday],Holieday[date],CONCATENATE("&gt;","=",D213),Holieday[date],CONCATENATE("&lt;","=",J_SUBDAY(J_ADDDAY(D213,N213,1),1,1))))=2,J_SUBDAY(J_ADDDAY(D213,N213+2,1),1,1),J_SUBDAY(J_ADDDAY(D213,N213+3,1),1,1)))))</f>
        <v>1398/06/30</v>
      </c>
      <c r="G213" s="2">
        <f t="shared" si="65"/>
        <v>13980630</v>
      </c>
      <c r="H213" s="109"/>
      <c r="I213" s="110">
        <v>1.1000000000000001</v>
      </c>
      <c r="J213" s="9">
        <f>j_WEEKDAY(D213,2)</f>
        <v>1</v>
      </c>
      <c r="K213" s="21">
        <f t="shared" si="69"/>
        <v>0</v>
      </c>
      <c r="L213" s="8">
        <f t="shared" si="68"/>
        <v>0</v>
      </c>
      <c r="M213" s="111">
        <v>0</v>
      </c>
      <c r="N213" s="108">
        <v>0</v>
      </c>
      <c r="O213" s="10">
        <f t="shared" si="66"/>
        <v>0</v>
      </c>
      <c r="P213" s="10">
        <f>VALUE(J_normdate(J_ADDDAY($D213,$O213,1)))</f>
        <v>13980631</v>
      </c>
      <c r="Q213" s="9">
        <f t="shared" si="67"/>
        <v>0</v>
      </c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  <c r="CC213" s="7"/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/>
      <c r="CQ213" s="7"/>
      <c r="CR213" s="7"/>
      <c r="CS213" s="7"/>
      <c r="CT213" s="7"/>
      <c r="CU213" s="7"/>
      <c r="CV213" s="7"/>
      <c r="CW213" s="7"/>
      <c r="CX213" s="7"/>
      <c r="CY213" s="7"/>
      <c r="CZ213" s="7"/>
      <c r="DA213" s="7"/>
      <c r="DB213" s="7"/>
      <c r="DC213" s="7"/>
      <c r="DD213" s="7"/>
      <c r="DE213" s="7"/>
      <c r="DF213" s="7"/>
      <c r="DG213" s="7"/>
      <c r="DH213" s="7"/>
      <c r="DI213" s="7"/>
      <c r="DJ213" s="7"/>
      <c r="DK213" s="7"/>
      <c r="DL213" s="7"/>
      <c r="DM213" s="7"/>
      <c r="DN213" s="7"/>
      <c r="DO213" s="7"/>
      <c r="DP213" s="7"/>
      <c r="DQ213" s="7"/>
      <c r="DR213" s="7"/>
      <c r="DS213" s="7"/>
      <c r="DT213" s="7"/>
      <c r="DU213" s="7"/>
      <c r="DV213" s="7"/>
      <c r="DW213" s="7"/>
      <c r="DX213" s="7"/>
      <c r="DY213" s="7"/>
      <c r="DZ213" s="7"/>
      <c r="EA213" s="7"/>
      <c r="EB213" s="7"/>
      <c r="EC213" s="7"/>
      <c r="ED213" s="7"/>
      <c r="EE213" s="7"/>
      <c r="EF213" s="7"/>
      <c r="EG213" s="7"/>
      <c r="EH213" s="7"/>
      <c r="EI213" s="7"/>
      <c r="EJ213" s="7"/>
      <c r="EK213" s="7"/>
      <c r="EL213" s="7"/>
      <c r="EM213" s="7"/>
      <c r="EN213" s="7"/>
      <c r="EO213" s="7"/>
      <c r="EP213" s="7"/>
      <c r="EQ213" s="7"/>
      <c r="ER213" s="7"/>
      <c r="ES213" s="7"/>
      <c r="ET213" s="7"/>
      <c r="EU213" s="7"/>
      <c r="EV213" s="7"/>
      <c r="EW213" s="7"/>
      <c r="EX213" s="7"/>
      <c r="EY213" s="7"/>
      <c r="EZ213" s="7"/>
      <c r="FA213" s="7"/>
      <c r="FB213" s="7"/>
      <c r="FC213" s="7"/>
      <c r="FD213" s="7"/>
      <c r="FE213" s="7"/>
      <c r="FF213" s="7"/>
      <c r="FG213" s="7"/>
      <c r="FH213" s="7"/>
      <c r="FI213" s="7"/>
      <c r="FJ213" s="7"/>
      <c r="FK213" s="7"/>
      <c r="FL213" s="7"/>
      <c r="FM213" s="7"/>
      <c r="FN213" s="7"/>
      <c r="FO213" s="7"/>
      <c r="FP213" s="7"/>
      <c r="FQ213" s="7"/>
      <c r="FR213" s="7"/>
      <c r="FS213" s="7"/>
      <c r="FT213" s="7"/>
      <c r="FU213" s="7"/>
      <c r="FV213" s="7"/>
      <c r="FW213" s="7"/>
      <c r="FX213" s="7"/>
      <c r="FY213" s="7"/>
      <c r="FZ213" s="7"/>
      <c r="GA213" s="7"/>
      <c r="GB213" s="7"/>
      <c r="GC213" s="7"/>
      <c r="GD213" s="7"/>
      <c r="GE213" s="7"/>
      <c r="GF213" s="7"/>
      <c r="GG213" s="7"/>
      <c r="GH213" s="7"/>
      <c r="GI213" s="7"/>
      <c r="GJ213" s="7"/>
      <c r="GK213" s="7"/>
      <c r="GL213" s="7"/>
      <c r="GM213" s="7"/>
      <c r="GN213" s="7"/>
      <c r="GO213" s="7"/>
      <c r="GP213" s="7"/>
      <c r="GQ213" s="7"/>
      <c r="GR213" s="7"/>
      <c r="GS213" s="7"/>
      <c r="GT213" s="7"/>
      <c r="GU213" s="7"/>
      <c r="GV213" s="7"/>
      <c r="GW213" s="7"/>
      <c r="GX213" s="7"/>
      <c r="GY213" s="7"/>
      <c r="GZ213" s="7"/>
      <c r="HA213" s="7"/>
      <c r="HB213" s="7"/>
      <c r="HC213" s="7"/>
      <c r="HD213" s="7"/>
      <c r="HE213" s="7"/>
      <c r="HF213" s="7"/>
      <c r="HG213" s="7"/>
      <c r="HH213" s="7"/>
      <c r="HI213" s="7"/>
      <c r="HJ213" s="7"/>
      <c r="HK213" s="7"/>
      <c r="HL213" s="7"/>
      <c r="HM213" s="7"/>
      <c r="HN213" s="7"/>
      <c r="HO213" s="7"/>
      <c r="HP213" s="7"/>
      <c r="HQ213" s="7"/>
      <c r="HR213" s="7"/>
      <c r="HS213" s="7"/>
      <c r="HT213" s="7"/>
      <c r="HU213" s="7"/>
      <c r="HV213" s="7"/>
      <c r="HW213" s="7"/>
      <c r="HX213" s="7"/>
      <c r="HY213" s="7"/>
      <c r="HZ213" s="7"/>
      <c r="IA213" s="7"/>
      <c r="IB213" s="7"/>
      <c r="IC213" s="7"/>
      <c r="ID213" s="7"/>
      <c r="IE213" s="7"/>
      <c r="IF213" s="7"/>
      <c r="IG213" s="7"/>
      <c r="IH213" s="7"/>
      <c r="II213" s="7"/>
      <c r="IJ213" s="7"/>
      <c r="IK213" s="7"/>
      <c r="IL213" s="7"/>
      <c r="IM213" s="7"/>
      <c r="IN213" s="7"/>
      <c r="IO213" s="7"/>
      <c r="IP213" s="7"/>
      <c r="IQ213" s="7"/>
      <c r="IR213" s="7"/>
      <c r="IS213" s="7"/>
      <c r="IT213" s="7"/>
      <c r="IU213" s="7"/>
      <c r="IV213" s="7"/>
      <c r="IW213" s="7"/>
      <c r="IX213" s="7"/>
      <c r="JA213" s="113"/>
      <c r="JB213" s="113"/>
      <c r="JC213" s="113"/>
      <c r="JD213" s="66">
        <f>SUM((TEXT(JA213,"[M]")/60)*'Income Person-hours'!$D$3,(TEXT(JB213,"[M]")/60)*'Income Person-hours'!$D$4,(TEXT(JC213,"[M]")/60)*'Income Person-hours'!$D$5)</f>
        <v>0</v>
      </c>
    </row>
    <row r="214" spans="1:264" s="11" customFormat="1" ht="11.25" hidden="1">
      <c r="A214" s="30">
        <v>9.9</v>
      </c>
      <c r="B214" s="116"/>
      <c r="C214" s="107"/>
      <c r="D214" s="12" t="str">
        <f>IF(OR(j_WEEKDAY(J_ADDDAY(VLOOKUP(I214,A:F,6,FALSE),H214,1),0)=6,SUMIFS(Holieday[ok],Holieday[date],J_ADDDAY(VLOOKUP(I214,A:F,6,FALSE),H214,1)))=FALSE(),J_ADDDAY(VLOOKUP(I214,A:F,6,FALSE),H214,1),IF(OR(j_WEEKDAY(J_ADDDAY(VLOOKUP(I214,A:F,6,FALSE),H214+1,1),0)=6,SUMIFS(Holieday[ok],Holieday[date],J_ADDDAY(VLOOKUP(I214,A:F,6,FALSE),H214+1,1)))=FALSE(),J_ADDDAY(VLOOKUP(I214,A:F,6,FALSE),H214+1,1),IF(OR(j_WEEKDAY(J_ADDDAY(VLOOKUP(I214,A:F,6,FALSE),H214+2,1),0)=6,SUMIFS(Holieday[ok],Holieday[date],J_ADDDAY(VLOOKUP(I214,A:F,6,FALSE),H214+2,1)))=FALSE(),J_ADDDAY(VLOOKUP(I214,A:F,6,FALSE),H214+2,1),IF(OR(j_WEEKDAY(J_ADDDAY(VLOOKUP(I214,A:F,6,FALSE),H214+3,1),0)=6,SUMIFS(Holieday[ok],Holieday[date],J_ADDDAY(VLOOKUP(I214,A:F,6,FALSE),H214+3,1)))=FALSE(),J_ADDDAY(VLOOKUP(I214,A:F,6,FALSE),H214+3,1),IF(OR(j_WEEKDAY(J_ADDDAY(VLOOKUP(I214,A:F,6,FALSE),H214+4,1),0)=6,SUMIFS(Holieday[ok],Holieday[date],J_ADDDAY(VLOOKUP(I214,A:F,6,FALSE),H214+4,1)))=FALSE(),J_ADDDAY(VLOOKUP(I214,A:F,6,FALSE),H214+4,1),J_ADDDAY(VLOOKUP(I214,A:F,6,FALSE),H214+5,1))))))</f>
        <v>1398/06/31</v>
      </c>
      <c r="E214" s="1">
        <f t="shared" si="64"/>
        <v>13980631</v>
      </c>
      <c r="F214" s="12" t="str">
        <f>IF(N214=0,J_SUBDAY(D214,1,1),IF((N214-NETWORKDAYS.INTL(J_GregorianDate(D214,1),J_GregorianDate(J_SUBDAY(J_ADDDAY(D214,N214,1),1,1),1),16,1)-SUMIFS(Holieday[ok],Holieday[date],CONCATENATE("&gt;","=",D214),Holieday[date],CONCATENATE("&lt;","=",J_SUBDAY(J_ADDDAY(D214,N214,1),1,1)))+SUMIFS(Holieday[Friday],Holieday[date],CONCATENATE("&gt;","=",D214),Holieday[date],CONCATENATE("&lt;","=",J_SUBDAY(J_ADDDAY(D214,N214,1),1,1))))=0,J_SUBDAY(J_ADDDAY(D214,N214,1),1,1),IF((N214-NETWORKDAYS.INTL(J_GregorianDate(D214,1),J_GregorianDate(J_SUBDAY(J_ADDDAY(D214,N214,1),1,1),1),16,1)-SUMIFS(Holieday[ok],Holieday[date],CONCATENATE("&gt;","=",D214),Holieday[date],CONCATENATE("&lt;","=",J_SUBDAY(J_ADDDAY(D214,N214,1),1,1)))+SUMIFS(Holieday[Friday],Holieday[date],CONCATENATE("&gt;","=",D214),Holieday[date],CONCATENATE("&lt;","=",J_SUBDAY(J_ADDDAY(D214,N214,1),1,1))))=1,J_SUBDAY(J_ADDDAY(D214,N214+1,1),1,1),IF((N214-NETWORKDAYS.INTL(J_GregorianDate(D214,1),J_GregorianDate(J_SUBDAY(J_ADDDAY(D214,N214,1),1,1),1),16,1)-SUMIFS(Holieday[ok],Holieday[date],CONCATENATE("&gt;","=",D214),Holieday[date],CONCATENATE("&lt;","=",J_SUBDAY(J_ADDDAY(D214,N214,1),1,1)))+SUMIFS(Holieday[Friday],Holieday[date],CONCATENATE("&gt;","=",D214),Holieday[date],CONCATENATE("&lt;","=",J_SUBDAY(J_ADDDAY(D214,N214,1),1,1))))=2,J_SUBDAY(J_ADDDAY(D214,N214+2,1),1,1),J_SUBDAY(J_ADDDAY(D214,N214+3,1),1,1)))))</f>
        <v>1398/06/30</v>
      </c>
      <c r="G214" s="2">
        <f t="shared" si="65"/>
        <v>13980630</v>
      </c>
      <c r="H214" s="109"/>
      <c r="I214" s="110">
        <v>1.1000000000000001</v>
      </c>
      <c r="J214" s="9">
        <f>j_WEEKDAY(D214,2)</f>
        <v>1</v>
      </c>
      <c r="K214" s="21">
        <f t="shared" si="69"/>
        <v>0</v>
      </c>
      <c r="L214" s="8">
        <f t="shared" si="68"/>
        <v>0</v>
      </c>
      <c r="M214" s="111">
        <v>0</v>
      </c>
      <c r="N214" s="108">
        <v>0</v>
      </c>
      <c r="O214" s="10">
        <f t="shared" si="66"/>
        <v>0</v>
      </c>
      <c r="P214" s="10">
        <f>VALUE(J_normdate(J_ADDDAY($D214,$O214,1)))</f>
        <v>13980631</v>
      </c>
      <c r="Q214" s="9">
        <f t="shared" si="67"/>
        <v>0</v>
      </c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  <c r="CC214" s="7"/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/>
      <c r="CQ214" s="7"/>
      <c r="CR214" s="7"/>
      <c r="CS214" s="7"/>
      <c r="CT214" s="7"/>
      <c r="CU214" s="7"/>
      <c r="CV214" s="7"/>
      <c r="CW214" s="7"/>
      <c r="CX214" s="7"/>
      <c r="CY214" s="7"/>
      <c r="CZ214" s="7"/>
      <c r="DA214" s="7"/>
      <c r="DB214" s="7"/>
      <c r="DC214" s="7"/>
      <c r="DD214" s="7"/>
      <c r="DE214" s="7"/>
      <c r="DF214" s="7"/>
      <c r="DG214" s="7"/>
      <c r="DH214" s="7"/>
      <c r="DI214" s="7"/>
      <c r="DJ214" s="7"/>
      <c r="DK214" s="7"/>
      <c r="DL214" s="7"/>
      <c r="DM214" s="7"/>
      <c r="DN214" s="7"/>
      <c r="DO214" s="7"/>
      <c r="DP214" s="7"/>
      <c r="DQ214" s="7"/>
      <c r="DR214" s="7"/>
      <c r="DS214" s="7"/>
      <c r="DT214" s="7"/>
      <c r="DU214" s="7"/>
      <c r="DV214" s="7"/>
      <c r="DW214" s="7"/>
      <c r="DX214" s="7"/>
      <c r="DY214" s="7"/>
      <c r="DZ214" s="7"/>
      <c r="EA214" s="7"/>
      <c r="EB214" s="7"/>
      <c r="EC214" s="7"/>
      <c r="ED214" s="7"/>
      <c r="EE214" s="7"/>
      <c r="EF214" s="7"/>
      <c r="EG214" s="7"/>
      <c r="EH214" s="7"/>
      <c r="EI214" s="7"/>
      <c r="EJ214" s="7"/>
      <c r="EK214" s="7"/>
      <c r="EL214" s="7"/>
      <c r="EM214" s="7"/>
      <c r="EN214" s="7"/>
      <c r="EO214" s="7"/>
      <c r="EP214" s="7"/>
      <c r="EQ214" s="7"/>
      <c r="ER214" s="7"/>
      <c r="ES214" s="7"/>
      <c r="ET214" s="7"/>
      <c r="EU214" s="7"/>
      <c r="EV214" s="7"/>
      <c r="EW214" s="7"/>
      <c r="EX214" s="7"/>
      <c r="EY214" s="7"/>
      <c r="EZ214" s="7"/>
      <c r="FA214" s="7"/>
      <c r="FB214" s="7"/>
      <c r="FC214" s="7"/>
      <c r="FD214" s="7"/>
      <c r="FE214" s="7"/>
      <c r="FF214" s="7"/>
      <c r="FG214" s="7"/>
      <c r="FH214" s="7"/>
      <c r="FI214" s="7"/>
      <c r="FJ214" s="7"/>
      <c r="FK214" s="7"/>
      <c r="FL214" s="7"/>
      <c r="FM214" s="7"/>
      <c r="FN214" s="7"/>
      <c r="FO214" s="7"/>
      <c r="FP214" s="7"/>
      <c r="FQ214" s="7"/>
      <c r="FR214" s="7"/>
      <c r="FS214" s="7"/>
      <c r="FT214" s="7"/>
      <c r="FU214" s="7"/>
      <c r="FV214" s="7"/>
      <c r="FW214" s="7"/>
      <c r="FX214" s="7"/>
      <c r="FY214" s="7"/>
      <c r="FZ214" s="7"/>
      <c r="GA214" s="7"/>
      <c r="GB214" s="7"/>
      <c r="GC214" s="7"/>
      <c r="GD214" s="7"/>
      <c r="GE214" s="7"/>
      <c r="GF214" s="7"/>
      <c r="GG214" s="7"/>
      <c r="GH214" s="7"/>
      <c r="GI214" s="7"/>
      <c r="GJ214" s="7"/>
      <c r="GK214" s="7"/>
      <c r="GL214" s="7"/>
      <c r="GM214" s="7"/>
      <c r="GN214" s="7"/>
      <c r="GO214" s="7"/>
      <c r="GP214" s="7"/>
      <c r="GQ214" s="7"/>
      <c r="GR214" s="7"/>
      <c r="GS214" s="7"/>
      <c r="GT214" s="7"/>
      <c r="GU214" s="7"/>
      <c r="GV214" s="7"/>
      <c r="GW214" s="7"/>
      <c r="GX214" s="7"/>
      <c r="GY214" s="7"/>
      <c r="GZ214" s="7"/>
      <c r="HA214" s="7"/>
      <c r="HB214" s="7"/>
      <c r="HC214" s="7"/>
      <c r="HD214" s="7"/>
      <c r="HE214" s="7"/>
      <c r="HF214" s="7"/>
      <c r="HG214" s="7"/>
      <c r="HH214" s="7"/>
      <c r="HI214" s="7"/>
      <c r="HJ214" s="7"/>
      <c r="HK214" s="7"/>
      <c r="HL214" s="7"/>
      <c r="HM214" s="7"/>
      <c r="HN214" s="7"/>
      <c r="HO214" s="7"/>
      <c r="HP214" s="7"/>
      <c r="HQ214" s="7"/>
      <c r="HR214" s="7"/>
      <c r="HS214" s="7"/>
      <c r="HT214" s="7"/>
      <c r="HU214" s="7"/>
      <c r="HV214" s="7"/>
      <c r="HW214" s="7"/>
      <c r="HX214" s="7"/>
      <c r="HY214" s="7"/>
      <c r="HZ214" s="7"/>
      <c r="IA214" s="7"/>
      <c r="IB214" s="7"/>
      <c r="IC214" s="7"/>
      <c r="ID214" s="7"/>
      <c r="IE214" s="7"/>
      <c r="IF214" s="7"/>
      <c r="IG214" s="7"/>
      <c r="IH214" s="7"/>
      <c r="II214" s="7"/>
      <c r="IJ214" s="7"/>
      <c r="IK214" s="7"/>
      <c r="IL214" s="7"/>
      <c r="IM214" s="7"/>
      <c r="IN214" s="7"/>
      <c r="IO214" s="7"/>
      <c r="IP214" s="7"/>
      <c r="IQ214" s="7"/>
      <c r="IR214" s="7"/>
      <c r="IS214" s="7"/>
      <c r="IT214" s="7"/>
      <c r="IU214" s="7"/>
      <c r="IV214" s="7"/>
      <c r="IW214" s="7"/>
      <c r="IX214" s="7"/>
      <c r="JA214" s="113"/>
      <c r="JB214" s="113"/>
      <c r="JC214" s="113"/>
      <c r="JD214" s="66">
        <f>SUM((TEXT(JA214,"[M]")/60)*'Income Person-hours'!$D$3,(TEXT(JB214,"[M]")/60)*'Income Person-hours'!$D$4,(TEXT(JC214,"[M]")/60)*'Income Person-hours'!$D$5)</f>
        <v>0</v>
      </c>
    </row>
    <row r="215" spans="1:264" s="11" customFormat="1" ht="11.25" hidden="1">
      <c r="A215" s="30">
        <v>9.11</v>
      </c>
      <c r="B215" s="116"/>
      <c r="C215" s="107"/>
      <c r="D215" s="12" t="str">
        <f>IF(OR(j_WEEKDAY(J_ADDDAY(VLOOKUP(I215,A:F,6,FALSE),H215,1),0)=6,SUMIFS(Holieday[ok],Holieday[date],J_ADDDAY(VLOOKUP(I215,A:F,6,FALSE),H215,1)))=FALSE(),J_ADDDAY(VLOOKUP(I215,A:F,6,FALSE),H215,1),IF(OR(j_WEEKDAY(J_ADDDAY(VLOOKUP(I215,A:F,6,FALSE),H215+1,1),0)=6,SUMIFS(Holieday[ok],Holieday[date],J_ADDDAY(VLOOKUP(I215,A:F,6,FALSE),H215+1,1)))=FALSE(),J_ADDDAY(VLOOKUP(I215,A:F,6,FALSE),H215+1,1),IF(OR(j_WEEKDAY(J_ADDDAY(VLOOKUP(I215,A:F,6,FALSE),H215+2,1),0)=6,SUMIFS(Holieday[ok],Holieday[date],J_ADDDAY(VLOOKUP(I215,A:F,6,FALSE),H215+2,1)))=FALSE(),J_ADDDAY(VLOOKUP(I215,A:F,6,FALSE),H215+2,1),IF(OR(j_WEEKDAY(J_ADDDAY(VLOOKUP(I215,A:F,6,FALSE),H215+3,1),0)=6,SUMIFS(Holieday[ok],Holieday[date],J_ADDDAY(VLOOKUP(I215,A:F,6,FALSE),H215+3,1)))=FALSE(),J_ADDDAY(VLOOKUP(I215,A:F,6,FALSE),H215+3,1),IF(OR(j_WEEKDAY(J_ADDDAY(VLOOKUP(I215,A:F,6,FALSE),H215+4,1),0)=6,SUMIFS(Holieday[ok],Holieday[date],J_ADDDAY(VLOOKUP(I215,A:F,6,FALSE),H215+4,1)))=FALSE(),J_ADDDAY(VLOOKUP(I215,A:F,6,FALSE),H215+4,1),J_ADDDAY(VLOOKUP(I215,A:F,6,FALSE),H215+5,1))))))</f>
        <v>1398/06/31</v>
      </c>
      <c r="E215" s="1">
        <f t="shared" si="64"/>
        <v>13980631</v>
      </c>
      <c r="F215" s="12" t="str">
        <f>IF(N215=0,J_SUBDAY(D215,1,1),IF((N215-NETWORKDAYS.INTL(J_GregorianDate(D215,1),J_GregorianDate(J_SUBDAY(J_ADDDAY(D215,N215,1),1,1),1),16,1)-SUMIFS(Holieday[ok],Holieday[date],CONCATENATE("&gt;","=",D215),Holieday[date],CONCATENATE("&lt;","=",J_SUBDAY(J_ADDDAY(D215,N215,1),1,1)))+SUMIFS(Holieday[Friday],Holieday[date],CONCATENATE("&gt;","=",D215),Holieday[date],CONCATENATE("&lt;","=",J_SUBDAY(J_ADDDAY(D215,N215,1),1,1))))=0,J_SUBDAY(J_ADDDAY(D215,N215,1),1,1),IF((N215-NETWORKDAYS.INTL(J_GregorianDate(D215,1),J_GregorianDate(J_SUBDAY(J_ADDDAY(D215,N215,1),1,1),1),16,1)-SUMIFS(Holieday[ok],Holieday[date],CONCATENATE("&gt;","=",D215),Holieday[date],CONCATENATE("&lt;","=",J_SUBDAY(J_ADDDAY(D215,N215,1),1,1)))+SUMIFS(Holieday[Friday],Holieday[date],CONCATENATE("&gt;","=",D215),Holieday[date],CONCATENATE("&lt;","=",J_SUBDAY(J_ADDDAY(D215,N215,1),1,1))))=1,J_SUBDAY(J_ADDDAY(D215,N215+1,1),1,1),IF((N215-NETWORKDAYS.INTL(J_GregorianDate(D215,1),J_GregorianDate(J_SUBDAY(J_ADDDAY(D215,N215,1),1,1),1),16,1)-SUMIFS(Holieday[ok],Holieday[date],CONCATENATE("&gt;","=",D215),Holieday[date],CONCATENATE("&lt;","=",J_SUBDAY(J_ADDDAY(D215,N215,1),1,1)))+SUMIFS(Holieday[Friday],Holieday[date],CONCATENATE("&gt;","=",D215),Holieday[date],CONCATENATE("&lt;","=",J_SUBDAY(J_ADDDAY(D215,N215,1),1,1))))=2,J_SUBDAY(J_ADDDAY(D215,N215+2,1),1,1),J_SUBDAY(J_ADDDAY(D215,N215+3,1),1,1)))))</f>
        <v>1398/06/30</v>
      </c>
      <c r="G215" s="2">
        <f t="shared" si="65"/>
        <v>13980630</v>
      </c>
      <c r="H215" s="109"/>
      <c r="I215" s="110">
        <v>1.1000000000000001</v>
      </c>
      <c r="J215" s="9">
        <f>j_WEEKDAY(D215,2)</f>
        <v>1</v>
      </c>
      <c r="K215" s="21">
        <f t="shared" si="69"/>
        <v>0</v>
      </c>
      <c r="L215" s="8">
        <f t="shared" si="68"/>
        <v>0</v>
      </c>
      <c r="M215" s="111">
        <v>0</v>
      </c>
      <c r="N215" s="108">
        <v>0</v>
      </c>
      <c r="O215" s="10">
        <f t="shared" si="66"/>
        <v>0</v>
      </c>
      <c r="P215" s="10">
        <f>VALUE(J_normdate(J_ADDDAY($D215,$O215,1)))</f>
        <v>13980631</v>
      </c>
      <c r="Q215" s="9">
        <f t="shared" si="67"/>
        <v>0</v>
      </c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  <c r="CC215" s="7"/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/>
      <c r="CQ215" s="7"/>
      <c r="CR215" s="7"/>
      <c r="CS215" s="7"/>
      <c r="CT215" s="7"/>
      <c r="CU215" s="7"/>
      <c r="CV215" s="7"/>
      <c r="CW215" s="7"/>
      <c r="CX215" s="7"/>
      <c r="CY215" s="7"/>
      <c r="CZ215" s="7"/>
      <c r="DA215" s="7"/>
      <c r="DB215" s="7"/>
      <c r="DC215" s="7"/>
      <c r="DD215" s="7"/>
      <c r="DE215" s="7"/>
      <c r="DF215" s="7"/>
      <c r="DG215" s="7"/>
      <c r="DH215" s="7"/>
      <c r="DI215" s="7"/>
      <c r="DJ215" s="7"/>
      <c r="DK215" s="7"/>
      <c r="DL215" s="7"/>
      <c r="DM215" s="7"/>
      <c r="DN215" s="7"/>
      <c r="DO215" s="7"/>
      <c r="DP215" s="7"/>
      <c r="DQ215" s="7"/>
      <c r="DR215" s="7"/>
      <c r="DS215" s="7"/>
      <c r="DT215" s="7"/>
      <c r="DU215" s="7"/>
      <c r="DV215" s="7"/>
      <c r="DW215" s="7"/>
      <c r="DX215" s="7"/>
      <c r="DY215" s="7"/>
      <c r="DZ215" s="7"/>
      <c r="EA215" s="7"/>
      <c r="EB215" s="7"/>
      <c r="EC215" s="7"/>
      <c r="ED215" s="7"/>
      <c r="EE215" s="7"/>
      <c r="EF215" s="7"/>
      <c r="EG215" s="7"/>
      <c r="EH215" s="7"/>
      <c r="EI215" s="7"/>
      <c r="EJ215" s="7"/>
      <c r="EK215" s="7"/>
      <c r="EL215" s="7"/>
      <c r="EM215" s="7"/>
      <c r="EN215" s="7"/>
      <c r="EO215" s="7"/>
      <c r="EP215" s="7"/>
      <c r="EQ215" s="7"/>
      <c r="ER215" s="7"/>
      <c r="ES215" s="7"/>
      <c r="ET215" s="7"/>
      <c r="EU215" s="7"/>
      <c r="EV215" s="7"/>
      <c r="EW215" s="7"/>
      <c r="EX215" s="7"/>
      <c r="EY215" s="7"/>
      <c r="EZ215" s="7"/>
      <c r="FA215" s="7"/>
      <c r="FB215" s="7"/>
      <c r="FC215" s="7"/>
      <c r="FD215" s="7"/>
      <c r="FE215" s="7"/>
      <c r="FF215" s="7"/>
      <c r="FG215" s="7"/>
      <c r="FH215" s="7"/>
      <c r="FI215" s="7"/>
      <c r="FJ215" s="7"/>
      <c r="FK215" s="7"/>
      <c r="FL215" s="7"/>
      <c r="FM215" s="7"/>
      <c r="FN215" s="7"/>
      <c r="FO215" s="7"/>
      <c r="FP215" s="7"/>
      <c r="FQ215" s="7"/>
      <c r="FR215" s="7"/>
      <c r="FS215" s="7"/>
      <c r="FT215" s="7"/>
      <c r="FU215" s="7"/>
      <c r="FV215" s="7"/>
      <c r="FW215" s="7"/>
      <c r="FX215" s="7"/>
      <c r="FY215" s="7"/>
      <c r="FZ215" s="7"/>
      <c r="GA215" s="7"/>
      <c r="GB215" s="7"/>
      <c r="GC215" s="7"/>
      <c r="GD215" s="7"/>
      <c r="GE215" s="7"/>
      <c r="GF215" s="7"/>
      <c r="GG215" s="7"/>
      <c r="GH215" s="7"/>
      <c r="GI215" s="7"/>
      <c r="GJ215" s="7"/>
      <c r="GK215" s="7"/>
      <c r="GL215" s="7"/>
      <c r="GM215" s="7"/>
      <c r="GN215" s="7"/>
      <c r="GO215" s="7"/>
      <c r="GP215" s="7"/>
      <c r="GQ215" s="7"/>
      <c r="GR215" s="7"/>
      <c r="GS215" s="7"/>
      <c r="GT215" s="7"/>
      <c r="GU215" s="7"/>
      <c r="GV215" s="7"/>
      <c r="GW215" s="7"/>
      <c r="GX215" s="7"/>
      <c r="GY215" s="7"/>
      <c r="GZ215" s="7"/>
      <c r="HA215" s="7"/>
      <c r="HB215" s="7"/>
      <c r="HC215" s="7"/>
      <c r="HD215" s="7"/>
      <c r="HE215" s="7"/>
      <c r="HF215" s="7"/>
      <c r="HG215" s="7"/>
      <c r="HH215" s="7"/>
      <c r="HI215" s="7"/>
      <c r="HJ215" s="7"/>
      <c r="HK215" s="7"/>
      <c r="HL215" s="7"/>
      <c r="HM215" s="7"/>
      <c r="HN215" s="7"/>
      <c r="HO215" s="7"/>
      <c r="HP215" s="7"/>
      <c r="HQ215" s="7"/>
      <c r="HR215" s="7"/>
      <c r="HS215" s="7"/>
      <c r="HT215" s="7"/>
      <c r="HU215" s="7"/>
      <c r="HV215" s="7"/>
      <c r="HW215" s="7"/>
      <c r="HX215" s="7"/>
      <c r="HY215" s="7"/>
      <c r="HZ215" s="7"/>
      <c r="IA215" s="7"/>
      <c r="IB215" s="7"/>
      <c r="IC215" s="7"/>
      <c r="ID215" s="7"/>
      <c r="IE215" s="7"/>
      <c r="IF215" s="7"/>
      <c r="IG215" s="7"/>
      <c r="IH215" s="7"/>
      <c r="II215" s="7"/>
      <c r="IJ215" s="7"/>
      <c r="IK215" s="7"/>
      <c r="IL215" s="7"/>
      <c r="IM215" s="7"/>
      <c r="IN215" s="7"/>
      <c r="IO215" s="7"/>
      <c r="IP215" s="7"/>
      <c r="IQ215" s="7"/>
      <c r="IR215" s="7"/>
      <c r="IS215" s="7"/>
      <c r="IT215" s="7"/>
      <c r="IU215" s="7"/>
      <c r="IV215" s="7"/>
      <c r="IW215" s="7"/>
      <c r="IX215" s="7"/>
      <c r="JA215" s="113"/>
      <c r="JB215" s="113"/>
      <c r="JC215" s="113"/>
      <c r="JD215" s="66">
        <f>SUM((TEXT(JA215,"[M]")/60)*'Income Person-hours'!$D$3,(TEXT(JB215,"[M]")/60)*'Income Person-hours'!$D$4,(TEXT(JC215,"[M]")/60)*'Income Person-hours'!$D$5)</f>
        <v>0</v>
      </c>
    </row>
    <row r="216" spans="1:264" s="11" customFormat="1" ht="11.25" hidden="1">
      <c r="A216" s="30">
        <v>9.1199999999999992</v>
      </c>
      <c r="B216" s="116"/>
      <c r="C216" s="107"/>
      <c r="D216" s="12" t="str">
        <f>IF(OR(j_WEEKDAY(J_ADDDAY(VLOOKUP(I216,A:F,6,FALSE),H216,1),0)=6,SUMIFS(Holieday[ok],Holieday[date],J_ADDDAY(VLOOKUP(I216,A:F,6,FALSE),H216,1)))=FALSE(),J_ADDDAY(VLOOKUP(I216,A:F,6,FALSE),H216,1),IF(OR(j_WEEKDAY(J_ADDDAY(VLOOKUP(I216,A:F,6,FALSE),H216+1,1),0)=6,SUMIFS(Holieday[ok],Holieday[date],J_ADDDAY(VLOOKUP(I216,A:F,6,FALSE),H216+1,1)))=FALSE(),J_ADDDAY(VLOOKUP(I216,A:F,6,FALSE),H216+1,1),IF(OR(j_WEEKDAY(J_ADDDAY(VLOOKUP(I216,A:F,6,FALSE),H216+2,1),0)=6,SUMIFS(Holieday[ok],Holieday[date],J_ADDDAY(VLOOKUP(I216,A:F,6,FALSE),H216+2,1)))=FALSE(),J_ADDDAY(VLOOKUP(I216,A:F,6,FALSE),H216+2,1),IF(OR(j_WEEKDAY(J_ADDDAY(VLOOKUP(I216,A:F,6,FALSE),H216+3,1),0)=6,SUMIFS(Holieday[ok],Holieday[date],J_ADDDAY(VLOOKUP(I216,A:F,6,FALSE),H216+3,1)))=FALSE(),J_ADDDAY(VLOOKUP(I216,A:F,6,FALSE),H216+3,1),IF(OR(j_WEEKDAY(J_ADDDAY(VLOOKUP(I216,A:F,6,FALSE),H216+4,1),0)=6,SUMIFS(Holieday[ok],Holieday[date],J_ADDDAY(VLOOKUP(I216,A:F,6,FALSE),H216+4,1)))=FALSE(),J_ADDDAY(VLOOKUP(I216,A:F,6,FALSE),H216+4,1),J_ADDDAY(VLOOKUP(I216,A:F,6,FALSE),H216+5,1))))))</f>
        <v>1398/06/31</v>
      </c>
      <c r="E216" s="1">
        <f t="shared" si="64"/>
        <v>13980631</v>
      </c>
      <c r="F216" s="12" t="str">
        <f>IF(N216=0,J_SUBDAY(D216,1,1),IF((N216-NETWORKDAYS.INTL(J_GregorianDate(D216,1),J_GregorianDate(J_SUBDAY(J_ADDDAY(D216,N216,1),1,1),1),16,1)-SUMIFS(Holieday[ok],Holieday[date],CONCATENATE("&gt;","=",D216),Holieday[date],CONCATENATE("&lt;","=",J_SUBDAY(J_ADDDAY(D216,N216,1),1,1)))+SUMIFS(Holieday[Friday],Holieday[date],CONCATENATE("&gt;","=",D216),Holieday[date],CONCATENATE("&lt;","=",J_SUBDAY(J_ADDDAY(D216,N216,1),1,1))))=0,J_SUBDAY(J_ADDDAY(D216,N216,1),1,1),IF((N216-NETWORKDAYS.INTL(J_GregorianDate(D216,1),J_GregorianDate(J_SUBDAY(J_ADDDAY(D216,N216,1),1,1),1),16,1)-SUMIFS(Holieday[ok],Holieday[date],CONCATENATE("&gt;","=",D216),Holieday[date],CONCATENATE("&lt;","=",J_SUBDAY(J_ADDDAY(D216,N216,1),1,1)))+SUMIFS(Holieday[Friday],Holieday[date],CONCATENATE("&gt;","=",D216),Holieday[date],CONCATENATE("&lt;","=",J_SUBDAY(J_ADDDAY(D216,N216,1),1,1))))=1,J_SUBDAY(J_ADDDAY(D216,N216+1,1),1,1),IF((N216-NETWORKDAYS.INTL(J_GregorianDate(D216,1),J_GregorianDate(J_SUBDAY(J_ADDDAY(D216,N216,1),1,1),1),16,1)-SUMIFS(Holieday[ok],Holieday[date],CONCATENATE("&gt;","=",D216),Holieday[date],CONCATENATE("&lt;","=",J_SUBDAY(J_ADDDAY(D216,N216,1),1,1)))+SUMIFS(Holieday[Friday],Holieday[date],CONCATENATE("&gt;","=",D216),Holieday[date],CONCATENATE("&lt;","=",J_SUBDAY(J_ADDDAY(D216,N216,1),1,1))))=2,J_SUBDAY(J_ADDDAY(D216,N216+2,1),1,1),J_SUBDAY(J_ADDDAY(D216,N216+3,1),1,1)))))</f>
        <v>1398/06/30</v>
      </c>
      <c r="G216" s="2">
        <f t="shared" si="65"/>
        <v>13980630</v>
      </c>
      <c r="H216" s="109"/>
      <c r="I216" s="110">
        <v>1.1000000000000001</v>
      </c>
      <c r="J216" s="9">
        <f>j_WEEKDAY(D216,2)</f>
        <v>1</v>
      </c>
      <c r="K216" s="21">
        <f t="shared" si="69"/>
        <v>0</v>
      </c>
      <c r="L216" s="8">
        <f t="shared" si="68"/>
        <v>0</v>
      </c>
      <c r="M216" s="111">
        <v>0</v>
      </c>
      <c r="N216" s="108">
        <v>0</v>
      </c>
      <c r="O216" s="10">
        <f t="shared" si="66"/>
        <v>0</v>
      </c>
      <c r="P216" s="10">
        <f>VALUE(J_normdate(J_ADDDAY($D216,$O216,1)))</f>
        <v>13980631</v>
      </c>
      <c r="Q216" s="9">
        <f t="shared" si="67"/>
        <v>0</v>
      </c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7"/>
      <c r="BV216" s="7"/>
      <c r="BW216" s="7"/>
      <c r="BX216" s="7"/>
      <c r="BY216" s="7"/>
      <c r="BZ216" s="7"/>
      <c r="CA216" s="7"/>
      <c r="CB216" s="7"/>
      <c r="CC216" s="7"/>
      <c r="CD216" s="7"/>
      <c r="CE216" s="7"/>
      <c r="CF216" s="7"/>
      <c r="CG216" s="7"/>
      <c r="CH216" s="7"/>
      <c r="CI216" s="7"/>
      <c r="CJ216" s="7"/>
      <c r="CK216" s="7"/>
      <c r="CL216" s="7"/>
      <c r="CM216" s="7"/>
      <c r="CN216" s="7"/>
      <c r="CO216" s="7"/>
      <c r="CP216" s="7"/>
      <c r="CQ216" s="7"/>
      <c r="CR216" s="7"/>
      <c r="CS216" s="7"/>
      <c r="CT216" s="7"/>
      <c r="CU216" s="7"/>
      <c r="CV216" s="7"/>
      <c r="CW216" s="7"/>
      <c r="CX216" s="7"/>
      <c r="CY216" s="7"/>
      <c r="CZ216" s="7"/>
      <c r="DA216" s="7"/>
      <c r="DB216" s="7"/>
      <c r="DC216" s="7"/>
      <c r="DD216" s="7"/>
      <c r="DE216" s="7"/>
      <c r="DF216" s="7"/>
      <c r="DG216" s="7"/>
      <c r="DH216" s="7"/>
      <c r="DI216" s="7"/>
      <c r="DJ216" s="7"/>
      <c r="DK216" s="7"/>
      <c r="DL216" s="7"/>
      <c r="DM216" s="7"/>
      <c r="DN216" s="7"/>
      <c r="DO216" s="7"/>
      <c r="DP216" s="7"/>
      <c r="DQ216" s="7"/>
      <c r="DR216" s="7"/>
      <c r="DS216" s="7"/>
      <c r="DT216" s="7"/>
      <c r="DU216" s="7"/>
      <c r="DV216" s="7"/>
      <c r="DW216" s="7"/>
      <c r="DX216" s="7"/>
      <c r="DY216" s="7"/>
      <c r="DZ216" s="7"/>
      <c r="EA216" s="7"/>
      <c r="EB216" s="7"/>
      <c r="EC216" s="7"/>
      <c r="ED216" s="7"/>
      <c r="EE216" s="7"/>
      <c r="EF216" s="7"/>
      <c r="EG216" s="7"/>
      <c r="EH216" s="7"/>
      <c r="EI216" s="7"/>
      <c r="EJ216" s="7"/>
      <c r="EK216" s="7"/>
      <c r="EL216" s="7"/>
      <c r="EM216" s="7"/>
      <c r="EN216" s="7"/>
      <c r="EO216" s="7"/>
      <c r="EP216" s="7"/>
      <c r="EQ216" s="7"/>
      <c r="ER216" s="7"/>
      <c r="ES216" s="7"/>
      <c r="ET216" s="7"/>
      <c r="EU216" s="7"/>
      <c r="EV216" s="7"/>
      <c r="EW216" s="7"/>
      <c r="EX216" s="7"/>
      <c r="EY216" s="7"/>
      <c r="EZ216" s="7"/>
      <c r="FA216" s="7"/>
      <c r="FB216" s="7"/>
      <c r="FC216" s="7"/>
      <c r="FD216" s="7"/>
      <c r="FE216" s="7"/>
      <c r="FF216" s="7"/>
      <c r="FG216" s="7"/>
      <c r="FH216" s="7"/>
      <c r="FI216" s="7"/>
      <c r="FJ216" s="7"/>
      <c r="FK216" s="7"/>
      <c r="FL216" s="7"/>
      <c r="FM216" s="7"/>
      <c r="FN216" s="7"/>
      <c r="FO216" s="7"/>
      <c r="FP216" s="7"/>
      <c r="FQ216" s="7"/>
      <c r="FR216" s="7"/>
      <c r="FS216" s="7"/>
      <c r="FT216" s="7"/>
      <c r="FU216" s="7"/>
      <c r="FV216" s="7"/>
      <c r="FW216" s="7"/>
      <c r="FX216" s="7"/>
      <c r="FY216" s="7"/>
      <c r="FZ216" s="7"/>
      <c r="GA216" s="7"/>
      <c r="GB216" s="7"/>
      <c r="GC216" s="7"/>
      <c r="GD216" s="7"/>
      <c r="GE216" s="7"/>
      <c r="GF216" s="7"/>
      <c r="GG216" s="7"/>
      <c r="GH216" s="7"/>
      <c r="GI216" s="7"/>
      <c r="GJ216" s="7"/>
      <c r="GK216" s="7"/>
      <c r="GL216" s="7"/>
      <c r="GM216" s="7"/>
      <c r="GN216" s="7"/>
      <c r="GO216" s="7"/>
      <c r="GP216" s="7"/>
      <c r="GQ216" s="7"/>
      <c r="GR216" s="7"/>
      <c r="GS216" s="7"/>
      <c r="GT216" s="7"/>
      <c r="GU216" s="7"/>
      <c r="GV216" s="7"/>
      <c r="GW216" s="7"/>
      <c r="GX216" s="7"/>
      <c r="GY216" s="7"/>
      <c r="GZ216" s="7"/>
      <c r="HA216" s="7"/>
      <c r="HB216" s="7"/>
      <c r="HC216" s="7"/>
      <c r="HD216" s="7"/>
      <c r="HE216" s="7"/>
      <c r="HF216" s="7"/>
      <c r="HG216" s="7"/>
      <c r="HH216" s="7"/>
      <c r="HI216" s="7"/>
      <c r="HJ216" s="7"/>
      <c r="HK216" s="7"/>
      <c r="HL216" s="7"/>
      <c r="HM216" s="7"/>
      <c r="HN216" s="7"/>
      <c r="HO216" s="7"/>
      <c r="HP216" s="7"/>
      <c r="HQ216" s="7"/>
      <c r="HR216" s="7"/>
      <c r="HS216" s="7"/>
      <c r="HT216" s="7"/>
      <c r="HU216" s="7"/>
      <c r="HV216" s="7"/>
      <c r="HW216" s="7"/>
      <c r="HX216" s="7"/>
      <c r="HY216" s="7"/>
      <c r="HZ216" s="7"/>
      <c r="IA216" s="7"/>
      <c r="IB216" s="7"/>
      <c r="IC216" s="7"/>
      <c r="ID216" s="7"/>
      <c r="IE216" s="7"/>
      <c r="IF216" s="7"/>
      <c r="IG216" s="7"/>
      <c r="IH216" s="7"/>
      <c r="II216" s="7"/>
      <c r="IJ216" s="7"/>
      <c r="IK216" s="7"/>
      <c r="IL216" s="7"/>
      <c r="IM216" s="7"/>
      <c r="IN216" s="7"/>
      <c r="IO216" s="7"/>
      <c r="IP216" s="7"/>
      <c r="IQ216" s="7"/>
      <c r="IR216" s="7"/>
      <c r="IS216" s="7"/>
      <c r="IT216" s="7"/>
      <c r="IU216" s="7"/>
      <c r="IV216" s="7"/>
      <c r="IW216" s="7"/>
      <c r="IX216" s="7"/>
      <c r="JA216" s="113"/>
      <c r="JB216" s="113"/>
      <c r="JC216" s="113"/>
      <c r="JD216" s="66">
        <f>SUM((TEXT(JA216,"[M]")/60)*'Income Person-hours'!$D$3,(TEXT(JB216,"[M]")/60)*'Income Person-hours'!$D$4,(TEXT(JC216,"[M]")/60)*'Income Person-hours'!$D$5)</f>
        <v>0</v>
      </c>
    </row>
    <row r="217" spans="1:264" s="11" customFormat="1" ht="11.25" hidden="1">
      <c r="A217" s="30">
        <v>9.1300000000000008</v>
      </c>
      <c r="B217" s="116"/>
      <c r="C217" s="107"/>
      <c r="D217" s="12" t="str">
        <f>IF(OR(j_WEEKDAY(J_ADDDAY(VLOOKUP(I217,A:F,6,FALSE),H217,1),0)=6,SUMIFS(Holieday[ok],Holieday[date],J_ADDDAY(VLOOKUP(I217,A:F,6,FALSE),H217,1)))=FALSE(),J_ADDDAY(VLOOKUP(I217,A:F,6,FALSE),H217,1),IF(OR(j_WEEKDAY(J_ADDDAY(VLOOKUP(I217,A:F,6,FALSE),H217+1,1),0)=6,SUMIFS(Holieday[ok],Holieday[date],J_ADDDAY(VLOOKUP(I217,A:F,6,FALSE),H217+1,1)))=FALSE(),J_ADDDAY(VLOOKUP(I217,A:F,6,FALSE),H217+1,1),IF(OR(j_WEEKDAY(J_ADDDAY(VLOOKUP(I217,A:F,6,FALSE),H217+2,1),0)=6,SUMIFS(Holieday[ok],Holieday[date],J_ADDDAY(VLOOKUP(I217,A:F,6,FALSE),H217+2,1)))=FALSE(),J_ADDDAY(VLOOKUP(I217,A:F,6,FALSE),H217+2,1),IF(OR(j_WEEKDAY(J_ADDDAY(VLOOKUP(I217,A:F,6,FALSE),H217+3,1),0)=6,SUMIFS(Holieday[ok],Holieday[date],J_ADDDAY(VLOOKUP(I217,A:F,6,FALSE),H217+3,1)))=FALSE(),J_ADDDAY(VLOOKUP(I217,A:F,6,FALSE),H217+3,1),IF(OR(j_WEEKDAY(J_ADDDAY(VLOOKUP(I217,A:F,6,FALSE),H217+4,1),0)=6,SUMIFS(Holieday[ok],Holieday[date],J_ADDDAY(VLOOKUP(I217,A:F,6,FALSE),H217+4,1)))=FALSE(),J_ADDDAY(VLOOKUP(I217,A:F,6,FALSE),H217+4,1),J_ADDDAY(VLOOKUP(I217,A:F,6,FALSE),H217+5,1))))))</f>
        <v>1398/06/31</v>
      </c>
      <c r="E217" s="1">
        <f t="shared" si="64"/>
        <v>13980631</v>
      </c>
      <c r="F217" s="12" t="str">
        <f>IF(N217=0,J_SUBDAY(D217,1,1),IF((N217-NETWORKDAYS.INTL(J_GregorianDate(D217,1),J_GregorianDate(J_SUBDAY(J_ADDDAY(D217,N217,1),1,1),1),16,1)-SUMIFS(Holieday[ok],Holieday[date],CONCATENATE("&gt;","=",D217),Holieday[date],CONCATENATE("&lt;","=",J_SUBDAY(J_ADDDAY(D217,N217,1),1,1)))+SUMIFS(Holieday[Friday],Holieday[date],CONCATENATE("&gt;","=",D217),Holieday[date],CONCATENATE("&lt;","=",J_SUBDAY(J_ADDDAY(D217,N217,1),1,1))))=0,J_SUBDAY(J_ADDDAY(D217,N217,1),1,1),IF((N217-NETWORKDAYS.INTL(J_GregorianDate(D217,1),J_GregorianDate(J_SUBDAY(J_ADDDAY(D217,N217,1),1,1),1),16,1)-SUMIFS(Holieday[ok],Holieday[date],CONCATENATE("&gt;","=",D217),Holieday[date],CONCATENATE("&lt;","=",J_SUBDAY(J_ADDDAY(D217,N217,1),1,1)))+SUMIFS(Holieday[Friday],Holieday[date],CONCATENATE("&gt;","=",D217),Holieday[date],CONCATENATE("&lt;","=",J_SUBDAY(J_ADDDAY(D217,N217,1),1,1))))=1,J_SUBDAY(J_ADDDAY(D217,N217+1,1),1,1),IF((N217-NETWORKDAYS.INTL(J_GregorianDate(D217,1),J_GregorianDate(J_SUBDAY(J_ADDDAY(D217,N217,1),1,1),1),16,1)-SUMIFS(Holieday[ok],Holieday[date],CONCATENATE("&gt;","=",D217),Holieday[date],CONCATENATE("&lt;","=",J_SUBDAY(J_ADDDAY(D217,N217,1),1,1)))+SUMIFS(Holieday[Friday],Holieday[date],CONCATENATE("&gt;","=",D217),Holieday[date],CONCATENATE("&lt;","=",J_SUBDAY(J_ADDDAY(D217,N217,1),1,1))))=2,J_SUBDAY(J_ADDDAY(D217,N217+2,1),1,1),J_SUBDAY(J_ADDDAY(D217,N217+3,1),1,1)))))</f>
        <v>1398/06/30</v>
      </c>
      <c r="G217" s="2">
        <f t="shared" si="65"/>
        <v>13980630</v>
      </c>
      <c r="H217" s="109"/>
      <c r="I217" s="110">
        <v>1.1000000000000001</v>
      </c>
      <c r="J217" s="9">
        <f>j_WEEKDAY(D217,2)</f>
        <v>1</v>
      </c>
      <c r="K217" s="21">
        <f t="shared" si="69"/>
        <v>0</v>
      </c>
      <c r="L217" s="8">
        <f t="shared" si="68"/>
        <v>0</v>
      </c>
      <c r="M217" s="111">
        <v>0</v>
      </c>
      <c r="N217" s="108">
        <v>0</v>
      </c>
      <c r="O217" s="10">
        <f t="shared" si="66"/>
        <v>0</v>
      </c>
      <c r="P217" s="10">
        <f>VALUE(J_normdate(J_ADDDAY($D217,$O217,1)))</f>
        <v>13980631</v>
      </c>
      <c r="Q217" s="9">
        <f t="shared" si="67"/>
        <v>0</v>
      </c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7"/>
      <c r="BV217" s="7"/>
      <c r="BW217" s="7"/>
      <c r="BX217" s="7"/>
      <c r="BY217" s="7"/>
      <c r="BZ217" s="7"/>
      <c r="CA217" s="7"/>
      <c r="CB217" s="7"/>
      <c r="CC217" s="7"/>
      <c r="CD217" s="7"/>
      <c r="CE217" s="7"/>
      <c r="CF217" s="7"/>
      <c r="CG217" s="7"/>
      <c r="CH217" s="7"/>
      <c r="CI217" s="7"/>
      <c r="CJ217" s="7"/>
      <c r="CK217" s="7"/>
      <c r="CL217" s="7"/>
      <c r="CM217" s="7"/>
      <c r="CN217" s="7"/>
      <c r="CO217" s="7"/>
      <c r="CP217" s="7"/>
      <c r="CQ217" s="7"/>
      <c r="CR217" s="7"/>
      <c r="CS217" s="7"/>
      <c r="CT217" s="7"/>
      <c r="CU217" s="7"/>
      <c r="CV217" s="7"/>
      <c r="CW217" s="7"/>
      <c r="CX217" s="7"/>
      <c r="CY217" s="7"/>
      <c r="CZ217" s="7"/>
      <c r="DA217" s="7"/>
      <c r="DB217" s="7"/>
      <c r="DC217" s="7"/>
      <c r="DD217" s="7"/>
      <c r="DE217" s="7"/>
      <c r="DF217" s="7"/>
      <c r="DG217" s="7"/>
      <c r="DH217" s="7"/>
      <c r="DI217" s="7"/>
      <c r="DJ217" s="7"/>
      <c r="DK217" s="7"/>
      <c r="DL217" s="7"/>
      <c r="DM217" s="7"/>
      <c r="DN217" s="7"/>
      <c r="DO217" s="7"/>
      <c r="DP217" s="7"/>
      <c r="DQ217" s="7"/>
      <c r="DR217" s="7"/>
      <c r="DS217" s="7"/>
      <c r="DT217" s="7"/>
      <c r="DU217" s="7"/>
      <c r="DV217" s="7"/>
      <c r="DW217" s="7"/>
      <c r="DX217" s="7"/>
      <c r="DY217" s="7"/>
      <c r="DZ217" s="7"/>
      <c r="EA217" s="7"/>
      <c r="EB217" s="7"/>
      <c r="EC217" s="7"/>
      <c r="ED217" s="7"/>
      <c r="EE217" s="7"/>
      <c r="EF217" s="7"/>
      <c r="EG217" s="7"/>
      <c r="EH217" s="7"/>
      <c r="EI217" s="7"/>
      <c r="EJ217" s="7"/>
      <c r="EK217" s="7"/>
      <c r="EL217" s="7"/>
      <c r="EM217" s="7"/>
      <c r="EN217" s="7"/>
      <c r="EO217" s="7"/>
      <c r="EP217" s="7"/>
      <c r="EQ217" s="7"/>
      <c r="ER217" s="7"/>
      <c r="ES217" s="7"/>
      <c r="ET217" s="7"/>
      <c r="EU217" s="7"/>
      <c r="EV217" s="7"/>
      <c r="EW217" s="7"/>
      <c r="EX217" s="7"/>
      <c r="EY217" s="7"/>
      <c r="EZ217" s="7"/>
      <c r="FA217" s="7"/>
      <c r="FB217" s="7"/>
      <c r="FC217" s="7"/>
      <c r="FD217" s="7"/>
      <c r="FE217" s="7"/>
      <c r="FF217" s="7"/>
      <c r="FG217" s="7"/>
      <c r="FH217" s="7"/>
      <c r="FI217" s="7"/>
      <c r="FJ217" s="7"/>
      <c r="FK217" s="7"/>
      <c r="FL217" s="7"/>
      <c r="FM217" s="7"/>
      <c r="FN217" s="7"/>
      <c r="FO217" s="7"/>
      <c r="FP217" s="7"/>
      <c r="FQ217" s="7"/>
      <c r="FR217" s="7"/>
      <c r="FS217" s="7"/>
      <c r="FT217" s="7"/>
      <c r="FU217" s="7"/>
      <c r="FV217" s="7"/>
      <c r="FW217" s="7"/>
      <c r="FX217" s="7"/>
      <c r="FY217" s="7"/>
      <c r="FZ217" s="7"/>
      <c r="GA217" s="7"/>
      <c r="GB217" s="7"/>
      <c r="GC217" s="7"/>
      <c r="GD217" s="7"/>
      <c r="GE217" s="7"/>
      <c r="GF217" s="7"/>
      <c r="GG217" s="7"/>
      <c r="GH217" s="7"/>
      <c r="GI217" s="7"/>
      <c r="GJ217" s="7"/>
      <c r="GK217" s="7"/>
      <c r="GL217" s="7"/>
      <c r="GM217" s="7"/>
      <c r="GN217" s="7"/>
      <c r="GO217" s="7"/>
      <c r="GP217" s="7"/>
      <c r="GQ217" s="7"/>
      <c r="GR217" s="7"/>
      <c r="GS217" s="7"/>
      <c r="GT217" s="7"/>
      <c r="GU217" s="7"/>
      <c r="GV217" s="7"/>
      <c r="GW217" s="7"/>
      <c r="GX217" s="7"/>
      <c r="GY217" s="7"/>
      <c r="GZ217" s="7"/>
      <c r="HA217" s="7"/>
      <c r="HB217" s="7"/>
      <c r="HC217" s="7"/>
      <c r="HD217" s="7"/>
      <c r="HE217" s="7"/>
      <c r="HF217" s="7"/>
      <c r="HG217" s="7"/>
      <c r="HH217" s="7"/>
      <c r="HI217" s="7"/>
      <c r="HJ217" s="7"/>
      <c r="HK217" s="7"/>
      <c r="HL217" s="7"/>
      <c r="HM217" s="7"/>
      <c r="HN217" s="7"/>
      <c r="HO217" s="7"/>
      <c r="HP217" s="7"/>
      <c r="HQ217" s="7"/>
      <c r="HR217" s="7"/>
      <c r="HS217" s="7"/>
      <c r="HT217" s="7"/>
      <c r="HU217" s="7"/>
      <c r="HV217" s="7"/>
      <c r="HW217" s="7"/>
      <c r="HX217" s="7"/>
      <c r="HY217" s="7"/>
      <c r="HZ217" s="7"/>
      <c r="IA217" s="7"/>
      <c r="IB217" s="7"/>
      <c r="IC217" s="7"/>
      <c r="ID217" s="7"/>
      <c r="IE217" s="7"/>
      <c r="IF217" s="7"/>
      <c r="IG217" s="7"/>
      <c r="IH217" s="7"/>
      <c r="II217" s="7"/>
      <c r="IJ217" s="7"/>
      <c r="IK217" s="7"/>
      <c r="IL217" s="7"/>
      <c r="IM217" s="7"/>
      <c r="IN217" s="7"/>
      <c r="IO217" s="7"/>
      <c r="IP217" s="7"/>
      <c r="IQ217" s="7"/>
      <c r="IR217" s="7"/>
      <c r="IS217" s="7"/>
      <c r="IT217" s="7"/>
      <c r="IU217" s="7"/>
      <c r="IV217" s="7"/>
      <c r="IW217" s="7"/>
      <c r="IX217" s="7"/>
      <c r="JA217" s="113"/>
      <c r="JB217" s="113"/>
      <c r="JC217" s="113"/>
      <c r="JD217" s="66">
        <f>SUM((TEXT(JA217,"[M]")/60)*'Income Person-hours'!$D$3,(TEXT(JB217,"[M]")/60)*'Income Person-hours'!$D$4,(TEXT(JC217,"[M]")/60)*'Income Person-hours'!$D$5)</f>
        <v>0</v>
      </c>
    </row>
    <row r="218" spans="1:264" s="11" customFormat="1" ht="11.25" hidden="1">
      <c r="A218" s="30">
        <v>9.14</v>
      </c>
      <c r="B218" s="116"/>
      <c r="C218" s="107"/>
      <c r="D218" s="12" t="str">
        <f>IF(OR(j_WEEKDAY(J_ADDDAY(VLOOKUP(I218,A:F,6,FALSE),H218,1),0)=6,SUMIFS(Holieday[ok],Holieday[date],J_ADDDAY(VLOOKUP(I218,A:F,6,FALSE),H218,1)))=FALSE(),J_ADDDAY(VLOOKUP(I218,A:F,6,FALSE),H218,1),IF(OR(j_WEEKDAY(J_ADDDAY(VLOOKUP(I218,A:F,6,FALSE),H218+1,1),0)=6,SUMIFS(Holieday[ok],Holieday[date],J_ADDDAY(VLOOKUP(I218,A:F,6,FALSE),H218+1,1)))=FALSE(),J_ADDDAY(VLOOKUP(I218,A:F,6,FALSE),H218+1,1),IF(OR(j_WEEKDAY(J_ADDDAY(VLOOKUP(I218,A:F,6,FALSE),H218+2,1),0)=6,SUMIFS(Holieday[ok],Holieday[date],J_ADDDAY(VLOOKUP(I218,A:F,6,FALSE),H218+2,1)))=FALSE(),J_ADDDAY(VLOOKUP(I218,A:F,6,FALSE),H218+2,1),IF(OR(j_WEEKDAY(J_ADDDAY(VLOOKUP(I218,A:F,6,FALSE),H218+3,1),0)=6,SUMIFS(Holieday[ok],Holieday[date],J_ADDDAY(VLOOKUP(I218,A:F,6,FALSE),H218+3,1)))=FALSE(),J_ADDDAY(VLOOKUP(I218,A:F,6,FALSE),H218+3,1),IF(OR(j_WEEKDAY(J_ADDDAY(VLOOKUP(I218,A:F,6,FALSE),H218+4,1),0)=6,SUMIFS(Holieday[ok],Holieday[date],J_ADDDAY(VLOOKUP(I218,A:F,6,FALSE),H218+4,1)))=FALSE(),J_ADDDAY(VLOOKUP(I218,A:F,6,FALSE),H218+4,1),J_ADDDAY(VLOOKUP(I218,A:F,6,FALSE),H218+5,1))))))</f>
        <v>1398/06/31</v>
      </c>
      <c r="E218" s="1">
        <f t="shared" si="64"/>
        <v>13980631</v>
      </c>
      <c r="F218" s="12" t="str">
        <f>IF(N218=0,J_SUBDAY(D218,1,1),IF((N218-NETWORKDAYS.INTL(J_GregorianDate(D218,1),J_GregorianDate(J_SUBDAY(J_ADDDAY(D218,N218,1),1,1),1),16,1)-SUMIFS(Holieday[ok],Holieday[date],CONCATENATE("&gt;","=",D218),Holieday[date],CONCATENATE("&lt;","=",J_SUBDAY(J_ADDDAY(D218,N218,1),1,1)))+SUMIFS(Holieday[Friday],Holieday[date],CONCATENATE("&gt;","=",D218),Holieday[date],CONCATENATE("&lt;","=",J_SUBDAY(J_ADDDAY(D218,N218,1),1,1))))=0,J_SUBDAY(J_ADDDAY(D218,N218,1),1,1),IF((N218-NETWORKDAYS.INTL(J_GregorianDate(D218,1),J_GregorianDate(J_SUBDAY(J_ADDDAY(D218,N218,1),1,1),1),16,1)-SUMIFS(Holieday[ok],Holieday[date],CONCATENATE("&gt;","=",D218),Holieday[date],CONCATENATE("&lt;","=",J_SUBDAY(J_ADDDAY(D218,N218,1),1,1)))+SUMIFS(Holieday[Friday],Holieday[date],CONCATENATE("&gt;","=",D218),Holieday[date],CONCATENATE("&lt;","=",J_SUBDAY(J_ADDDAY(D218,N218,1),1,1))))=1,J_SUBDAY(J_ADDDAY(D218,N218+1,1),1,1),IF((N218-NETWORKDAYS.INTL(J_GregorianDate(D218,1),J_GregorianDate(J_SUBDAY(J_ADDDAY(D218,N218,1),1,1),1),16,1)-SUMIFS(Holieday[ok],Holieday[date],CONCATENATE("&gt;","=",D218),Holieday[date],CONCATENATE("&lt;","=",J_SUBDAY(J_ADDDAY(D218,N218,1),1,1)))+SUMIFS(Holieday[Friday],Holieday[date],CONCATENATE("&gt;","=",D218),Holieday[date],CONCATENATE("&lt;","=",J_SUBDAY(J_ADDDAY(D218,N218,1),1,1))))=2,J_SUBDAY(J_ADDDAY(D218,N218+2,1),1,1),J_SUBDAY(J_ADDDAY(D218,N218+3,1),1,1)))))</f>
        <v>1398/06/30</v>
      </c>
      <c r="G218" s="2">
        <f t="shared" si="65"/>
        <v>13980630</v>
      </c>
      <c r="H218" s="109"/>
      <c r="I218" s="110">
        <v>1.1000000000000001</v>
      </c>
      <c r="J218" s="9">
        <f>j_WEEKDAY(D218,2)</f>
        <v>1</v>
      </c>
      <c r="K218" s="21">
        <f t="shared" si="69"/>
        <v>0</v>
      </c>
      <c r="L218" s="8">
        <f t="shared" si="68"/>
        <v>0</v>
      </c>
      <c r="M218" s="111">
        <v>0</v>
      </c>
      <c r="N218" s="108">
        <v>0</v>
      </c>
      <c r="O218" s="10">
        <f t="shared" si="66"/>
        <v>0</v>
      </c>
      <c r="P218" s="10">
        <f>VALUE(J_normdate(J_ADDDAY($D218,$O218,1)))</f>
        <v>13980631</v>
      </c>
      <c r="Q218" s="9">
        <f t="shared" si="67"/>
        <v>0</v>
      </c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BS218" s="7"/>
      <c r="BT218" s="7"/>
      <c r="BU218" s="7"/>
      <c r="BV218" s="7"/>
      <c r="BW218" s="7"/>
      <c r="BX218" s="7"/>
      <c r="BY218" s="7"/>
      <c r="BZ218" s="7"/>
      <c r="CA218" s="7"/>
      <c r="CB218" s="7"/>
      <c r="CC218" s="7"/>
      <c r="CD218" s="7"/>
      <c r="CE218" s="7"/>
      <c r="CF218" s="7"/>
      <c r="CG218" s="7"/>
      <c r="CH218" s="7"/>
      <c r="CI218" s="7"/>
      <c r="CJ218" s="7"/>
      <c r="CK218" s="7"/>
      <c r="CL218" s="7"/>
      <c r="CM218" s="7"/>
      <c r="CN218" s="7"/>
      <c r="CO218" s="7"/>
      <c r="CP218" s="7"/>
      <c r="CQ218" s="7"/>
      <c r="CR218" s="7"/>
      <c r="CS218" s="7"/>
      <c r="CT218" s="7"/>
      <c r="CU218" s="7"/>
      <c r="CV218" s="7"/>
      <c r="CW218" s="7"/>
      <c r="CX218" s="7"/>
      <c r="CY218" s="7"/>
      <c r="CZ218" s="7"/>
      <c r="DA218" s="7"/>
      <c r="DB218" s="7"/>
      <c r="DC218" s="7"/>
      <c r="DD218" s="7"/>
      <c r="DE218" s="7"/>
      <c r="DF218" s="7"/>
      <c r="DG218" s="7"/>
      <c r="DH218" s="7"/>
      <c r="DI218" s="7"/>
      <c r="DJ218" s="7"/>
      <c r="DK218" s="7"/>
      <c r="DL218" s="7"/>
      <c r="DM218" s="7"/>
      <c r="DN218" s="7"/>
      <c r="DO218" s="7"/>
      <c r="DP218" s="7"/>
      <c r="DQ218" s="7"/>
      <c r="DR218" s="7"/>
      <c r="DS218" s="7"/>
      <c r="DT218" s="7"/>
      <c r="DU218" s="7"/>
      <c r="DV218" s="7"/>
      <c r="DW218" s="7"/>
      <c r="DX218" s="7"/>
      <c r="DY218" s="7"/>
      <c r="DZ218" s="7"/>
      <c r="EA218" s="7"/>
      <c r="EB218" s="7"/>
      <c r="EC218" s="7"/>
      <c r="ED218" s="7"/>
      <c r="EE218" s="7"/>
      <c r="EF218" s="7"/>
      <c r="EG218" s="7"/>
      <c r="EH218" s="7"/>
      <c r="EI218" s="7"/>
      <c r="EJ218" s="7"/>
      <c r="EK218" s="7"/>
      <c r="EL218" s="7"/>
      <c r="EM218" s="7"/>
      <c r="EN218" s="7"/>
      <c r="EO218" s="7"/>
      <c r="EP218" s="7"/>
      <c r="EQ218" s="7"/>
      <c r="ER218" s="7"/>
      <c r="ES218" s="7"/>
      <c r="ET218" s="7"/>
      <c r="EU218" s="7"/>
      <c r="EV218" s="7"/>
      <c r="EW218" s="7"/>
      <c r="EX218" s="7"/>
      <c r="EY218" s="7"/>
      <c r="EZ218" s="7"/>
      <c r="FA218" s="7"/>
      <c r="FB218" s="7"/>
      <c r="FC218" s="7"/>
      <c r="FD218" s="7"/>
      <c r="FE218" s="7"/>
      <c r="FF218" s="7"/>
      <c r="FG218" s="7"/>
      <c r="FH218" s="7"/>
      <c r="FI218" s="7"/>
      <c r="FJ218" s="7"/>
      <c r="FK218" s="7"/>
      <c r="FL218" s="7"/>
      <c r="FM218" s="7"/>
      <c r="FN218" s="7"/>
      <c r="FO218" s="7"/>
      <c r="FP218" s="7"/>
      <c r="FQ218" s="7"/>
      <c r="FR218" s="7"/>
      <c r="FS218" s="7"/>
      <c r="FT218" s="7"/>
      <c r="FU218" s="7"/>
      <c r="FV218" s="7"/>
      <c r="FW218" s="7"/>
      <c r="FX218" s="7"/>
      <c r="FY218" s="7"/>
      <c r="FZ218" s="7"/>
      <c r="GA218" s="7"/>
      <c r="GB218" s="7"/>
      <c r="GC218" s="7"/>
      <c r="GD218" s="7"/>
      <c r="GE218" s="7"/>
      <c r="GF218" s="7"/>
      <c r="GG218" s="7"/>
      <c r="GH218" s="7"/>
      <c r="GI218" s="7"/>
      <c r="GJ218" s="7"/>
      <c r="GK218" s="7"/>
      <c r="GL218" s="7"/>
      <c r="GM218" s="7"/>
      <c r="GN218" s="7"/>
      <c r="GO218" s="7"/>
      <c r="GP218" s="7"/>
      <c r="GQ218" s="7"/>
      <c r="GR218" s="7"/>
      <c r="GS218" s="7"/>
      <c r="GT218" s="7"/>
      <c r="GU218" s="7"/>
      <c r="GV218" s="7"/>
      <c r="GW218" s="7"/>
      <c r="GX218" s="7"/>
      <c r="GY218" s="7"/>
      <c r="GZ218" s="7"/>
      <c r="HA218" s="7"/>
      <c r="HB218" s="7"/>
      <c r="HC218" s="7"/>
      <c r="HD218" s="7"/>
      <c r="HE218" s="7"/>
      <c r="HF218" s="7"/>
      <c r="HG218" s="7"/>
      <c r="HH218" s="7"/>
      <c r="HI218" s="7"/>
      <c r="HJ218" s="7"/>
      <c r="HK218" s="7"/>
      <c r="HL218" s="7"/>
      <c r="HM218" s="7"/>
      <c r="HN218" s="7"/>
      <c r="HO218" s="7"/>
      <c r="HP218" s="7"/>
      <c r="HQ218" s="7"/>
      <c r="HR218" s="7"/>
      <c r="HS218" s="7"/>
      <c r="HT218" s="7"/>
      <c r="HU218" s="7"/>
      <c r="HV218" s="7"/>
      <c r="HW218" s="7"/>
      <c r="HX218" s="7"/>
      <c r="HY218" s="7"/>
      <c r="HZ218" s="7"/>
      <c r="IA218" s="7"/>
      <c r="IB218" s="7"/>
      <c r="IC218" s="7"/>
      <c r="ID218" s="7"/>
      <c r="IE218" s="7"/>
      <c r="IF218" s="7"/>
      <c r="IG218" s="7"/>
      <c r="IH218" s="7"/>
      <c r="II218" s="7"/>
      <c r="IJ218" s="7"/>
      <c r="IK218" s="7"/>
      <c r="IL218" s="7"/>
      <c r="IM218" s="7"/>
      <c r="IN218" s="7"/>
      <c r="IO218" s="7"/>
      <c r="IP218" s="7"/>
      <c r="IQ218" s="7"/>
      <c r="IR218" s="7"/>
      <c r="IS218" s="7"/>
      <c r="IT218" s="7"/>
      <c r="IU218" s="7"/>
      <c r="IV218" s="7"/>
      <c r="IW218" s="7"/>
      <c r="IX218" s="7"/>
      <c r="JA218" s="113"/>
      <c r="JB218" s="113"/>
      <c r="JC218" s="113"/>
      <c r="JD218" s="66">
        <f>SUM((TEXT(JA218,"[M]")/60)*'Income Person-hours'!$D$3,(TEXT(JB218,"[M]")/60)*'Income Person-hours'!$D$4,(TEXT(JC218,"[M]")/60)*'Income Person-hours'!$D$5)</f>
        <v>0</v>
      </c>
    </row>
    <row r="219" spans="1:264" s="11" customFormat="1" ht="11.25" hidden="1">
      <c r="A219" s="30">
        <v>9.15</v>
      </c>
      <c r="B219" s="116"/>
      <c r="C219" s="107"/>
      <c r="D219" s="12" t="str">
        <f>IF(OR(j_WEEKDAY(J_ADDDAY(VLOOKUP(I219,A:F,6,FALSE),H219,1),0)=6,SUMIFS(Holieday[ok],Holieday[date],J_ADDDAY(VLOOKUP(I219,A:F,6,FALSE),H219,1)))=FALSE(),J_ADDDAY(VLOOKUP(I219,A:F,6,FALSE),H219,1),IF(OR(j_WEEKDAY(J_ADDDAY(VLOOKUP(I219,A:F,6,FALSE),H219+1,1),0)=6,SUMIFS(Holieday[ok],Holieday[date],J_ADDDAY(VLOOKUP(I219,A:F,6,FALSE),H219+1,1)))=FALSE(),J_ADDDAY(VLOOKUP(I219,A:F,6,FALSE),H219+1,1),IF(OR(j_WEEKDAY(J_ADDDAY(VLOOKUP(I219,A:F,6,FALSE),H219+2,1),0)=6,SUMIFS(Holieday[ok],Holieday[date],J_ADDDAY(VLOOKUP(I219,A:F,6,FALSE),H219+2,1)))=FALSE(),J_ADDDAY(VLOOKUP(I219,A:F,6,FALSE),H219+2,1),IF(OR(j_WEEKDAY(J_ADDDAY(VLOOKUP(I219,A:F,6,FALSE),H219+3,1),0)=6,SUMIFS(Holieday[ok],Holieday[date],J_ADDDAY(VLOOKUP(I219,A:F,6,FALSE),H219+3,1)))=FALSE(),J_ADDDAY(VLOOKUP(I219,A:F,6,FALSE),H219+3,1),IF(OR(j_WEEKDAY(J_ADDDAY(VLOOKUP(I219,A:F,6,FALSE),H219+4,1),0)=6,SUMIFS(Holieday[ok],Holieday[date],J_ADDDAY(VLOOKUP(I219,A:F,6,FALSE),H219+4,1)))=FALSE(),J_ADDDAY(VLOOKUP(I219,A:F,6,FALSE),H219+4,1),J_ADDDAY(VLOOKUP(I219,A:F,6,FALSE),H219+5,1))))))</f>
        <v>1398/06/31</v>
      </c>
      <c r="E219" s="1">
        <f t="shared" si="64"/>
        <v>13980631</v>
      </c>
      <c r="F219" s="12" t="str">
        <f>IF(N219=0,J_SUBDAY(D219,1,1),IF((N219-NETWORKDAYS.INTL(J_GregorianDate(D219,1),J_GregorianDate(J_SUBDAY(J_ADDDAY(D219,N219,1),1,1),1),16,1)-SUMIFS(Holieday[ok],Holieday[date],CONCATENATE("&gt;","=",D219),Holieday[date],CONCATENATE("&lt;","=",J_SUBDAY(J_ADDDAY(D219,N219,1),1,1)))+SUMIFS(Holieday[Friday],Holieday[date],CONCATENATE("&gt;","=",D219),Holieday[date],CONCATENATE("&lt;","=",J_SUBDAY(J_ADDDAY(D219,N219,1),1,1))))=0,J_SUBDAY(J_ADDDAY(D219,N219,1),1,1),IF((N219-NETWORKDAYS.INTL(J_GregorianDate(D219,1),J_GregorianDate(J_SUBDAY(J_ADDDAY(D219,N219,1),1,1),1),16,1)-SUMIFS(Holieday[ok],Holieday[date],CONCATENATE("&gt;","=",D219),Holieday[date],CONCATENATE("&lt;","=",J_SUBDAY(J_ADDDAY(D219,N219,1),1,1)))+SUMIFS(Holieday[Friday],Holieday[date],CONCATENATE("&gt;","=",D219),Holieday[date],CONCATENATE("&lt;","=",J_SUBDAY(J_ADDDAY(D219,N219,1),1,1))))=1,J_SUBDAY(J_ADDDAY(D219,N219+1,1),1,1),IF((N219-NETWORKDAYS.INTL(J_GregorianDate(D219,1),J_GregorianDate(J_SUBDAY(J_ADDDAY(D219,N219,1),1,1),1),16,1)-SUMIFS(Holieday[ok],Holieday[date],CONCATENATE("&gt;","=",D219),Holieday[date],CONCATENATE("&lt;","=",J_SUBDAY(J_ADDDAY(D219,N219,1),1,1)))+SUMIFS(Holieday[Friday],Holieday[date],CONCATENATE("&gt;","=",D219),Holieday[date],CONCATENATE("&lt;","=",J_SUBDAY(J_ADDDAY(D219,N219,1),1,1))))=2,J_SUBDAY(J_ADDDAY(D219,N219+2,1),1,1),J_SUBDAY(J_ADDDAY(D219,N219+3,1),1,1)))))</f>
        <v>1398/06/30</v>
      </c>
      <c r="G219" s="2">
        <f t="shared" si="65"/>
        <v>13980630</v>
      </c>
      <c r="H219" s="109"/>
      <c r="I219" s="110">
        <v>1.1000000000000001</v>
      </c>
      <c r="J219" s="9">
        <f>j_WEEKDAY(D219,2)</f>
        <v>1</v>
      </c>
      <c r="K219" s="21">
        <f t="shared" si="69"/>
        <v>0</v>
      </c>
      <c r="L219" s="8">
        <f t="shared" si="68"/>
        <v>0</v>
      </c>
      <c r="M219" s="111">
        <v>0</v>
      </c>
      <c r="N219" s="108">
        <v>0</v>
      </c>
      <c r="O219" s="10">
        <f t="shared" si="66"/>
        <v>0</v>
      </c>
      <c r="P219" s="10">
        <f>VALUE(J_normdate(J_ADDDAY($D219,$O219,1)))</f>
        <v>13980631</v>
      </c>
      <c r="Q219" s="9">
        <f t="shared" si="67"/>
        <v>0</v>
      </c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BS219" s="7"/>
      <c r="BT219" s="7"/>
      <c r="BU219" s="7"/>
      <c r="BV219" s="7"/>
      <c r="BW219" s="7"/>
      <c r="BX219" s="7"/>
      <c r="BY219" s="7"/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  <c r="CO219" s="7"/>
      <c r="CP219" s="7"/>
      <c r="CQ219" s="7"/>
      <c r="CR219" s="7"/>
      <c r="CS219" s="7"/>
      <c r="CT219" s="7"/>
      <c r="CU219" s="7"/>
      <c r="CV219" s="7"/>
      <c r="CW219" s="7"/>
      <c r="CX219" s="7"/>
      <c r="CY219" s="7"/>
      <c r="CZ219" s="7"/>
      <c r="DA219" s="7"/>
      <c r="DB219" s="7"/>
      <c r="DC219" s="7"/>
      <c r="DD219" s="7"/>
      <c r="DE219" s="7"/>
      <c r="DF219" s="7"/>
      <c r="DG219" s="7"/>
      <c r="DH219" s="7"/>
      <c r="DI219" s="7"/>
      <c r="DJ219" s="7"/>
      <c r="DK219" s="7"/>
      <c r="DL219" s="7"/>
      <c r="DM219" s="7"/>
      <c r="DN219" s="7"/>
      <c r="DO219" s="7"/>
      <c r="DP219" s="7"/>
      <c r="DQ219" s="7"/>
      <c r="DR219" s="7"/>
      <c r="DS219" s="7"/>
      <c r="DT219" s="7"/>
      <c r="DU219" s="7"/>
      <c r="DV219" s="7"/>
      <c r="DW219" s="7"/>
      <c r="DX219" s="7"/>
      <c r="DY219" s="7"/>
      <c r="DZ219" s="7"/>
      <c r="EA219" s="7"/>
      <c r="EB219" s="7"/>
      <c r="EC219" s="7"/>
      <c r="ED219" s="7"/>
      <c r="EE219" s="7"/>
      <c r="EF219" s="7"/>
      <c r="EG219" s="7"/>
      <c r="EH219" s="7"/>
      <c r="EI219" s="7"/>
      <c r="EJ219" s="7"/>
      <c r="EK219" s="7"/>
      <c r="EL219" s="7"/>
      <c r="EM219" s="7"/>
      <c r="EN219" s="7"/>
      <c r="EO219" s="7"/>
      <c r="EP219" s="7"/>
      <c r="EQ219" s="7"/>
      <c r="ER219" s="7"/>
      <c r="ES219" s="7"/>
      <c r="ET219" s="7"/>
      <c r="EU219" s="7"/>
      <c r="EV219" s="7"/>
      <c r="EW219" s="7"/>
      <c r="EX219" s="7"/>
      <c r="EY219" s="7"/>
      <c r="EZ219" s="7"/>
      <c r="FA219" s="7"/>
      <c r="FB219" s="7"/>
      <c r="FC219" s="7"/>
      <c r="FD219" s="7"/>
      <c r="FE219" s="7"/>
      <c r="FF219" s="7"/>
      <c r="FG219" s="7"/>
      <c r="FH219" s="7"/>
      <c r="FI219" s="7"/>
      <c r="FJ219" s="7"/>
      <c r="FK219" s="7"/>
      <c r="FL219" s="7"/>
      <c r="FM219" s="7"/>
      <c r="FN219" s="7"/>
      <c r="FO219" s="7"/>
      <c r="FP219" s="7"/>
      <c r="FQ219" s="7"/>
      <c r="FR219" s="7"/>
      <c r="FS219" s="7"/>
      <c r="FT219" s="7"/>
      <c r="FU219" s="7"/>
      <c r="FV219" s="7"/>
      <c r="FW219" s="7"/>
      <c r="FX219" s="7"/>
      <c r="FY219" s="7"/>
      <c r="FZ219" s="7"/>
      <c r="GA219" s="7"/>
      <c r="GB219" s="7"/>
      <c r="GC219" s="7"/>
      <c r="GD219" s="7"/>
      <c r="GE219" s="7"/>
      <c r="GF219" s="7"/>
      <c r="GG219" s="7"/>
      <c r="GH219" s="7"/>
      <c r="GI219" s="7"/>
      <c r="GJ219" s="7"/>
      <c r="GK219" s="7"/>
      <c r="GL219" s="7"/>
      <c r="GM219" s="7"/>
      <c r="GN219" s="7"/>
      <c r="GO219" s="7"/>
      <c r="GP219" s="7"/>
      <c r="GQ219" s="7"/>
      <c r="GR219" s="7"/>
      <c r="GS219" s="7"/>
      <c r="GT219" s="7"/>
      <c r="GU219" s="7"/>
      <c r="GV219" s="7"/>
      <c r="GW219" s="7"/>
      <c r="GX219" s="7"/>
      <c r="GY219" s="7"/>
      <c r="GZ219" s="7"/>
      <c r="HA219" s="7"/>
      <c r="HB219" s="7"/>
      <c r="HC219" s="7"/>
      <c r="HD219" s="7"/>
      <c r="HE219" s="7"/>
      <c r="HF219" s="7"/>
      <c r="HG219" s="7"/>
      <c r="HH219" s="7"/>
      <c r="HI219" s="7"/>
      <c r="HJ219" s="7"/>
      <c r="HK219" s="7"/>
      <c r="HL219" s="7"/>
      <c r="HM219" s="7"/>
      <c r="HN219" s="7"/>
      <c r="HO219" s="7"/>
      <c r="HP219" s="7"/>
      <c r="HQ219" s="7"/>
      <c r="HR219" s="7"/>
      <c r="HS219" s="7"/>
      <c r="HT219" s="7"/>
      <c r="HU219" s="7"/>
      <c r="HV219" s="7"/>
      <c r="HW219" s="7"/>
      <c r="HX219" s="7"/>
      <c r="HY219" s="7"/>
      <c r="HZ219" s="7"/>
      <c r="IA219" s="7"/>
      <c r="IB219" s="7"/>
      <c r="IC219" s="7"/>
      <c r="ID219" s="7"/>
      <c r="IE219" s="7"/>
      <c r="IF219" s="7"/>
      <c r="IG219" s="7"/>
      <c r="IH219" s="7"/>
      <c r="II219" s="7"/>
      <c r="IJ219" s="7"/>
      <c r="IK219" s="7"/>
      <c r="IL219" s="7"/>
      <c r="IM219" s="7"/>
      <c r="IN219" s="7"/>
      <c r="IO219" s="7"/>
      <c r="IP219" s="7"/>
      <c r="IQ219" s="7"/>
      <c r="IR219" s="7"/>
      <c r="IS219" s="7"/>
      <c r="IT219" s="7"/>
      <c r="IU219" s="7"/>
      <c r="IV219" s="7"/>
      <c r="IW219" s="7"/>
      <c r="IX219" s="7"/>
      <c r="JA219" s="113"/>
      <c r="JB219" s="113"/>
      <c r="JC219" s="113"/>
      <c r="JD219" s="66">
        <f>SUM((TEXT(JA219,"[M]")/60)*'Income Person-hours'!$D$3,(TEXT(JB219,"[M]")/60)*'Income Person-hours'!$D$4,(TEXT(JC219,"[M]")/60)*'Income Person-hours'!$D$5)</f>
        <v>0</v>
      </c>
    </row>
    <row r="220" spans="1:264" s="11" customFormat="1" ht="11.25" hidden="1">
      <c r="A220" s="30">
        <v>9.16</v>
      </c>
      <c r="B220" s="116"/>
      <c r="C220" s="107"/>
      <c r="D220" s="12" t="str">
        <f>IF(OR(j_WEEKDAY(J_ADDDAY(VLOOKUP(I220,A:F,6,FALSE),H220,1),0)=6,SUMIFS(Holieday[ok],Holieday[date],J_ADDDAY(VLOOKUP(I220,A:F,6,FALSE),H220,1)))=FALSE(),J_ADDDAY(VLOOKUP(I220,A:F,6,FALSE),H220,1),IF(OR(j_WEEKDAY(J_ADDDAY(VLOOKUP(I220,A:F,6,FALSE),H220+1,1),0)=6,SUMIFS(Holieday[ok],Holieday[date],J_ADDDAY(VLOOKUP(I220,A:F,6,FALSE),H220+1,1)))=FALSE(),J_ADDDAY(VLOOKUP(I220,A:F,6,FALSE),H220+1,1),IF(OR(j_WEEKDAY(J_ADDDAY(VLOOKUP(I220,A:F,6,FALSE),H220+2,1),0)=6,SUMIFS(Holieday[ok],Holieday[date],J_ADDDAY(VLOOKUP(I220,A:F,6,FALSE),H220+2,1)))=FALSE(),J_ADDDAY(VLOOKUP(I220,A:F,6,FALSE),H220+2,1),IF(OR(j_WEEKDAY(J_ADDDAY(VLOOKUP(I220,A:F,6,FALSE),H220+3,1),0)=6,SUMIFS(Holieday[ok],Holieday[date],J_ADDDAY(VLOOKUP(I220,A:F,6,FALSE),H220+3,1)))=FALSE(),J_ADDDAY(VLOOKUP(I220,A:F,6,FALSE),H220+3,1),IF(OR(j_WEEKDAY(J_ADDDAY(VLOOKUP(I220,A:F,6,FALSE),H220+4,1),0)=6,SUMIFS(Holieday[ok],Holieday[date],J_ADDDAY(VLOOKUP(I220,A:F,6,FALSE),H220+4,1)))=FALSE(),J_ADDDAY(VLOOKUP(I220,A:F,6,FALSE),H220+4,1),J_ADDDAY(VLOOKUP(I220,A:F,6,FALSE),H220+5,1))))))</f>
        <v>1398/06/31</v>
      </c>
      <c r="E220" s="1">
        <f t="shared" si="64"/>
        <v>13980631</v>
      </c>
      <c r="F220" s="12" t="str">
        <f>IF(N220=0,J_SUBDAY(D220,1,1),IF((N220-NETWORKDAYS.INTL(J_GregorianDate(D220,1),J_GregorianDate(J_SUBDAY(J_ADDDAY(D220,N220,1),1,1),1),16,1)-SUMIFS(Holieday[ok],Holieday[date],CONCATENATE("&gt;","=",D220),Holieday[date],CONCATENATE("&lt;","=",J_SUBDAY(J_ADDDAY(D220,N220,1),1,1)))+SUMIFS(Holieday[Friday],Holieday[date],CONCATENATE("&gt;","=",D220),Holieday[date],CONCATENATE("&lt;","=",J_SUBDAY(J_ADDDAY(D220,N220,1),1,1))))=0,J_SUBDAY(J_ADDDAY(D220,N220,1),1,1),IF((N220-NETWORKDAYS.INTL(J_GregorianDate(D220,1),J_GregorianDate(J_SUBDAY(J_ADDDAY(D220,N220,1),1,1),1),16,1)-SUMIFS(Holieday[ok],Holieday[date],CONCATENATE("&gt;","=",D220),Holieday[date],CONCATENATE("&lt;","=",J_SUBDAY(J_ADDDAY(D220,N220,1),1,1)))+SUMIFS(Holieday[Friday],Holieday[date],CONCATENATE("&gt;","=",D220),Holieday[date],CONCATENATE("&lt;","=",J_SUBDAY(J_ADDDAY(D220,N220,1),1,1))))=1,J_SUBDAY(J_ADDDAY(D220,N220+1,1),1,1),IF((N220-NETWORKDAYS.INTL(J_GregorianDate(D220,1),J_GregorianDate(J_SUBDAY(J_ADDDAY(D220,N220,1),1,1),1),16,1)-SUMIFS(Holieday[ok],Holieday[date],CONCATENATE("&gt;","=",D220),Holieday[date],CONCATENATE("&lt;","=",J_SUBDAY(J_ADDDAY(D220,N220,1),1,1)))+SUMIFS(Holieday[Friday],Holieday[date],CONCATENATE("&gt;","=",D220),Holieday[date],CONCATENATE("&lt;","=",J_SUBDAY(J_ADDDAY(D220,N220,1),1,1))))=2,J_SUBDAY(J_ADDDAY(D220,N220+2,1),1,1),J_SUBDAY(J_ADDDAY(D220,N220+3,1),1,1)))))</f>
        <v>1398/06/30</v>
      </c>
      <c r="G220" s="2">
        <f t="shared" si="65"/>
        <v>13980630</v>
      </c>
      <c r="H220" s="109"/>
      <c r="I220" s="110">
        <v>1.1000000000000001</v>
      </c>
      <c r="J220" s="9">
        <f>j_WEEKDAY(D220,2)</f>
        <v>1</v>
      </c>
      <c r="K220" s="21">
        <f t="shared" si="69"/>
        <v>0</v>
      </c>
      <c r="L220" s="8">
        <f t="shared" si="68"/>
        <v>0</v>
      </c>
      <c r="M220" s="111">
        <v>0</v>
      </c>
      <c r="N220" s="108">
        <v>0</v>
      </c>
      <c r="O220" s="10">
        <f t="shared" si="66"/>
        <v>0</v>
      </c>
      <c r="P220" s="10">
        <f>VALUE(J_normdate(J_ADDDAY($D220,$O220,1)))</f>
        <v>13980631</v>
      </c>
      <c r="Q220" s="9">
        <f t="shared" si="67"/>
        <v>0</v>
      </c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BS220" s="7"/>
      <c r="BT220" s="7"/>
      <c r="BU220" s="7"/>
      <c r="BV220" s="7"/>
      <c r="BW220" s="7"/>
      <c r="BX220" s="7"/>
      <c r="BY220" s="7"/>
      <c r="BZ220" s="7"/>
      <c r="CA220" s="7"/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  <c r="CM220" s="7"/>
      <c r="CN220" s="7"/>
      <c r="CO220" s="7"/>
      <c r="CP220" s="7"/>
      <c r="CQ220" s="7"/>
      <c r="CR220" s="7"/>
      <c r="CS220" s="7"/>
      <c r="CT220" s="7"/>
      <c r="CU220" s="7"/>
      <c r="CV220" s="7"/>
      <c r="CW220" s="7"/>
      <c r="CX220" s="7"/>
      <c r="CY220" s="7"/>
      <c r="CZ220" s="7"/>
      <c r="DA220" s="7"/>
      <c r="DB220" s="7"/>
      <c r="DC220" s="7"/>
      <c r="DD220" s="7"/>
      <c r="DE220" s="7"/>
      <c r="DF220" s="7"/>
      <c r="DG220" s="7"/>
      <c r="DH220" s="7"/>
      <c r="DI220" s="7"/>
      <c r="DJ220" s="7"/>
      <c r="DK220" s="7"/>
      <c r="DL220" s="7"/>
      <c r="DM220" s="7"/>
      <c r="DN220" s="7"/>
      <c r="DO220" s="7"/>
      <c r="DP220" s="7"/>
      <c r="DQ220" s="7"/>
      <c r="DR220" s="7"/>
      <c r="DS220" s="7"/>
      <c r="DT220" s="7"/>
      <c r="DU220" s="7"/>
      <c r="DV220" s="7"/>
      <c r="DW220" s="7"/>
      <c r="DX220" s="7"/>
      <c r="DY220" s="7"/>
      <c r="DZ220" s="7"/>
      <c r="EA220" s="7"/>
      <c r="EB220" s="7"/>
      <c r="EC220" s="7"/>
      <c r="ED220" s="7"/>
      <c r="EE220" s="7"/>
      <c r="EF220" s="7"/>
      <c r="EG220" s="7"/>
      <c r="EH220" s="7"/>
      <c r="EI220" s="7"/>
      <c r="EJ220" s="7"/>
      <c r="EK220" s="7"/>
      <c r="EL220" s="7"/>
      <c r="EM220" s="7"/>
      <c r="EN220" s="7"/>
      <c r="EO220" s="7"/>
      <c r="EP220" s="7"/>
      <c r="EQ220" s="7"/>
      <c r="ER220" s="7"/>
      <c r="ES220" s="7"/>
      <c r="ET220" s="7"/>
      <c r="EU220" s="7"/>
      <c r="EV220" s="7"/>
      <c r="EW220" s="7"/>
      <c r="EX220" s="7"/>
      <c r="EY220" s="7"/>
      <c r="EZ220" s="7"/>
      <c r="FA220" s="7"/>
      <c r="FB220" s="7"/>
      <c r="FC220" s="7"/>
      <c r="FD220" s="7"/>
      <c r="FE220" s="7"/>
      <c r="FF220" s="7"/>
      <c r="FG220" s="7"/>
      <c r="FH220" s="7"/>
      <c r="FI220" s="7"/>
      <c r="FJ220" s="7"/>
      <c r="FK220" s="7"/>
      <c r="FL220" s="7"/>
      <c r="FM220" s="7"/>
      <c r="FN220" s="7"/>
      <c r="FO220" s="7"/>
      <c r="FP220" s="7"/>
      <c r="FQ220" s="7"/>
      <c r="FR220" s="7"/>
      <c r="FS220" s="7"/>
      <c r="FT220" s="7"/>
      <c r="FU220" s="7"/>
      <c r="FV220" s="7"/>
      <c r="FW220" s="7"/>
      <c r="FX220" s="7"/>
      <c r="FY220" s="7"/>
      <c r="FZ220" s="7"/>
      <c r="GA220" s="7"/>
      <c r="GB220" s="7"/>
      <c r="GC220" s="7"/>
      <c r="GD220" s="7"/>
      <c r="GE220" s="7"/>
      <c r="GF220" s="7"/>
      <c r="GG220" s="7"/>
      <c r="GH220" s="7"/>
      <c r="GI220" s="7"/>
      <c r="GJ220" s="7"/>
      <c r="GK220" s="7"/>
      <c r="GL220" s="7"/>
      <c r="GM220" s="7"/>
      <c r="GN220" s="7"/>
      <c r="GO220" s="7"/>
      <c r="GP220" s="7"/>
      <c r="GQ220" s="7"/>
      <c r="GR220" s="7"/>
      <c r="GS220" s="7"/>
      <c r="GT220" s="7"/>
      <c r="GU220" s="7"/>
      <c r="GV220" s="7"/>
      <c r="GW220" s="7"/>
      <c r="GX220" s="7"/>
      <c r="GY220" s="7"/>
      <c r="GZ220" s="7"/>
      <c r="HA220" s="7"/>
      <c r="HB220" s="7"/>
      <c r="HC220" s="7"/>
      <c r="HD220" s="7"/>
      <c r="HE220" s="7"/>
      <c r="HF220" s="7"/>
      <c r="HG220" s="7"/>
      <c r="HH220" s="7"/>
      <c r="HI220" s="7"/>
      <c r="HJ220" s="7"/>
      <c r="HK220" s="7"/>
      <c r="HL220" s="7"/>
      <c r="HM220" s="7"/>
      <c r="HN220" s="7"/>
      <c r="HO220" s="7"/>
      <c r="HP220" s="7"/>
      <c r="HQ220" s="7"/>
      <c r="HR220" s="7"/>
      <c r="HS220" s="7"/>
      <c r="HT220" s="7"/>
      <c r="HU220" s="7"/>
      <c r="HV220" s="7"/>
      <c r="HW220" s="7"/>
      <c r="HX220" s="7"/>
      <c r="HY220" s="7"/>
      <c r="HZ220" s="7"/>
      <c r="IA220" s="7"/>
      <c r="IB220" s="7"/>
      <c r="IC220" s="7"/>
      <c r="ID220" s="7"/>
      <c r="IE220" s="7"/>
      <c r="IF220" s="7"/>
      <c r="IG220" s="7"/>
      <c r="IH220" s="7"/>
      <c r="II220" s="7"/>
      <c r="IJ220" s="7"/>
      <c r="IK220" s="7"/>
      <c r="IL220" s="7"/>
      <c r="IM220" s="7"/>
      <c r="IN220" s="7"/>
      <c r="IO220" s="7"/>
      <c r="IP220" s="7"/>
      <c r="IQ220" s="7"/>
      <c r="IR220" s="7"/>
      <c r="IS220" s="7"/>
      <c r="IT220" s="7"/>
      <c r="IU220" s="7"/>
      <c r="IV220" s="7"/>
      <c r="IW220" s="7"/>
      <c r="IX220" s="7"/>
      <c r="JA220" s="113"/>
      <c r="JB220" s="113"/>
      <c r="JC220" s="113"/>
      <c r="JD220" s="66">
        <f>SUM((TEXT(JA220,"[M]")/60)*'Income Person-hours'!$D$3,(TEXT(JB220,"[M]")/60)*'Income Person-hours'!$D$4,(TEXT(JC220,"[M]")/60)*'Income Person-hours'!$D$5)</f>
        <v>0</v>
      </c>
    </row>
    <row r="221" spans="1:264" s="11" customFormat="1" ht="11.25" hidden="1">
      <c r="A221" s="30">
        <v>9.17</v>
      </c>
      <c r="B221" s="116"/>
      <c r="C221" s="107"/>
      <c r="D221" s="12" t="str">
        <f>IF(OR(j_WEEKDAY(J_ADDDAY(VLOOKUP(I221,A:F,6,FALSE),H221,1),0)=6,SUMIFS(Holieday[ok],Holieday[date],J_ADDDAY(VLOOKUP(I221,A:F,6,FALSE),H221,1)))=FALSE(),J_ADDDAY(VLOOKUP(I221,A:F,6,FALSE),H221,1),IF(OR(j_WEEKDAY(J_ADDDAY(VLOOKUP(I221,A:F,6,FALSE),H221+1,1),0)=6,SUMIFS(Holieday[ok],Holieday[date],J_ADDDAY(VLOOKUP(I221,A:F,6,FALSE),H221+1,1)))=FALSE(),J_ADDDAY(VLOOKUP(I221,A:F,6,FALSE),H221+1,1),IF(OR(j_WEEKDAY(J_ADDDAY(VLOOKUP(I221,A:F,6,FALSE),H221+2,1),0)=6,SUMIFS(Holieday[ok],Holieday[date],J_ADDDAY(VLOOKUP(I221,A:F,6,FALSE),H221+2,1)))=FALSE(),J_ADDDAY(VLOOKUP(I221,A:F,6,FALSE),H221+2,1),IF(OR(j_WEEKDAY(J_ADDDAY(VLOOKUP(I221,A:F,6,FALSE),H221+3,1),0)=6,SUMIFS(Holieday[ok],Holieday[date],J_ADDDAY(VLOOKUP(I221,A:F,6,FALSE),H221+3,1)))=FALSE(),J_ADDDAY(VLOOKUP(I221,A:F,6,FALSE),H221+3,1),IF(OR(j_WEEKDAY(J_ADDDAY(VLOOKUP(I221,A:F,6,FALSE),H221+4,1),0)=6,SUMIFS(Holieday[ok],Holieday[date],J_ADDDAY(VLOOKUP(I221,A:F,6,FALSE),H221+4,1)))=FALSE(),J_ADDDAY(VLOOKUP(I221,A:F,6,FALSE),H221+4,1),J_ADDDAY(VLOOKUP(I221,A:F,6,FALSE),H221+5,1))))))</f>
        <v>1398/06/31</v>
      </c>
      <c r="E221" s="1">
        <f t="shared" si="64"/>
        <v>13980631</v>
      </c>
      <c r="F221" s="12" t="str">
        <f>IF(N221=0,J_SUBDAY(D221,1,1),IF((N221-NETWORKDAYS.INTL(J_GregorianDate(D221,1),J_GregorianDate(J_SUBDAY(J_ADDDAY(D221,N221,1),1,1),1),16,1)-SUMIFS(Holieday[ok],Holieday[date],CONCATENATE("&gt;","=",D221),Holieday[date],CONCATENATE("&lt;","=",J_SUBDAY(J_ADDDAY(D221,N221,1),1,1)))+SUMIFS(Holieday[Friday],Holieday[date],CONCATENATE("&gt;","=",D221),Holieday[date],CONCATENATE("&lt;","=",J_SUBDAY(J_ADDDAY(D221,N221,1),1,1))))=0,J_SUBDAY(J_ADDDAY(D221,N221,1),1,1),IF((N221-NETWORKDAYS.INTL(J_GregorianDate(D221,1),J_GregorianDate(J_SUBDAY(J_ADDDAY(D221,N221,1),1,1),1),16,1)-SUMIFS(Holieday[ok],Holieday[date],CONCATENATE("&gt;","=",D221),Holieday[date],CONCATENATE("&lt;","=",J_SUBDAY(J_ADDDAY(D221,N221,1),1,1)))+SUMIFS(Holieday[Friday],Holieday[date],CONCATENATE("&gt;","=",D221),Holieday[date],CONCATENATE("&lt;","=",J_SUBDAY(J_ADDDAY(D221,N221,1),1,1))))=1,J_SUBDAY(J_ADDDAY(D221,N221+1,1),1,1),IF((N221-NETWORKDAYS.INTL(J_GregorianDate(D221,1),J_GregorianDate(J_SUBDAY(J_ADDDAY(D221,N221,1),1,1),1),16,1)-SUMIFS(Holieday[ok],Holieday[date],CONCATENATE("&gt;","=",D221),Holieday[date],CONCATENATE("&lt;","=",J_SUBDAY(J_ADDDAY(D221,N221,1),1,1)))+SUMIFS(Holieday[Friday],Holieday[date],CONCATENATE("&gt;","=",D221),Holieday[date],CONCATENATE("&lt;","=",J_SUBDAY(J_ADDDAY(D221,N221,1),1,1))))=2,J_SUBDAY(J_ADDDAY(D221,N221+2,1),1,1),J_SUBDAY(J_ADDDAY(D221,N221+3,1),1,1)))))</f>
        <v>1398/06/30</v>
      </c>
      <c r="G221" s="2">
        <f t="shared" si="65"/>
        <v>13980630</v>
      </c>
      <c r="H221" s="109"/>
      <c r="I221" s="110">
        <v>1.1000000000000001</v>
      </c>
      <c r="J221" s="9">
        <f>j_WEEKDAY(D221,2)</f>
        <v>1</v>
      </c>
      <c r="K221" s="21">
        <f t="shared" si="69"/>
        <v>0</v>
      </c>
      <c r="L221" s="8">
        <f t="shared" si="68"/>
        <v>0</v>
      </c>
      <c r="M221" s="111">
        <v>0</v>
      </c>
      <c r="N221" s="108">
        <v>0</v>
      </c>
      <c r="O221" s="10">
        <f t="shared" si="66"/>
        <v>0</v>
      </c>
      <c r="P221" s="10">
        <f>VALUE(J_normdate(J_ADDDAY($D221,$O221,1)))</f>
        <v>13980631</v>
      </c>
      <c r="Q221" s="9">
        <f t="shared" si="67"/>
        <v>0</v>
      </c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BS221" s="7"/>
      <c r="BT221" s="7"/>
      <c r="BU221" s="7"/>
      <c r="BV221" s="7"/>
      <c r="BW221" s="7"/>
      <c r="BX221" s="7"/>
      <c r="BY221" s="7"/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/>
      <c r="CQ221" s="7"/>
      <c r="CR221" s="7"/>
      <c r="CS221" s="7"/>
      <c r="CT221" s="7"/>
      <c r="CU221" s="7"/>
      <c r="CV221" s="7"/>
      <c r="CW221" s="7"/>
      <c r="CX221" s="7"/>
      <c r="CY221" s="7"/>
      <c r="CZ221" s="7"/>
      <c r="DA221" s="7"/>
      <c r="DB221" s="7"/>
      <c r="DC221" s="7"/>
      <c r="DD221" s="7"/>
      <c r="DE221" s="7"/>
      <c r="DF221" s="7"/>
      <c r="DG221" s="7"/>
      <c r="DH221" s="7"/>
      <c r="DI221" s="7"/>
      <c r="DJ221" s="7"/>
      <c r="DK221" s="7"/>
      <c r="DL221" s="7"/>
      <c r="DM221" s="7"/>
      <c r="DN221" s="7"/>
      <c r="DO221" s="7"/>
      <c r="DP221" s="7"/>
      <c r="DQ221" s="7"/>
      <c r="DR221" s="7"/>
      <c r="DS221" s="7"/>
      <c r="DT221" s="7"/>
      <c r="DU221" s="7"/>
      <c r="DV221" s="7"/>
      <c r="DW221" s="7"/>
      <c r="DX221" s="7"/>
      <c r="DY221" s="7"/>
      <c r="DZ221" s="7"/>
      <c r="EA221" s="7"/>
      <c r="EB221" s="7"/>
      <c r="EC221" s="7"/>
      <c r="ED221" s="7"/>
      <c r="EE221" s="7"/>
      <c r="EF221" s="7"/>
      <c r="EG221" s="7"/>
      <c r="EH221" s="7"/>
      <c r="EI221" s="7"/>
      <c r="EJ221" s="7"/>
      <c r="EK221" s="7"/>
      <c r="EL221" s="7"/>
      <c r="EM221" s="7"/>
      <c r="EN221" s="7"/>
      <c r="EO221" s="7"/>
      <c r="EP221" s="7"/>
      <c r="EQ221" s="7"/>
      <c r="ER221" s="7"/>
      <c r="ES221" s="7"/>
      <c r="ET221" s="7"/>
      <c r="EU221" s="7"/>
      <c r="EV221" s="7"/>
      <c r="EW221" s="7"/>
      <c r="EX221" s="7"/>
      <c r="EY221" s="7"/>
      <c r="EZ221" s="7"/>
      <c r="FA221" s="7"/>
      <c r="FB221" s="7"/>
      <c r="FC221" s="7"/>
      <c r="FD221" s="7"/>
      <c r="FE221" s="7"/>
      <c r="FF221" s="7"/>
      <c r="FG221" s="7"/>
      <c r="FH221" s="7"/>
      <c r="FI221" s="7"/>
      <c r="FJ221" s="7"/>
      <c r="FK221" s="7"/>
      <c r="FL221" s="7"/>
      <c r="FM221" s="7"/>
      <c r="FN221" s="7"/>
      <c r="FO221" s="7"/>
      <c r="FP221" s="7"/>
      <c r="FQ221" s="7"/>
      <c r="FR221" s="7"/>
      <c r="FS221" s="7"/>
      <c r="FT221" s="7"/>
      <c r="FU221" s="7"/>
      <c r="FV221" s="7"/>
      <c r="FW221" s="7"/>
      <c r="FX221" s="7"/>
      <c r="FY221" s="7"/>
      <c r="FZ221" s="7"/>
      <c r="GA221" s="7"/>
      <c r="GB221" s="7"/>
      <c r="GC221" s="7"/>
      <c r="GD221" s="7"/>
      <c r="GE221" s="7"/>
      <c r="GF221" s="7"/>
      <c r="GG221" s="7"/>
      <c r="GH221" s="7"/>
      <c r="GI221" s="7"/>
      <c r="GJ221" s="7"/>
      <c r="GK221" s="7"/>
      <c r="GL221" s="7"/>
      <c r="GM221" s="7"/>
      <c r="GN221" s="7"/>
      <c r="GO221" s="7"/>
      <c r="GP221" s="7"/>
      <c r="GQ221" s="7"/>
      <c r="GR221" s="7"/>
      <c r="GS221" s="7"/>
      <c r="GT221" s="7"/>
      <c r="GU221" s="7"/>
      <c r="GV221" s="7"/>
      <c r="GW221" s="7"/>
      <c r="GX221" s="7"/>
      <c r="GY221" s="7"/>
      <c r="GZ221" s="7"/>
      <c r="HA221" s="7"/>
      <c r="HB221" s="7"/>
      <c r="HC221" s="7"/>
      <c r="HD221" s="7"/>
      <c r="HE221" s="7"/>
      <c r="HF221" s="7"/>
      <c r="HG221" s="7"/>
      <c r="HH221" s="7"/>
      <c r="HI221" s="7"/>
      <c r="HJ221" s="7"/>
      <c r="HK221" s="7"/>
      <c r="HL221" s="7"/>
      <c r="HM221" s="7"/>
      <c r="HN221" s="7"/>
      <c r="HO221" s="7"/>
      <c r="HP221" s="7"/>
      <c r="HQ221" s="7"/>
      <c r="HR221" s="7"/>
      <c r="HS221" s="7"/>
      <c r="HT221" s="7"/>
      <c r="HU221" s="7"/>
      <c r="HV221" s="7"/>
      <c r="HW221" s="7"/>
      <c r="HX221" s="7"/>
      <c r="HY221" s="7"/>
      <c r="HZ221" s="7"/>
      <c r="IA221" s="7"/>
      <c r="IB221" s="7"/>
      <c r="IC221" s="7"/>
      <c r="ID221" s="7"/>
      <c r="IE221" s="7"/>
      <c r="IF221" s="7"/>
      <c r="IG221" s="7"/>
      <c r="IH221" s="7"/>
      <c r="II221" s="7"/>
      <c r="IJ221" s="7"/>
      <c r="IK221" s="7"/>
      <c r="IL221" s="7"/>
      <c r="IM221" s="7"/>
      <c r="IN221" s="7"/>
      <c r="IO221" s="7"/>
      <c r="IP221" s="7"/>
      <c r="IQ221" s="7"/>
      <c r="IR221" s="7"/>
      <c r="IS221" s="7"/>
      <c r="IT221" s="7"/>
      <c r="IU221" s="7"/>
      <c r="IV221" s="7"/>
      <c r="IW221" s="7"/>
      <c r="IX221" s="7"/>
      <c r="JA221" s="113"/>
      <c r="JB221" s="113"/>
      <c r="JC221" s="113"/>
      <c r="JD221" s="66">
        <f>SUM((TEXT(JA221,"[M]")/60)*'Income Person-hours'!$D$3,(TEXT(JB221,"[M]")/60)*'Income Person-hours'!$D$4,(TEXT(JC221,"[M]")/60)*'Income Person-hours'!$D$5)</f>
        <v>0</v>
      </c>
    </row>
    <row r="222" spans="1:264" s="11" customFormat="1" ht="11.25" hidden="1">
      <c r="A222" s="30">
        <v>9.18</v>
      </c>
      <c r="B222" s="116"/>
      <c r="C222" s="107"/>
      <c r="D222" s="12" t="str">
        <f>IF(OR(j_WEEKDAY(J_ADDDAY(VLOOKUP(I222,A:F,6,FALSE),H222,1),0)=6,SUMIFS(Holieday[ok],Holieday[date],J_ADDDAY(VLOOKUP(I222,A:F,6,FALSE),H222,1)))=FALSE(),J_ADDDAY(VLOOKUP(I222,A:F,6,FALSE),H222,1),IF(OR(j_WEEKDAY(J_ADDDAY(VLOOKUP(I222,A:F,6,FALSE),H222+1,1),0)=6,SUMIFS(Holieday[ok],Holieday[date],J_ADDDAY(VLOOKUP(I222,A:F,6,FALSE),H222+1,1)))=FALSE(),J_ADDDAY(VLOOKUP(I222,A:F,6,FALSE),H222+1,1),IF(OR(j_WEEKDAY(J_ADDDAY(VLOOKUP(I222,A:F,6,FALSE),H222+2,1),0)=6,SUMIFS(Holieday[ok],Holieday[date],J_ADDDAY(VLOOKUP(I222,A:F,6,FALSE),H222+2,1)))=FALSE(),J_ADDDAY(VLOOKUP(I222,A:F,6,FALSE),H222+2,1),IF(OR(j_WEEKDAY(J_ADDDAY(VLOOKUP(I222,A:F,6,FALSE),H222+3,1),0)=6,SUMIFS(Holieday[ok],Holieday[date],J_ADDDAY(VLOOKUP(I222,A:F,6,FALSE),H222+3,1)))=FALSE(),J_ADDDAY(VLOOKUP(I222,A:F,6,FALSE),H222+3,1),IF(OR(j_WEEKDAY(J_ADDDAY(VLOOKUP(I222,A:F,6,FALSE),H222+4,1),0)=6,SUMIFS(Holieday[ok],Holieday[date],J_ADDDAY(VLOOKUP(I222,A:F,6,FALSE),H222+4,1)))=FALSE(),J_ADDDAY(VLOOKUP(I222,A:F,6,FALSE),H222+4,1),J_ADDDAY(VLOOKUP(I222,A:F,6,FALSE),H222+5,1))))))</f>
        <v>1398/06/31</v>
      </c>
      <c r="E222" s="1">
        <f t="shared" si="64"/>
        <v>13980631</v>
      </c>
      <c r="F222" s="12" t="str">
        <f>IF(N222=0,J_SUBDAY(D222,1,1),IF((N222-NETWORKDAYS.INTL(J_GregorianDate(D222,1),J_GregorianDate(J_SUBDAY(J_ADDDAY(D222,N222,1),1,1),1),16,1)-SUMIFS(Holieday[ok],Holieday[date],CONCATENATE("&gt;","=",D222),Holieday[date],CONCATENATE("&lt;","=",J_SUBDAY(J_ADDDAY(D222,N222,1),1,1)))+SUMIFS(Holieday[Friday],Holieday[date],CONCATENATE("&gt;","=",D222),Holieday[date],CONCATENATE("&lt;","=",J_SUBDAY(J_ADDDAY(D222,N222,1),1,1))))=0,J_SUBDAY(J_ADDDAY(D222,N222,1),1,1),IF((N222-NETWORKDAYS.INTL(J_GregorianDate(D222,1),J_GregorianDate(J_SUBDAY(J_ADDDAY(D222,N222,1),1,1),1),16,1)-SUMIFS(Holieday[ok],Holieday[date],CONCATENATE("&gt;","=",D222),Holieday[date],CONCATENATE("&lt;","=",J_SUBDAY(J_ADDDAY(D222,N222,1),1,1)))+SUMIFS(Holieday[Friday],Holieday[date],CONCATENATE("&gt;","=",D222),Holieday[date],CONCATENATE("&lt;","=",J_SUBDAY(J_ADDDAY(D222,N222,1),1,1))))=1,J_SUBDAY(J_ADDDAY(D222,N222+1,1),1,1),IF((N222-NETWORKDAYS.INTL(J_GregorianDate(D222,1),J_GregorianDate(J_SUBDAY(J_ADDDAY(D222,N222,1),1,1),1),16,1)-SUMIFS(Holieday[ok],Holieday[date],CONCATENATE("&gt;","=",D222),Holieday[date],CONCATENATE("&lt;","=",J_SUBDAY(J_ADDDAY(D222,N222,1),1,1)))+SUMIFS(Holieday[Friday],Holieday[date],CONCATENATE("&gt;","=",D222),Holieday[date],CONCATENATE("&lt;","=",J_SUBDAY(J_ADDDAY(D222,N222,1),1,1))))=2,J_SUBDAY(J_ADDDAY(D222,N222+2,1),1,1),J_SUBDAY(J_ADDDAY(D222,N222+3,1),1,1)))))</f>
        <v>1398/06/30</v>
      </c>
      <c r="G222" s="2">
        <f t="shared" si="65"/>
        <v>13980630</v>
      </c>
      <c r="H222" s="109"/>
      <c r="I222" s="110">
        <v>1.1000000000000001</v>
      </c>
      <c r="J222" s="9">
        <f>j_WEEKDAY(D222,2)</f>
        <v>1</v>
      </c>
      <c r="K222" s="21">
        <f t="shared" si="69"/>
        <v>0</v>
      </c>
      <c r="L222" s="8">
        <f t="shared" si="68"/>
        <v>0</v>
      </c>
      <c r="M222" s="111">
        <v>0</v>
      </c>
      <c r="N222" s="108">
        <v>0</v>
      </c>
      <c r="O222" s="10">
        <f t="shared" si="66"/>
        <v>0</v>
      </c>
      <c r="P222" s="10">
        <f>VALUE(J_normdate(J_ADDDAY($D222,$O222,1)))</f>
        <v>13980631</v>
      </c>
      <c r="Q222" s="9">
        <f t="shared" si="67"/>
        <v>0</v>
      </c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/>
      <c r="BV222" s="7"/>
      <c r="BW222" s="7"/>
      <c r="BX222" s="7"/>
      <c r="BY222" s="7"/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/>
      <c r="CQ222" s="7"/>
      <c r="CR222" s="7"/>
      <c r="CS222" s="7"/>
      <c r="CT222" s="7"/>
      <c r="CU222" s="7"/>
      <c r="CV222" s="7"/>
      <c r="CW222" s="7"/>
      <c r="CX222" s="7"/>
      <c r="CY222" s="7"/>
      <c r="CZ222" s="7"/>
      <c r="DA222" s="7"/>
      <c r="DB222" s="7"/>
      <c r="DC222" s="7"/>
      <c r="DD222" s="7"/>
      <c r="DE222" s="7"/>
      <c r="DF222" s="7"/>
      <c r="DG222" s="7"/>
      <c r="DH222" s="7"/>
      <c r="DI222" s="7"/>
      <c r="DJ222" s="7"/>
      <c r="DK222" s="7"/>
      <c r="DL222" s="7"/>
      <c r="DM222" s="7"/>
      <c r="DN222" s="7"/>
      <c r="DO222" s="7"/>
      <c r="DP222" s="7"/>
      <c r="DQ222" s="7"/>
      <c r="DR222" s="7"/>
      <c r="DS222" s="7"/>
      <c r="DT222" s="7"/>
      <c r="DU222" s="7"/>
      <c r="DV222" s="7"/>
      <c r="DW222" s="7"/>
      <c r="DX222" s="7"/>
      <c r="DY222" s="7"/>
      <c r="DZ222" s="7"/>
      <c r="EA222" s="7"/>
      <c r="EB222" s="7"/>
      <c r="EC222" s="7"/>
      <c r="ED222" s="7"/>
      <c r="EE222" s="7"/>
      <c r="EF222" s="7"/>
      <c r="EG222" s="7"/>
      <c r="EH222" s="7"/>
      <c r="EI222" s="7"/>
      <c r="EJ222" s="7"/>
      <c r="EK222" s="7"/>
      <c r="EL222" s="7"/>
      <c r="EM222" s="7"/>
      <c r="EN222" s="7"/>
      <c r="EO222" s="7"/>
      <c r="EP222" s="7"/>
      <c r="EQ222" s="7"/>
      <c r="ER222" s="7"/>
      <c r="ES222" s="7"/>
      <c r="ET222" s="7"/>
      <c r="EU222" s="7"/>
      <c r="EV222" s="7"/>
      <c r="EW222" s="7"/>
      <c r="EX222" s="7"/>
      <c r="EY222" s="7"/>
      <c r="EZ222" s="7"/>
      <c r="FA222" s="7"/>
      <c r="FB222" s="7"/>
      <c r="FC222" s="7"/>
      <c r="FD222" s="7"/>
      <c r="FE222" s="7"/>
      <c r="FF222" s="7"/>
      <c r="FG222" s="7"/>
      <c r="FH222" s="7"/>
      <c r="FI222" s="7"/>
      <c r="FJ222" s="7"/>
      <c r="FK222" s="7"/>
      <c r="FL222" s="7"/>
      <c r="FM222" s="7"/>
      <c r="FN222" s="7"/>
      <c r="FO222" s="7"/>
      <c r="FP222" s="7"/>
      <c r="FQ222" s="7"/>
      <c r="FR222" s="7"/>
      <c r="FS222" s="7"/>
      <c r="FT222" s="7"/>
      <c r="FU222" s="7"/>
      <c r="FV222" s="7"/>
      <c r="FW222" s="7"/>
      <c r="FX222" s="7"/>
      <c r="FY222" s="7"/>
      <c r="FZ222" s="7"/>
      <c r="GA222" s="7"/>
      <c r="GB222" s="7"/>
      <c r="GC222" s="7"/>
      <c r="GD222" s="7"/>
      <c r="GE222" s="7"/>
      <c r="GF222" s="7"/>
      <c r="GG222" s="7"/>
      <c r="GH222" s="7"/>
      <c r="GI222" s="7"/>
      <c r="GJ222" s="7"/>
      <c r="GK222" s="7"/>
      <c r="GL222" s="7"/>
      <c r="GM222" s="7"/>
      <c r="GN222" s="7"/>
      <c r="GO222" s="7"/>
      <c r="GP222" s="7"/>
      <c r="GQ222" s="7"/>
      <c r="GR222" s="7"/>
      <c r="GS222" s="7"/>
      <c r="GT222" s="7"/>
      <c r="GU222" s="7"/>
      <c r="GV222" s="7"/>
      <c r="GW222" s="7"/>
      <c r="GX222" s="7"/>
      <c r="GY222" s="7"/>
      <c r="GZ222" s="7"/>
      <c r="HA222" s="7"/>
      <c r="HB222" s="7"/>
      <c r="HC222" s="7"/>
      <c r="HD222" s="7"/>
      <c r="HE222" s="7"/>
      <c r="HF222" s="7"/>
      <c r="HG222" s="7"/>
      <c r="HH222" s="7"/>
      <c r="HI222" s="7"/>
      <c r="HJ222" s="7"/>
      <c r="HK222" s="7"/>
      <c r="HL222" s="7"/>
      <c r="HM222" s="7"/>
      <c r="HN222" s="7"/>
      <c r="HO222" s="7"/>
      <c r="HP222" s="7"/>
      <c r="HQ222" s="7"/>
      <c r="HR222" s="7"/>
      <c r="HS222" s="7"/>
      <c r="HT222" s="7"/>
      <c r="HU222" s="7"/>
      <c r="HV222" s="7"/>
      <c r="HW222" s="7"/>
      <c r="HX222" s="7"/>
      <c r="HY222" s="7"/>
      <c r="HZ222" s="7"/>
      <c r="IA222" s="7"/>
      <c r="IB222" s="7"/>
      <c r="IC222" s="7"/>
      <c r="ID222" s="7"/>
      <c r="IE222" s="7"/>
      <c r="IF222" s="7"/>
      <c r="IG222" s="7"/>
      <c r="IH222" s="7"/>
      <c r="II222" s="7"/>
      <c r="IJ222" s="7"/>
      <c r="IK222" s="7"/>
      <c r="IL222" s="7"/>
      <c r="IM222" s="7"/>
      <c r="IN222" s="7"/>
      <c r="IO222" s="7"/>
      <c r="IP222" s="7"/>
      <c r="IQ222" s="7"/>
      <c r="IR222" s="7"/>
      <c r="IS222" s="7"/>
      <c r="IT222" s="7"/>
      <c r="IU222" s="7"/>
      <c r="IV222" s="7"/>
      <c r="IW222" s="7"/>
      <c r="IX222" s="7"/>
      <c r="JA222" s="113"/>
      <c r="JB222" s="113"/>
      <c r="JC222" s="113"/>
      <c r="JD222" s="66">
        <f>SUM((TEXT(JA222,"[M]")/60)*'Income Person-hours'!$D$3,(TEXT(JB222,"[M]")/60)*'Income Person-hours'!$D$4,(TEXT(JC222,"[M]")/60)*'Income Person-hours'!$D$5)</f>
        <v>0</v>
      </c>
    </row>
    <row r="223" spans="1:264" s="11" customFormat="1" ht="11.25" hidden="1">
      <c r="A223" s="30">
        <v>9.19</v>
      </c>
      <c r="B223" s="116"/>
      <c r="C223" s="107"/>
      <c r="D223" s="12" t="str">
        <f>IF(OR(j_WEEKDAY(J_ADDDAY(VLOOKUP(I223,A:F,6,FALSE),H223,1),0)=6,SUMIFS(Holieday[ok],Holieday[date],J_ADDDAY(VLOOKUP(I223,A:F,6,FALSE),H223,1)))=FALSE(),J_ADDDAY(VLOOKUP(I223,A:F,6,FALSE),H223,1),IF(OR(j_WEEKDAY(J_ADDDAY(VLOOKUP(I223,A:F,6,FALSE),H223+1,1),0)=6,SUMIFS(Holieday[ok],Holieday[date],J_ADDDAY(VLOOKUP(I223,A:F,6,FALSE),H223+1,1)))=FALSE(),J_ADDDAY(VLOOKUP(I223,A:F,6,FALSE),H223+1,1),IF(OR(j_WEEKDAY(J_ADDDAY(VLOOKUP(I223,A:F,6,FALSE),H223+2,1),0)=6,SUMIFS(Holieday[ok],Holieday[date],J_ADDDAY(VLOOKUP(I223,A:F,6,FALSE),H223+2,1)))=FALSE(),J_ADDDAY(VLOOKUP(I223,A:F,6,FALSE),H223+2,1),IF(OR(j_WEEKDAY(J_ADDDAY(VLOOKUP(I223,A:F,6,FALSE),H223+3,1),0)=6,SUMIFS(Holieday[ok],Holieday[date],J_ADDDAY(VLOOKUP(I223,A:F,6,FALSE),H223+3,1)))=FALSE(),J_ADDDAY(VLOOKUP(I223,A:F,6,FALSE),H223+3,1),IF(OR(j_WEEKDAY(J_ADDDAY(VLOOKUP(I223,A:F,6,FALSE),H223+4,1),0)=6,SUMIFS(Holieday[ok],Holieday[date],J_ADDDAY(VLOOKUP(I223,A:F,6,FALSE),H223+4,1)))=FALSE(),J_ADDDAY(VLOOKUP(I223,A:F,6,FALSE),H223+4,1),J_ADDDAY(VLOOKUP(I223,A:F,6,FALSE),H223+5,1))))))</f>
        <v>1398/06/31</v>
      </c>
      <c r="E223" s="1">
        <f t="shared" ref="E223:E248" si="70">VALUE(J_normdate(D223))</f>
        <v>13980631</v>
      </c>
      <c r="F223" s="12" t="str">
        <f>IF(N223=0,J_SUBDAY(D223,1,1),IF((N223-NETWORKDAYS.INTL(J_GregorianDate(D223,1),J_GregorianDate(J_SUBDAY(J_ADDDAY(D223,N223,1),1,1),1),16,1)-SUMIFS(Holieday[ok],Holieday[date],CONCATENATE("&gt;","=",D223),Holieday[date],CONCATENATE("&lt;","=",J_SUBDAY(J_ADDDAY(D223,N223,1),1,1)))+SUMIFS(Holieday[Friday],Holieday[date],CONCATENATE("&gt;","=",D223),Holieday[date],CONCATENATE("&lt;","=",J_SUBDAY(J_ADDDAY(D223,N223,1),1,1))))=0,J_SUBDAY(J_ADDDAY(D223,N223,1),1,1),IF((N223-NETWORKDAYS.INTL(J_GregorianDate(D223,1),J_GregorianDate(J_SUBDAY(J_ADDDAY(D223,N223,1),1,1),1),16,1)-SUMIFS(Holieday[ok],Holieday[date],CONCATENATE("&gt;","=",D223),Holieday[date],CONCATENATE("&lt;","=",J_SUBDAY(J_ADDDAY(D223,N223,1),1,1)))+SUMIFS(Holieday[Friday],Holieday[date],CONCATENATE("&gt;","=",D223),Holieday[date],CONCATENATE("&lt;","=",J_SUBDAY(J_ADDDAY(D223,N223,1),1,1))))=1,J_SUBDAY(J_ADDDAY(D223,N223+1,1),1,1),IF((N223-NETWORKDAYS.INTL(J_GregorianDate(D223,1),J_GregorianDate(J_SUBDAY(J_ADDDAY(D223,N223,1),1,1),1),16,1)-SUMIFS(Holieday[ok],Holieday[date],CONCATENATE("&gt;","=",D223),Holieday[date],CONCATENATE("&lt;","=",J_SUBDAY(J_ADDDAY(D223,N223,1),1,1)))+SUMIFS(Holieday[Friday],Holieday[date],CONCATENATE("&gt;","=",D223),Holieday[date],CONCATENATE("&lt;","=",J_SUBDAY(J_ADDDAY(D223,N223,1),1,1))))=2,J_SUBDAY(J_ADDDAY(D223,N223+2,1),1,1),J_SUBDAY(J_ADDDAY(D223,N223+3,1),1,1)))))</f>
        <v>1398/06/30</v>
      </c>
      <c r="G223" s="2">
        <f t="shared" ref="G223:G248" si="71">VALUE(J_normdate(F223))</f>
        <v>13980630</v>
      </c>
      <c r="H223" s="109"/>
      <c r="I223" s="110">
        <v>1.1000000000000001</v>
      </c>
      <c r="J223" s="9">
        <f>j_WEEKDAY(D223,2)</f>
        <v>1</v>
      </c>
      <c r="K223" s="21">
        <f t="shared" si="69"/>
        <v>0</v>
      </c>
      <c r="L223" s="8">
        <f t="shared" si="68"/>
        <v>0</v>
      </c>
      <c r="M223" s="111">
        <v>0</v>
      </c>
      <c r="N223" s="108">
        <v>0</v>
      </c>
      <c r="O223" s="10">
        <f t="shared" si="66"/>
        <v>0</v>
      </c>
      <c r="P223" s="10">
        <f>VALUE(J_normdate(J_ADDDAY($D223,$O223,1)))</f>
        <v>13980631</v>
      </c>
      <c r="Q223" s="9">
        <f t="shared" si="67"/>
        <v>0</v>
      </c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BS223" s="7"/>
      <c r="BT223" s="7"/>
      <c r="BU223" s="7"/>
      <c r="BV223" s="7"/>
      <c r="BW223" s="7"/>
      <c r="BX223" s="7"/>
      <c r="BY223" s="7"/>
      <c r="BZ223" s="7"/>
      <c r="CA223" s="7"/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  <c r="CM223" s="7"/>
      <c r="CN223" s="7"/>
      <c r="CO223" s="7"/>
      <c r="CP223" s="7"/>
      <c r="CQ223" s="7"/>
      <c r="CR223" s="7"/>
      <c r="CS223" s="7"/>
      <c r="CT223" s="7"/>
      <c r="CU223" s="7"/>
      <c r="CV223" s="7"/>
      <c r="CW223" s="7"/>
      <c r="CX223" s="7"/>
      <c r="CY223" s="7"/>
      <c r="CZ223" s="7"/>
      <c r="DA223" s="7"/>
      <c r="DB223" s="7"/>
      <c r="DC223" s="7"/>
      <c r="DD223" s="7"/>
      <c r="DE223" s="7"/>
      <c r="DF223" s="7"/>
      <c r="DG223" s="7"/>
      <c r="DH223" s="7"/>
      <c r="DI223" s="7"/>
      <c r="DJ223" s="7"/>
      <c r="DK223" s="7"/>
      <c r="DL223" s="7"/>
      <c r="DM223" s="7"/>
      <c r="DN223" s="7"/>
      <c r="DO223" s="7"/>
      <c r="DP223" s="7"/>
      <c r="DQ223" s="7"/>
      <c r="DR223" s="7"/>
      <c r="DS223" s="7"/>
      <c r="DT223" s="7"/>
      <c r="DU223" s="7"/>
      <c r="DV223" s="7"/>
      <c r="DW223" s="7"/>
      <c r="DX223" s="7"/>
      <c r="DY223" s="7"/>
      <c r="DZ223" s="7"/>
      <c r="EA223" s="7"/>
      <c r="EB223" s="7"/>
      <c r="EC223" s="7"/>
      <c r="ED223" s="7"/>
      <c r="EE223" s="7"/>
      <c r="EF223" s="7"/>
      <c r="EG223" s="7"/>
      <c r="EH223" s="7"/>
      <c r="EI223" s="7"/>
      <c r="EJ223" s="7"/>
      <c r="EK223" s="7"/>
      <c r="EL223" s="7"/>
      <c r="EM223" s="7"/>
      <c r="EN223" s="7"/>
      <c r="EO223" s="7"/>
      <c r="EP223" s="7"/>
      <c r="EQ223" s="7"/>
      <c r="ER223" s="7"/>
      <c r="ES223" s="7"/>
      <c r="ET223" s="7"/>
      <c r="EU223" s="7"/>
      <c r="EV223" s="7"/>
      <c r="EW223" s="7"/>
      <c r="EX223" s="7"/>
      <c r="EY223" s="7"/>
      <c r="EZ223" s="7"/>
      <c r="FA223" s="7"/>
      <c r="FB223" s="7"/>
      <c r="FC223" s="7"/>
      <c r="FD223" s="7"/>
      <c r="FE223" s="7"/>
      <c r="FF223" s="7"/>
      <c r="FG223" s="7"/>
      <c r="FH223" s="7"/>
      <c r="FI223" s="7"/>
      <c r="FJ223" s="7"/>
      <c r="FK223" s="7"/>
      <c r="FL223" s="7"/>
      <c r="FM223" s="7"/>
      <c r="FN223" s="7"/>
      <c r="FO223" s="7"/>
      <c r="FP223" s="7"/>
      <c r="FQ223" s="7"/>
      <c r="FR223" s="7"/>
      <c r="FS223" s="7"/>
      <c r="FT223" s="7"/>
      <c r="FU223" s="7"/>
      <c r="FV223" s="7"/>
      <c r="FW223" s="7"/>
      <c r="FX223" s="7"/>
      <c r="FY223" s="7"/>
      <c r="FZ223" s="7"/>
      <c r="GA223" s="7"/>
      <c r="GB223" s="7"/>
      <c r="GC223" s="7"/>
      <c r="GD223" s="7"/>
      <c r="GE223" s="7"/>
      <c r="GF223" s="7"/>
      <c r="GG223" s="7"/>
      <c r="GH223" s="7"/>
      <c r="GI223" s="7"/>
      <c r="GJ223" s="7"/>
      <c r="GK223" s="7"/>
      <c r="GL223" s="7"/>
      <c r="GM223" s="7"/>
      <c r="GN223" s="7"/>
      <c r="GO223" s="7"/>
      <c r="GP223" s="7"/>
      <c r="GQ223" s="7"/>
      <c r="GR223" s="7"/>
      <c r="GS223" s="7"/>
      <c r="GT223" s="7"/>
      <c r="GU223" s="7"/>
      <c r="GV223" s="7"/>
      <c r="GW223" s="7"/>
      <c r="GX223" s="7"/>
      <c r="GY223" s="7"/>
      <c r="GZ223" s="7"/>
      <c r="HA223" s="7"/>
      <c r="HB223" s="7"/>
      <c r="HC223" s="7"/>
      <c r="HD223" s="7"/>
      <c r="HE223" s="7"/>
      <c r="HF223" s="7"/>
      <c r="HG223" s="7"/>
      <c r="HH223" s="7"/>
      <c r="HI223" s="7"/>
      <c r="HJ223" s="7"/>
      <c r="HK223" s="7"/>
      <c r="HL223" s="7"/>
      <c r="HM223" s="7"/>
      <c r="HN223" s="7"/>
      <c r="HO223" s="7"/>
      <c r="HP223" s="7"/>
      <c r="HQ223" s="7"/>
      <c r="HR223" s="7"/>
      <c r="HS223" s="7"/>
      <c r="HT223" s="7"/>
      <c r="HU223" s="7"/>
      <c r="HV223" s="7"/>
      <c r="HW223" s="7"/>
      <c r="HX223" s="7"/>
      <c r="HY223" s="7"/>
      <c r="HZ223" s="7"/>
      <c r="IA223" s="7"/>
      <c r="IB223" s="7"/>
      <c r="IC223" s="7"/>
      <c r="ID223" s="7"/>
      <c r="IE223" s="7"/>
      <c r="IF223" s="7"/>
      <c r="IG223" s="7"/>
      <c r="IH223" s="7"/>
      <c r="II223" s="7"/>
      <c r="IJ223" s="7"/>
      <c r="IK223" s="7"/>
      <c r="IL223" s="7"/>
      <c r="IM223" s="7"/>
      <c r="IN223" s="7"/>
      <c r="IO223" s="7"/>
      <c r="IP223" s="7"/>
      <c r="IQ223" s="7"/>
      <c r="IR223" s="7"/>
      <c r="IS223" s="7"/>
      <c r="IT223" s="7"/>
      <c r="IU223" s="7"/>
      <c r="IV223" s="7"/>
      <c r="IW223" s="7"/>
      <c r="IX223" s="7"/>
      <c r="JA223" s="113"/>
      <c r="JB223" s="113"/>
      <c r="JC223" s="113"/>
      <c r="JD223" s="66">
        <f>SUM((TEXT(JA223,"[M]")/60)*'Income Person-hours'!$D$3,(TEXT(JB223,"[M]")/60)*'Income Person-hours'!$D$4,(TEXT(JC223,"[M]")/60)*'Income Person-hours'!$D$5)</f>
        <v>0</v>
      </c>
    </row>
    <row r="224" spans="1:264" s="11" customFormat="1" ht="11.25" hidden="1">
      <c r="A224" s="5" t="s">
        <v>76</v>
      </c>
      <c r="B224" s="116"/>
      <c r="C224" s="107"/>
      <c r="D224" s="12" t="str">
        <f>IF(OR(j_WEEKDAY(J_ADDDAY(VLOOKUP(I224,A:F,6,FALSE),H224,1),0)=6,SUMIFS(Holieday[ok],Holieday[date],J_ADDDAY(VLOOKUP(I224,A:F,6,FALSE),H224,1)))=FALSE(),J_ADDDAY(VLOOKUP(I224,A:F,6,FALSE),H224,1),IF(OR(j_WEEKDAY(J_ADDDAY(VLOOKUP(I224,A:F,6,FALSE),H224+1,1),0)=6,SUMIFS(Holieday[ok],Holieday[date],J_ADDDAY(VLOOKUP(I224,A:F,6,FALSE),H224+1,1)))=FALSE(),J_ADDDAY(VLOOKUP(I224,A:F,6,FALSE),H224+1,1),IF(OR(j_WEEKDAY(J_ADDDAY(VLOOKUP(I224,A:F,6,FALSE),H224+2,1),0)=6,SUMIFS(Holieday[ok],Holieday[date],J_ADDDAY(VLOOKUP(I224,A:F,6,FALSE),H224+2,1)))=FALSE(),J_ADDDAY(VLOOKUP(I224,A:F,6,FALSE),H224+2,1),IF(OR(j_WEEKDAY(J_ADDDAY(VLOOKUP(I224,A:F,6,FALSE),H224+3,1),0)=6,SUMIFS(Holieday[ok],Holieday[date],J_ADDDAY(VLOOKUP(I224,A:F,6,FALSE),H224+3,1)))=FALSE(),J_ADDDAY(VLOOKUP(I224,A:F,6,FALSE),H224+3,1),IF(OR(j_WEEKDAY(J_ADDDAY(VLOOKUP(I224,A:F,6,FALSE),H224+4,1),0)=6,SUMIFS(Holieday[ok],Holieday[date],J_ADDDAY(VLOOKUP(I224,A:F,6,FALSE),H224+4,1)))=FALSE(),J_ADDDAY(VLOOKUP(I224,A:F,6,FALSE),H224+4,1),J_ADDDAY(VLOOKUP(I224,A:F,6,FALSE),H224+5,1))))))</f>
        <v>1398/06/31</v>
      </c>
      <c r="E224" s="1">
        <f t="shared" si="70"/>
        <v>13980631</v>
      </c>
      <c r="F224" s="12" t="str">
        <f>IF(N224=0,J_SUBDAY(D224,1,1),IF((N224-NETWORKDAYS.INTL(J_GregorianDate(D224,1),J_GregorianDate(J_SUBDAY(J_ADDDAY(D224,N224,1),1,1),1),16,1)-SUMIFS(Holieday[ok],Holieday[date],CONCATENATE("&gt;","=",D224),Holieday[date],CONCATENATE("&lt;","=",J_SUBDAY(J_ADDDAY(D224,N224,1),1,1)))+SUMIFS(Holieday[Friday],Holieday[date],CONCATENATE("&gt;","=",D224),Holieday[date],CONCATENATE("&lt;","=",J_SUBDAY(J_ADDDAY(D224,N224,1),1,1))))=0,J_SUBDAY(J_ADDDAY(D224,N224,1),1,1),IF((N224-NETWORKDAYS.INTL(J_GregorianDate(D224,1),J_GregorianDate(J_SUBDAY(J_ADDDAY(D224,N224,1),1,1),1),16,1)-SUMIFS(Holieday[ok],Holieday[date],CONCATENATE("&gt;","=",D224),Holieday[date],CONCATENATE("&lt;","=",J_SUBDAY(J_ADDDAY(D224,N224,1),1,1)))+SUMIFS(Holieday[Friday],Holieday[date],CONCATENATE("&gt;","=",D224),Holieday[date],CONCATENATE("&lt;","=",J_SUBDAY(J_ADDDAY(D224,N224,1),1,1))))=1,J_SUBDAY(J_ADDDAY(D224,N224+1,1),1,1),IF((N224-NETWORKDAYS.INTL(J_GregorianDate(D224,1),J_GregorianDate(J_SUBDAY(J_ADDDAY(D224,N224,1),1,1),1),16,1)-SUMIFS(Holieday[ok],Holieday[date],CONCATENATE("&gt;","=",D224),Holieday[date],CONCATENATE("&lt;","=",J_SUBDAY(J_ADDDAY(D224,N224,1),1,1)))+SUMIFS(Holieday[Friday],Holieday[date],CONCATENATE("&gt;","=",D224),Holieday[date],CONCATENATE("&lt;","=",J_SUBDAY(J_ADDDAY(D224,N224,1),1,1))))=2,J_SUBDAY(J_ADDDAY(D224,N224+2,1),1,1),J_SUBDAY(J_ADDDAY(D224,N224+3,1),1,1)))))</f>
        <v>1398/06/30</v>
      </c>
      <c r="G224" s="2">
        <f t="shared" si="71"/>
        <v>13980630</v>
      </c>
      <c r="H224" s="109"/>
      <c r="I224" s="110">
        <v>1.1000000000000001</v>
      </c>
      <c r="J224" s="9">
        <f>j_WEEKDAY(D224,2)</f>
        <v>1</v>
      </c>
      <c r="K224" s="21">
        <f t="shared" si="69"/>
        <v>0</v>
      </c>
      <c r="L224" s="8">
        <f t="shared" si="68"/>
        <v>0</v>
      </c>
      <c r="M224" s="111">
        <v>0</v>
      </c>
      <c r="N224" s="108">
        <v>0</v>
      </c>
      <c r="O224" s="10">
        <f t="shared" si="66"/>
        <v>0</v>
      </c>
      <c r="P224" s="10">
        <f>VALUE(J_normdate(J_ADDDAY($D224,$O224,1)))</f>
        <v>13980631</v>
      </c>
      <c r="Q224" s="9">
        <f t="shared" si="67"/>
        <v>0</v>
      </c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BS224" s="7"/>
      <c r="BT224" s="7"/>
      <c r="BU224" s="7"/>
      <c r="BV224" s="7"/>
      <c r="BW224" s="7"/>
      <c r="BX224" s="7"/>
      <c r="BY224" s="7"/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/>
      <c r="CQ224" s="7"/>
      <c r="CR224" s="7"/>
      <c r="CS224" s="7"/>
      <c r="CT224" s="7"/>
      <c r="CU224" s="7"/>
      <c r="CV224" s="7"/>
      <c r="CW224" s="7"/>
      <c r="CX224" s="7"/>
      <c r="CY224" s="7"/>
      <c r="CZ224" s="7"/>
      <c r="DA224" s="7"/>
      <c r="DB224" s="7"/>
      <c r="DC224" s="7"/>
      <c r="DD224" s="7"/>
      <c r="DE224" s="7"/>
      <c r="DF224" s="7"/>
      <c r="DG224" s="7"/>
      <c r="DH224" s="7"/>
      <c r="DI224" s="7"/>
      <c r="DJ224" s="7"/>
      <c r="DK224" s="7"/>
      <c r="DL224" s="7"/>
      <c r="DM224" s="7"/>
      <c r="DN224" s="7"/>
      <c r="DO224" s="7"/>
      <c r="DP224" s="7"/>
      <c r="DQ224" s="7"/>
      <c r="DR224" s="7"/>
      <c r="DS224" s="7"/>
      <c r="DT224" s="7"/>
      <c r="DU224" s="7"/>
      <c r="DV224" s="7"/>
      <c r="DW224" s="7"/>
      <c r="DX224" s="7"/>
      <c r="DY224" s="7"/>
      <c r="DZ224" s="7"/>
      <c r="EA224" s="7"/>
      <c r="EB224" s="7"/>
      <c r="EC224" s="7"/>
      <c r="ED224" s="7"/>
      <c r="EE224" s="7"/>
      <c r="EF224" s="7"/>
      <c r="EG224" s="7"/>
      <c r="EH224" s="7"/>
      <c r="EI224" s="7"/>
      <c r="EJ224" s="7"/>
      <c r="EK224" s="7"/>
      <c r="EL224" s="7"/>
      <c r="EM224" s="7"/>
      <c r="EN224" s="7"/>
      <c r="EO224" s="7"/>
      <c r="EP224" s="7"/>
      <c r="EQ224" s="7"/>
      <c r="ER224" s="7"/>
      <c r="ES224" s="7"/>
      <c r="ET224" s="7"/>
      <c r="EU224" s="7"/>
      <c r="EV224" s="7"/>
      <c r="EW224" s="7"/>
      <c r="EX224" s="7"/>
      <c r="EY224" s="7"/>
      <c r="EZ224" s="7"/>
      <c r="FA224" s="7"/>
      <c r="FB224" s="7"/>
      <c r="FC224" s="7"/>
      <c r="FD224" s="7"/>
      <c r="FE224" s="7"/>
      <c r="FF224" s="7"/>
      <c r="FG224" s="7"/>
      <c r="FH224" s="7"/>
      <c r="FI224" s="7"/>
      <c r="FJ224" s="7"/>
      <c r="FK224" s="7"/>
      <c r="FL224" s="7"/>
      <c r="FM224" s="7"/>
      <c r="FN224" s="7"/>
      <c r="FO224" s="7"/>
      <c r="FP224" s="7"/>
      <c r="FQ224" s="7"/>
      <c r="FR224" s="7"/>
      <c r="FS224" s="7"/>
      <c r="FT224" s="7"/>
      <c r="FU224" s="7"/>
      <c r="FV224" s="7"/>
      <c r="FW224" s="7"/>
      <c r="FX224" s="7"/>
      <c r="FY224" s="7"/>
      <c r="FZ224" s="7"/>
      <c r="GA224" s="7"/>
      <c r="GB224" s="7"/>
      <c r="GC224" s="7"/>
      <c r="GD224" s="7"/>
      <c r="GE224" s="7"/>
      <c r="GF224" s="7"/>
      <c r="GG224" s="7"/>
      <c r="GH224" s="7"/>
      <c r="GI224" s="7"/>
      <c r="GJ224" s="7"/>
      <c r="GK224" s="7"/>
      <c r="GL224" s="7"/>
      <c r="GM224" s="7"/>
      <c r="GN224" s="7"/>
      <c r="GO224" s="7"/>
      <c r="GP224" s="7"/>
      <c r="GQ224" s="7"/>
      <c r="GR224" s="7"/>
      <c r="GS224" s="7"/>
      <c r="GT224" s="7"/>
      <c r="GU224" s="7"/>
      <c r="GV224" s="7"/>
      <c r="GW224" s="7"/>
      <c r="GX224" s="7"/>
      <c r="GY224" s="7"/>
      <c r="GZ224" s="7"/>
      <c r="HA224" s="7"/>
      <c r="HB224" s="7"/>
      <c r="HC224" s="7"/>
      <c r="HD224" s="7"/>
      <c r="HE224" s="7"/>
      <c r="HF224" s="7"/>
      <c r="HG224" s="7"/>
      <c r="HH224" s="7"/>
      <c r="HI224" s="7"/>
      <c r="HJ224" s="7"/>
      <c r="HK224" s="7"/>
      <c r="HL224" s="7"/>
      <c r="HM224" s="7"/>
      <c r="HN224" s="7"/>
      <c r="HO224" s="7"/>
      <c r="HP224" s="7"/>
      <c r="HQ224" s="7"/>
      <c r="HR224" s="7"/>
      <c r="HS224" s="7"/>
      <c r="HT224" s="7"/>
      <c r="HU224" s="7"/>
      <c r="HV224" s="7"/>
      <c r="HW224" s="7"/>
      <c r="HX224" s="7"/>
      <c r="HY224" s="7"/>
      <c r="HZ224" s="7"/>
      <c r="IA224" s="7"/>
      <c r="IB224" s="7"/>
      <c r="IC224" s="7"/>
      <c r="ID224" s="7"/>
      <c r="IE224" s="7"/>
      <c r="IF224" s="7"/>
      <c r="IG224" s="7"/>
      <c r="IH224" s="7"/>
      <c r="II224" s="7"/>
      <c r="IJ224" s="7"/>
      <c r="IK224" s="7"/>
      <c r="IL224" s="7"/>
      <c r="IM224" s="7"/>
      <c r="IN224" s="7"/>
      <c r="IO224" s="7"/>
      <c r="IP224" s="7"/>
      <c r="IQ224" s="7"/>
      <c r="IR224" s="7"/>
      <c r="IS224" s="7"/>
      <c r="IT224" s="7"/>
      <c r="IU224" s="7"/>
      <c r="IV224" s="7"/>
      <c r="IW224" s="7"/>
      <c r="IX224" s="7"/>
      <c r="JA224" s="113"/>
      <c r="JB224" s="113"/>
      <c r="JC224" s="113"/>
      <c r="JD224" s="66">
        <f>SUM((TEXT(JA224,"[M]")/60)*'Income Person-hours'!$D$3,(TEXT(JB224,"[M]")/60)*'Income Person-hours'!$D$4,(TEXT(JC224,"[M]")/60)*'Income Person-hours'!$D$5)</f>
        <v>0</v>
      </c>
    </row>
    <row r="225" spans="1:264 16383:16384" s="11" customFormat="1" ht="11.25" hidden="1">
      <c r="A225" s="5" t="s">
        <v>77</v>
      </c>
      <c r="B225" s="116"/>
      <c r="C225" s="107"/>
      <c r="D225" s="12" t="str">
        <f>IF(OR(j_WEEKDAY(J_ADDDAY(VLOOKUP(I225,A:F,6,FALSE),H225,1),0)=6,SUMIFS(Holieday[ok],Holieday[date],J_ADDDAY(VLOOKUP(I225,A:F,6,FALSE),H225,1)))=FALSE(),J_ADDDAY(VLOOKUP(I225,A:F,6,FALSE),H225,1),IF(OR(j_WEEKDAY(J_ADDDAY(VLOOKUP(I225,A:F,6,FALSE),H225+1,1),0)=6,SUMIFS(Holieday[ok],Holieday[date],J_ADDDAY(VLOOKUP(I225,A:F,6,FALSE),H225+1,1)))=FALSE(),J_ADDDAY(VLOOKUP(I225,A:F,6,FALSE),H225+1,1),IF(OR(j_WEEKDAY(J_ADDDAY(VLOOKUP(I225,A:F,6,FALSE),H225+2,1),0)=6,SUMIFS(Holieday[ok],Holieday[date],J_ADDDAY(VLOOKUP(I225,A:F,6,FALSE),H225+2,1)))=FALSE(),J_ADDDAY(VLOOKUP(I225,A:F,6,FALSE),H225+2,1),IF(OR(j_WEEKDAY(J_ADDDAY(VLOOKUP(I225,A:F,6,FALSE),H225+3,1),0)=6,SUMIFS(Holieday[ok],Holieday[date],J_ADDDAY(VLOOKUP(I225,A:F,6,FALSE),H225+3,1)))=FALSE(),J_ADDDAY(VLOOKUP(I225,A:F,6,FALSE),H225+3,1),IF(OR(j_WEEKDAY(J_ADDDAY(VLOOKUP(I225,A:F,6,FALSE),H225+4,1),0)=6,SUMIFS(Holieday[ok],Holieday[date],J_ADDDAY(VLOOKUP(I225,A:F,6,FALSE),H225+4,1)))=FALSE(),J_ADDDAY(VLOOKUP(I225,A:F,6,FALSE),H225+4,1),J_ADDDAY(VLOOKUP(I225,A:F,6,FALSE),H225+5,1))))))</f>
        <v>1398/06/31</v>
      </c>
      <c r="E225" s="1">
        <f t="shared" si="70"/>
        <v>13980631</v>
      </c>
      <c r="F225" s="12" t="str">
        <f>IF(N225=0,J_SUBDAY(D225,1,1),IF((N225-NETWORKDAYS.INTL(J_GregorianDate(D225,1),J_GregorianDate(J_SUBDAY(J_ADDDAY(D225,N225,1),1,1),1),16,1)-SUMIFS(Holieday[ok],Holieday[date],CONCATENATE("&gt;","=",D225),Holieday[date],CONCATENATE("&lt;","=",J_SUBDAY(J_ADDDAY(D225,N225,1),1,1)))+SUMIFS(Holieday[Friday],Holieday[date],CONCATENATE("&gt;","=",D225),Holieday[date],CONCATENATE("&lt;","=",J_SUBDAY(J_ADDDAY(D225,N225,1),1,1))))=0,J_SUBDAY(J_ADDDAY(D225,N225,1),1,1),IF((N225-NETWORKDAYS.INTL(J_GregorianDate(D225,1),J_GregorianDate(J_SUBDAY(J_ADDDAY(D225,N225,1),1,1),1),16,1)-SUMIFS(Holieday[ok],Holieday[date],CONCATENATE("&gt;","=",D225),Holieday[date],CONCATENATE("&lt;","=",J_SUBDAY(J_ADDDAY(D225,N225,1),1,1)))+SUMIFS(Holieday[Friday],Holieday[date],CONCATENATE("&gt;","=",D225),Holieday[date],CONCATENATE("&lt;","=",J_SUBDAY(J_ADDDAY(D225,N225,1),1,1))))=1,J_SUBDAY(J_ADDDAY(D225,N225+1,1),1,1),IF((N225-NETWORKDAYS.INTL(J_GregorianDate(D225,1),J_GregorianDate(J_SUBDAY(J_ADDDAY(D225,N225,1),1,1),1),16,1)-SUMIFS(Holieday[ok],Holieday[date],CONCATENATE("&gt;","=",D225),Holieday[date],CONCATENATE("&lt;","=",J_SUBDAY(J_ADDDAY(D225,N225,1),1,1)))+SUMIFS(Holieday[Friday],Holieday[date],CONCATENATE("&gt;","=",D225),Holieday[date],CONCATENATE("&lt;","=",J_SUBDAY(J_ADDDAY(D225,N225,1),1,1))))=2,J_SUBDAY(J_ADDDAY(D225,N225+2,1),1,1),J_SUBDAY(J_ADDDAY(D225,N225+3,1),1,1)))))</f>
        <v>1398/06/30</v>
      </c>
      <c r="G225" s="2">
        <f t="shared" si="71"/>
        <v>13980630</v>
      </c>
      <c r="H225" s="109"/>
      <c r="I225" s="110">
        <v>1.1000000000000001</v>
      </c>
      <c r="J225" s="9">
        <f>j_WEEKDAY(D225,2)</f>
        <v>1</v>
      </c>
      <c r="K225" s="21">
        <f t="shared" si="69"/>
        <v>0</v>
      </c>
      <c r="L225" s="8">
        <f t="shared" si="68"/>
        <v>0</v>
      </c>
      <c r="M225" s="111">
        <v>0</v>
      </c>
      <c r="N225" s="108">
        <v>0</v>
      </c>
      <c r="O225" s="10">
        <f t="shared" si="66"/>
        <v>0</v>
      </c>
      <c r="P225" s="10">
        <f>VALUE(J_normdate(J_ADDDAY($D225,$O225,1)))</f>
        <v>13980631</v>
      </c>
      <c r="Q225" s="9">
        <f t="shared" si="67"/>
        <v>0</v>
      </c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F225" s="7"/>
      <c r="EG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JA225" s="113"/>
      <c r="JB225" s="113"/>
      <c r="JC225" s="113"/>
      <c r="JD225" s="66">
        <f>SUM((TEXT(JA225,"[M]")/60)*'Income Person-hours'!$D$3,(TEXT(JB225,"[M]")/60)*'Income Person-hours'!$D$4,(TEXT(JC225,"[M]")/60)*'Income Person-hours'!$D$5)</f>
        <v>0</v>
      </c>
    </row>
    <row r="226" spans="1:264 16383:16384" s="11" customFormat="1" ht="11.25" hidden="1">
      <c r="A226" s="5" t="s">
        <v>78</v>
      </c>
      <c r="B226" s="116"/>
      <c r="C226" s="107"/>
      <c r="D226" s="12" t="str">
        <f>IF(OR(j_WEEKDAY(J_ADDDAY(VLOOKUP(I226,A:F,6,FALSE),H226,1),0)=6,SUMIFS(Holieday[ok],Holieday[date],J_ADDDAY(VLOOKUP(I226,A:F,6,FALSE),H226,1)))=FALSE(),J_ADDDAY(VLOOKUP(I226,A:F,6,FALSE),H226,1),IF(OR(j_WEEKDAY(J_ADDDAY(VLOOKUP(I226,A:F,6,FALSE),H226+1,1),0)=6,SUMIFS(Holieday[ok],Holieday[date],J_ADDDAY(VLOOKUP(I226,A:F,6,FALSE),H226+1,1)))=FALSE(),J_ADDDAY(VLOOKUP(I226,A:F,6,FALSE),H226+1,1),IF(OR(j_WEEKDAY(J_ADDDAY(VLOOKUP(I226,A:F,6,FALSE),H226+2,1),0)=6,SUMIFS(Holieday[ok],Holieday[date],J_ADDDAY(VLOOKUP(I226,A:F,6,FALSE),H226+2,1)))=FALSE(),J_ADDDAY(VLOOKUP(I226,A:F,6,FALSE),H226+2,1),IF(OR(j_WEEKDAY(J_ADDDAY(VLOOKUP(I226,A:F,6,FALSE),H226+3,1),0)=6,SUMIFS(Holieday[ok],Holieday[date],J_ADDDAY(VLOOKUP(I226,A:F,6,FALSE),H226+3,1)))=FALSE(),J_ADDDAY(VLOOKUP(I226,A:F,6,FALSE),H226+3,1),IF(OR(j_WEEKDAY(J_ADDDAY(VLOOKUP(I226,A:F,6,FALSE),H226+4,1),0)=6,SUMIFS(Holieday[ok],Holieday[date],J_ADDDAY(VLOOKUP(I226,A:F,6,FALSE),H226+4,1)))=FALSE(),J_ADDDAY(VLOOKUP(I226,A:F,6,FALSE),H226+4,1),J_ADDDAY(VLOOKUP(I226,A:F,6,FALSE),H226+5,1))))))</f>
        <v>1398/06/31</v>
      </c>
      <c r="E226" s="1">
        <f t="shared" si="70"/>
        <v>13980631</v>
      </c>
      <c r="F226" s="12" t="str">
        <f>IF(N226=0,J_SUBDAY(D226,1,1),IF((N226-NETWORKDAYS.INTL(J_GregorianDate(D226,1),J_GregorianDate(J_SUBDAY(J_ADDDAY(D226,N226,1),1,1),1),16,1)-SUMIFS(Holieday[ok],Holieday[date],CONCATENATE("&gt;","=",D226),Holieday[date],CONCATENATE("&lt;","=",J_SUBDAY(J_ADDDAY(D226,N226,1),1,1)))+SUMIFS(Holieday[Friday],Holieday[date],CONCATENATE("&gt;","=",D226),Holieday[date],CONCATENATE("&lt;","=",J_SUBDAY(J_ADDDAY(D226,N226,1),1,1))))=0,J_SUBDAY(J_ADDDAY(D226,N226,1),1,1),IF((N226-NETWORKDAYS.INTL(J_GregorianDate(D226,1),J_GregorianDate(J_SUBDAY(J_ADDDAY(D226,N226,1),1,1),1),16,1)-SUMIFS(Holieday[ok],Holieday[date],CONCATENATE("&gt;","=",D226),Holieday[date],CONCATENATE("&lt;","=",J_SUBDAY(J_ADDDAY(D226,N226,1),1,1)))+SUMIFS(Holieday[Friday],Holieday[date],CONCATENATE("&gt;","=",D226),Holieday[date],CONCATENATE("&lt;","=",J_SUBDAY(J_ADDDAY(D226,N226,1),1,1))))=1,J_SUBDAY(J_ADDDAY(D226,N226+1,1),1,1),IF((N226-NETWORKDAYS.INTL(J_GregorianDate(D226,1),J_GregorianDate(J_SUBDAY(J_ADDDAY(D226,N226,1),1,1),1),16,1)-SUMIFS(Holieday[ok],Holieday[date],CONCATENATE("&gt;","=",D226),Holieday[date],CONCATENATE("&lt;","=",J_SUBDAY(J_ADDDAY(D226,N226,1),1,1)))+SUMIFS(Holieday[Friday],Holieday[date],CONCATENATE("&gt;","=",D226),Holieday[date],CONCATENATE("&lt;","=",J_SUBDAY(J_ADDDAY(D226,N226,1),1,1))))=2,J_SUBDAY(J_ADDDAY(D226,N226+2,1),1,1),J_SUBDAY(J_ADDDAY(D226,N226+3,1),1,1)))))</f>
        <v>1398/06/30</v>
      </c>
      <c r="G226" s="2">
        <f t="shared" si="71"/>
        <v>13980630</v>
      </c>
      <c r="H226" s="109"/>
      <c r="I226" s="110">
        <v>1.1000000000000001</v>
      </c>
      <c r="J226" s="9">
        <f>j_WEEKDAY(D226,2)</f>
        <v>1</v>
      </c>
      <c r="K226" s="21">
        <f t="shared" si="69"/>
        <v>0</v>
      </c>
      <c r="L226" s="8">
        <f t="shared" si="68"/>
        <v>0</v>
      </c>
      <c r="M226" s="111">
        <v>0</v>
      </c>
      <c r="N226" s="108">
        <v>0</v>
      </c>
      <c r="O226" s="10">
        <f t="shared" si="66"/>
        <v>0</v>
      </c>
      <c r="P226" s="10">
        <f>VALUE(J_normdate(J_ADDDAY($D226,$O226,1)))</f>
        <v>13980631</v>
      </c>
      <c r="Q226" s="9">
        <f t="shared" si="67"/>
        <v>0</v>
      </c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/>
      <c r="BV226" s="7"/>
      <c r="BW226" s="7"/>
      <c r="BX226" s="7"/>
      <c r="BY226" s="7"/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/>
      <c r="CQ226" s="7"/>
      <c r="CR226" s="7"/>
      <c r="CS226" s="7"/>
      <c r="CT226" s="7"/>
      <c r="CU226" s="7"/>
      <c r="CV226" s="7"/>
      <c r="CW226" s="7"/>
      <c r="CX226" s="7"/>
      <c r="CY226" s="7"/>
      <c r="CZ226" s="7"/>
      <c r="DA226" s="7"/>
      <c r="DB226" s="7"/>
      <c r="DC226" s="7"/>
      <c r="DD226" s="7"/>
      <c r="DE226" s="7"/>
      <c r="DF226" s="7"/>
      <c r="DG226" s="7"/>
      <c r="DH226" s="7"/>
      <c r="DI226" s="7"/>
      <c r="DJ226" s="7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  <c r="DY226" s="7"/>
      <c r="DZ226" s="7"/>
      <c r="EA226" s="7"/>
      <c r="EB226" s="7"/>
      <c r="EC226" s="7"/>
      <c r="ED226" s="7"/>
      <c r="EE226" s="7"/>
      <c r="EF226" s="7"/>
      <c r="EG226" s="7"/>
      <c r="EH226" s="7"/>
      <c r="EI226" s="7"/>
      <c r="EJ226" s="7"/>
      <c r="EK226" s="7"/>
      <c r="EL226" s="7"/>
      <c r="EM226" s="7"/>
      <c r="EN226" s="7"/>
      <c r="EO226" s="7"/>
      <c r="EP226" s="7"/>
      <c r="EQ226" s="7"/>
      <c r="ER226" s="7"/>
      <c r="ES226" s="7"/>
      <c r="ET226" s="7"/>
      <c r="EU226" s="7"/>
      <c r="EV226" s="7"/>
      <c r="EW226" s="7"/>
      <c r="EX226" s="7"/>
      <c r="EY226" s="7"/>
      <c r="EZ226" s="7"/>
      <c r="FA226" s="7"/>
      <c r="FB226" s="7"/>
      <c r="FC226" s="7"/>
      <c r="FD226" s="7"/>
      <c r="FE226" s="7"/>
      <c r="FF226" s="7"/>
      <c r="FG226" s="7"/>
      <c r="FH226" s="7"/>
      <c r="FI226" s="7"/>
      <c r="FJ226" s="7"/>
      <c r="FK226" s="7"/>
      <c r="FL226" s="7"/>
      <c r="FM226" s="7"/>
      <c r="FN226" s="7"/>
      <c r="FO226" s="7"/>
      <c r="FP226" s="7"/>
      <c r="FQ226" s="7"/>
      <c r="FR226" s="7"/>
      <c r="FS226" s="7"/>
      <c r="FT226" s="7"/>
      <c r="FU226" s="7"/>
      <c r="FV226" s="7"/>
      <c r="FW226" s="7"/>
      <c r="FX226" s="7"/>
      <c r="FY226" s="7"/>
      <c r="FZ226" s="7"/>
      <c r="GA226" s="7"/>
      <c r="GB226" s="7"/>
      <c r="GC226" s="7"/>
      <c r="GD226" s="7"/>
      <c r="GE226" s="7"/>
      <c r="GF226" s="7"/>
      <c r="GG226" s="7"/>
      <c r="GH226" s="7"/>
      <c r="GI226" s="7"/>
      <c r="GJ226" s="7"/>
      <c r="GK226" s="7"/>
      <c r="GL226" s="7"/>
      <c r="GM226" s="7"/>
      <c r="GN226" s="7"/>
      <c r="GO226" s="7"/>
      <c r="GP226" s="7"/>
      <c r="GQ226" s="7"/>
      <c r="GR226" s="7"/>
      <c r="GS226" s="7"/>
      <c r="GT226" s="7"/>
      <c r="GU226" s="7"/>
      <c r="GV226" s="7"/>
      <c r="GW226" s="7"/>
      <c r="GX226" s="7"/>
      <c r="GY226" s="7"/>
      <c r="GZ226" s="7"/>
      <c r="HA226" s="7"/>
      <c r="HB226" s="7"/>
      <c r="HC226" s="7"/>
      <c r="HD226" s="7"/>
      <c r="HE226" s="7"/>
      <c r="HF226" s="7"/>
      <c r="HG226" s="7"/>
      <c r="HH226" s="7"/>
      <c r="HI226" s="7"/>
      <c r="HJ226" s="7"/>
      <c r="HK226" s="7"/>
      <c r="HL226" s="7"/>
      <c r="HM226" s="7"/>
      <c r="HN226" s="7"/>
      <c r="HO226" s="7"/>
      <c r="HP226" s="7"/>
      <c r="HQ226" s="7"/>
      <c r="HR226" s="7"/>
      <c r="HS226" s="7"/>
      <c r="HT226" s="7"/>
      <c r="HU226" s="7"/>
      <c r="HV226" s="7"/>
      <c r="HW226" s="7"/>
      <c r="HX226" s="7"/>
      <c r="HY226" s="7"/>
      <c r="HZ226" s="7"/>
      <c r="IA226" s="7"/>
      <c r="IB226" s="7"/>
      <c r="IC226" s="7"/>
      <c r="ID226" s="7"/>
      <c r="IE226" s="7"/>
      <c r="IF226" s="7"/>
      <c r="IG226" s="7"/>
      <c r="IH226" s="7"/>
      <c r="II226" s="7"/>
      <c r="IJ226" s="7"/>
      <c r="IK226" s="7"/>
      <c r="IL226" s="7"/>
      <c r="IM226" s="7"/>
      <c r="IN226" s="7"/>
      <c r="IO226" s="7"/>
      <c r="IP226" s="7"/>
      <c r="IQ226" s="7"/>
      <c r="IR226" s="7"/>
      <c r="IS226" s="7"/>
      <c r="IT226" s="7"/>
      <c r="IU226" s="7"/>
      <c r="IV226" s="7"/>
      <c r="IW226" s="7"/>
      <c r="IX226" s="7"/>
      <c r="JA226" s="113"/>
      <c r="JB226" s="113"/>
      <c r="JC226" s="113"/>
      <c r="JD226" s="66">
        <f>SUM((TEXT(JA226,"[M]")/60)*'Income Person-hours'!$D$3,(TEXT(JB226,"[M]")/60)*'Income Person-hours'!$D$4,(TEXT(JC226,"[M]")/60)*'Income Person-hours'!$D$5)</f>
        <v>0</v>
      </c>
    </row>
    <row r="227" spans="1:264 16383:16384" s="1" customFormat="1" ht="11.25" hidden="1">
      <c r="A227" s="58">
        <v>10</v>
      </c>
      <c r="B227" s="102"/>
      <c r="C227" s="103"/>
      <c r="D227" s="4" t="str">
        <f>FDate(MIN(E228:E248))</f>
        <v>1398/06/30</v>
      </c>
      <c r="E227" s="1">
        <f t="shared" si="70"/>
        <v>13980630</v>
      </c>
      <c r="F227" s="4" t="str">
        <f>J_SUBDAY(J_ADDDAY(D227,L227,1),1,1)</f>
        <v>1398/06/29</v>
      </c>
      <c r="G227" s="2">
        <f t="shared" si="71"/>
        <v>13980629</v>
      </c>
      <c r="H227" s="104"/>
      <c r="I227" s="105"/>
      <c r="J227" s="4">
        <f>j_WEEKDAY(D227,2)</f>
        <v>0</v>
      </c>
      <c r="K227" s="20">
        <f>SUM(K228:K248)</f>
        <v>0</v>
      </c>
      <c r="L227" s="3">
        <f>J_DIFF(D227,FDate(MAX(G228:G248)))+1</f>
        <v>0</v>
      </c>
      <c r="M227" s="166">
        <f>IF(SUM(L228:L248)&lt;&gt;0,SUMPRODUCT(L228:L248,M228:M248)/SUM(L228:L248),0)</f>
        <v>0</v>
      </c>
      <c r="N227" s="167">
        <f>IF(F227&gt;=D227,NETWORKDAYS.INTL(J_GregorianDate(D227,1),J_GregorianDate(F227,1),16,1)-SUMIFS(Holieday[ok],Holieday[date],CONCATENATE("&gt;","=",D227),Holieday[date],CONCATENATE("&lt;","=",F227))+SUMIFS(Holieday[Friday],Holieday[date],CONCATENATE("&gt;","=",D227),Holieday[date],CONCATENATE("&lt;","=",F227)),0)</f>
        <v>0</v>
      </c>
      <c r="O227" s="14">
        <f t="shared" ref="O227" si="72">ROUNDDOWN(M227*L227,0)</f>
        <v>0</v>
      </c>
      <c r="P227" s="14">
        <f>VALUE(J_normdate(J_ADDDAY($D227,$O227,1)))</f>
        <v>13980630</v>
      </c>
      <c r="Q227" s="4">
        <f t="shared" ref="Q227" si="73">L227-O227</f>
        <v>0</v>
      </c>
      <c r="IV227" s="160"/>
      <c r="IW227" s="160"/>
      <c r="IX227" s="160"/>
      <c r="IY227" s="188"/>
      <c r="IZ227" s="188"/>
      <c r="JA227" s="188"/>
      <c r="JB227" s="189"/>
      <c r="JC227" s="160"/>
      <c r="XFC227" s="4"/>
      <c r="XFD227" s="4"/>
    </row>
    <row r="228" spans="1:264 16383:16384" s="11" customFormat="1" ht="11.25" hidden="1">
      <c r="A228" s="30">
        <v>10.1</v>
      </c>
      <c r="B228" s="116"/>
      <c r="C228" s="107"/>
      <c r="D228" s="12" t="str">
        <f>IF(OR(j_WEEKDAY(J_ADDDAY(VLOOKUP(I228,A:F,6,FALSE),H228,1),0)=6,SUMIFS(Holieday[ok],Holieday[date],J_ADDDAY(VLOOKUP(I228,A:F,6,FALSE),H228,1)))=FALSE(),J_ADDDAY(VLOOKUP(I228,A:F,6,FALSE),H228,1),IF(OR(j_WEEKDAY(J_ADDDAY(VLOOKUP(I228,A:F,6,FALSE),H228+1,1),0)=6,SUMIFS(Holieday[ok],Holieday[date],J_ADDDAY(VLOOKUP(I228,A:F,6,FALSE),H228+1,1)))=FALSE(),J_ADDDAY(VLOOKUP(I228,A:F,6,FALSE),H228+1,1),IF(OR(j_WEEKDAY(J_ADDDAY(VLOOKUP(I228,A:F,6,FALSE),H228+2,1),0)=6,SUMIFS(Holieday[ok],Holieday[date],J_ADDDAY(VLOOKUP(I228,A:F,6,FALSE),H228+2,1)))=FALSE(),J_ADDDAY(VLOOKUP(I228,A:F,6,FALSE),H228+2,1),IF(OR(j_WEEKDAY(J_ADDDAY(VLOOKUP(I228,A:F,6,FALSE),H228+3,1),0)=6,SUMIFS(Holieday[ok],Holieday[date],J_ADDDAY(VLOOKUP(I228,A:F,6,FALSE),H228+3,1)))=FALSE(),J_ADDDAY(VLOOKUP(I228,A:F,6,FALSE),H228+3,1),IF(OR(j_WEEKDAY(J_ADDDAY(VLOOKUP(I228,A:F,6,FALSE),H228+4,1),0)=6,SUMIFS(Holieday[ok],Holieday[date],J_ADDDAY(VLOOKUP(I228,A:F,6,FALSE),H228+4,1)))=FALSE(),J_ADDDAY(VLOOKUP(I228,A:F,6,FALSE),H228+4,1),J_ADDDAY(VLOOKUP(I228,A:F,6,FALSE),H228+5,1))))))</f>
        <v>1398/06/30</v>
      </c>
      <c r="E228" s="1">
        <f t="shared" si="70"/>
        <v>13980630</v>
      </c>
      <c r="F228" s="12" t="str">
        <f>IF(N228=0,J_SUBDAY(D228,1,1),IF((N228-NETWORKDAYS.INTL(J_GregorianDate(D228,1),J_GregorianDate(J_SUBDAY(J_ADDDAY(D228,N228,1),1,1),1),16,1)-SUMIFS(Holieday[ok],Holieday[date],CONCATENATE("&gt;","=",D228),Holieday[date],CONCATENATE("&lt;","=",J_SUBDAY(J_ADDDAY(D228,N228,1),1,1)))+SUMIFS(Holieday[Friday],Holieday[date],CONCATENATE("&gt;","=",D228),Holieday[date],CONCATENATE("&lt;","=",J_SUBDAY(J_ADDDAY(D228,N228,1),1,1))))=0,J_SUBDAY(J_ADDDAY(D228,N228,1),1,1),IF((N228-NETWORKDAYS.INTL(J_GregorianDate(D228,1),J_GregorianDate(J_SUBDAY(J_ADDDAY(D228,N228,1),1,1),1),16,1)-SUMIFS(Holieday[ok],Holieday[date],CONCATENATE("&gt;","=",D228),Holieday[date],CONCATENATE("&lt;","=",J_SUBDAY(J_ADDDAY(D228,N228,1),1,1)))+SUMIFS(Holieday[Friday],Holieday[date],CONCATENATE("&gt;","=",D228),Holieday[date],CONCATENATE("&lt;","=",J_SUBDAY(J_ADDDAY(D228,N228,1),1,1))))=1,J_SUBDAY(J_ADDDAY(D228,N228+1,1),1,1),IF((N228-NETWORKDAYS.INTL(J_GregorianDate(D228,1),J_GregorianDate(J_SUBDAY(J_ADDDAY(D228,N228,1),1,1),1),16,1)-SUMIFS(Holieday[ok],Holieday[date],CONCATENATE("&gt;","=",D228),Holieday[date],CONCATENATE("&lt;","=",J_SUBDAY(J_ADDDAY(D228,N228,1),1,1)))+SUMIFS(Holieday[Friday],Holieday[date],CONCATENATE("&gt;","=",D228),Holieday[date],CONCATENATE("&lt;","=",J_SUBDAY(J_ADDDAY(D228,N228,1),1,1))))=2,J_SUBDAY(J_ADDDAY(D228,N228+2,1),1,1),J_SUBDAY(J_ADDDAY(D228,N228+3,1),1,1)))))</f>
        <v>1398/06/29</v>
      </c>
      <c r="G228" s="2">
        <f t="shared" si="71"/>
        <v>13980629</v>
      </c>
      <c r="H228" s="109"/>
      <c r="I228" s="110">
        <v>9.1</v>
      </c>
      <c r="J228" s="9">
        <f>j_WEEKDAY(D228,2)</f>
        <v>0</v>
      </c>
      <c r="K228" s="21">
        <f t="shared" si="69"/>
        <v>0</v>
      </c>
      <c r="L228" s="8">
        <f t="shared" ref="L228:L248" si="74">J_DIFF(D228,F228)+1</f>
        <v>0</v>
      </c>
      <c r="M228" s="111">
        <v>0</v>
      </c>
      <c r="N228" s="108">
        <v>0</v>
      </c>
      <c r="O228" s="10">
        <f t="shared" ref="O228:O248" si="75">ROUNDDOWN(M228*L228,0)</f>
        <v>0</v>
      </c>
      <c r="P228" s="10">
        <f>VALUE(J_normdate(J_ADDDAY($D228,$O228,1)))</f>
        <v>13980630</v>
      </c>
      <c r="Q228" s="9">
        <f t="shared" ref="Q228:Q248" si="76">L228-O228</f>
        <v>0</v>
      </c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7"/>
      <c r="BV228" s="7"/>
      <c r="BW228" s="7"/>
      <c r="BX228" s="7"/>
      <c r="BY228" s="7"/>
      <c r="BZ228" s="7"/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  <c r="CO228" s="7"/>
      <c r="CP228" s="7"/>
      <c r="CQ228" s="7"/>
      <c r="CR228" s="7"/>
      <c r="CS228" s="7"/>
      <c r="CT228" s="7"/>
      <c r="CU228" s="7"/>
      <c r="CV228" s="7"/>
      <c r="CW228" s="7"/>
      <c r="CX228" s="7"/>
      <c r="CY228" s="7"/>
      <c r="CZ228" s="7"/>
      <c r="DA228" s="7"/>
      <c r="DB228" s="7"/>
      <c r="DC228" s="7"/>
      <c r="DD228" s="7"/>
      <c r="DE228" s="7"/>
      <c r="DF228" s="7"/>
      <c r="DG228" s="7"/>
      <c r="DH228" s="7"/>
      <c r="DI228" s="7"/>
      <c r="DJ228" s="7"/>
      <c r="DK228" s="7"/>
      <c r="DL228" s="7"/>
      <c r="DM228" s="7"/>
      <c r="DN228" s="7"/>
      <c r="DO228" s="7"/>
      <c r="DP228" s="7"/>
      <c r="DQ228" s="7"/>
      <c r="DR228" s="7"/>
      <c r="DS228" s="7"/>
      <c r="DT228" s="7"/>
      <c r="DU228" s="7"/>
      <c r="DV228" s="7"/>
      <c r="DW228" s="7"/>
      <c r="DX228" s="7"/>
      <c r="DY228" s="7"/>
      <c r="DZ228" s="7"/>
      <c r="EA228" s="7"/>
      <c r="EB228" s="7"/>
      <c r="EC228" s="7"/>
      <c r="ED228" s="7"/>
      <c r="EE228" s="7"/>
      <c r="EF228" s="7"/>
      <c r="EG228" s="7"/>
      <c r="EH228" s="7"/>
      <c r="EI228" s="7"/>
      <c r="EJ228" s="7"/>
      <c r="EK228" s="7"/>
      <c r="EL228" s="7"/>
      <c r="EM228" s="7"/>
      <c r="EN228" s="7"/>
      <c r="EO228" s="7"/>
      <c r="EP228" s="7"/>
      <c r="EQ228" s="7"/>
      <c r="ER228" s="7"/>
      <c r="ES228" s="7"/>
      <c r="ET228" s="7"/>
      <c r="EU228" s="7"/>
      <c r="EV228" s="7"/>
      <c r="EW228" s="7"/>
      <c r="EX228" s="7"/>
      <c r="EY228" s="7"/>
      <c r="EZ228" s="7"/>
      <c r="FA228" s="7"/>
      <c r="FB228" s="7"/>
      <c r="FC228" s="7"/>
      <c r="FD228" s="7"/>
      <c r="FE228" s="7"/>
      <c r="FF228" s="7"/>
      <c r="FG228" s="7"/>
      <c r="FH228" s="7"/>
      <c r="FI228" s="7"/>
      <c r="FJ228" s="7"/>
      <c r="FK228" s="7"/>
      <c r="FL228" s="7"/>
      <c r="FM228" s="7"/>
      <c r="FN228" s="7"/>
      <c r="FO228" s="7"/>
      <c r="FP228" s="7"/>
      <c r="FQ228" s="7"/>
      <c r="FR228" s="7"/>
      <c r="FS228" s="7"/>
      <c r="FT228" s="7"/>
      <c r="FU228" s="7"/>
      <c r="FV228" s="7"/>
      <c r="FW228" s="7"/>
      <c r="FX228" s="7"/>
      <c r="FY228" s="7"/>
      <c r="FZ228" s="7"/>
      <c r="GA228" s="7"/>
      <c r="GB228" s="7"/>
      <c r="GC228" s="7"/>
      <c r="GD228" s="7"/>
      <c r="GE228" s="7"/>
      <c r="GF228" s="7"/>
      <c r="GG228" s="7"/>
      <c r="GH228" s="7"/>
      <c r="GI228" s="7"/>
      <c r="GJ228" s="7"/>
      <c r="GK228" s="7"/>
      <c r="GL228" s="7"/>
      <c r="GM228" s="7"/>
      <c r="GN228" s="7"/>
      <c r="GO228" s="7"/>
      <c r="GP228" s="7"/>
      <c r="GQ228" s="7"/>
      <c r="GR228" s="7"/>
      <c r="GS228" s="7"/>
      <c r="GT228" s="7"/>
      <c r="GU228" s="7"/>
      <c r="GV228" s="7"/>
      <c r="GW228" s="7"/>
      <c r="GX228" s="7"/>
      <c r="GY228" s="7"/>
      <c r="GZ228" s="7"/>
      <c r="HA228" s="7"/>
      <c r="HB228" s="7"/>
      <c r="HC228" s="7"/>
      <c r="HD228" s="7"/>
      <c r="HE228" s="7"/>
      <c r="HF228" s="7"/>
      <c r="HG228" s="7"/>
      <c r="HH228" s="7"/>
      <c r="HI228" s="7"/>
      <c r="HJ228" s="7"/>
      <c r="HK228" s="7"/>
      <c r="HL228" s="7"/>
      <c r="HM228" s="7"/>
      <c r="HN228" s="7"/>
      <c r="HO228" s="7"/>
      <c r="HP228" s="7"/>
      <c r="HQ228" s="7"/>
      <c r="HR228" s="7"/>
      <c r="HS228" s="7"/>
      <c r="HT228" s="7"/>
      <c r="HU228" s="7"/>
      <c r="HV228" s="7"/>
      <c r="HW228" s="7"/>
      <c r="HX228" s="7"/>
      <c r="HY228" s="7"/>
      <c r="HZ228" s="7"/>
      <c r="IA228" s="7"/>
      <c r="IB228" s="7"/>
      <c r="IC228" s="7"/>
      <c r="ID228" s="7"/>
      <c r="IE228" s="7"/>
      <c r="IF228" s="7"/>
      <c r="IG228" s="7"/>
      <c r="IH228" s="7"/>
      <c r="II228" s="7"/>
      <c r="IJ228" s="7"/>
      <c r="IK228" s="7"/>
      <c r="IL228" s="7"/>
      <c r="IM228" s="7"/>
      <c r="IN228" s="7"/>
      <c r="IO228" s="7"/>
      <c r="IP228" s="7"/>
      <c r="IQ228" s="7"/>
      <c r="IR228" s="7"/>
      <c r="IS228" s="7"/>
      <c r="IT228" s="7"/>
      <c r="IU228" s="7"/>
      <c r="IV228" s="7"/>
      <c r="IW228" s="7"/>
      <c r="IX228" s="7"/>
      <c r="JA228" s="113"/>
      <c r="JB228" s="113"/>
      <c r="JC228" s="113"/>
      <c r="JD228" s="66">
        <f>SUM((TEXT(JA228,"[M]")/60)*'Income Person-hours'!$D$3,(TEXT(JB228,"[M]")/60)*'Income Person-hours'!$D$4,(TEXT(JC228,"[M]")/60)*'Income Person-hours'!$D$5)</f>
        <v>0</v>
      </c>
    </row>
    <row r="229" spans="1:264 16383:16384" s="11" customFormat="1" ht="11.25" hidden="1">
      <c r="A229" s="30">
        <v>10.199999999999999</v>
      </c>
      <c r="B229" s="116"/>
      <c r="C229" s="107"/>
      <c r="D229" s="12" t="str">
        <f>IF(OR(j_WEEKDAY(J_ADDDAY(VLOOKUP(I229,A:F,6,FALSE),H229,1),0)=6,SUMIFS(Holieday[ok],Holieday[date],J_ADDDAY(VLOOKUP(I229,A:F,6,FALSE),H229,1)))=FALSE(),J_ADDDAY(VLOOKUP(I229,A:F,6,FALSE),H229,1),IF(OR(j_WEEKDAY(J_ADDDAY(VLOOKUP(I229,A:F,6,FALSE),H229+1,1),0)=6,SUMIFS(Holieday[ok],Holieday[date],J_ADDDAY(VLOOKUP(I229,A:F,6,FALSE),H229+1,1)))=FALSE(),J_ADDDAY(VLOOKUP(I229,A:F,6,FALSE),H229+1,1),IF(OR(j_WEEKDAY(J_ADDDAY(VLOOKUP(I229,A:F,6,FALSE),H229+2,1),0)=6,SUMIFS(Holieday[ok],Holieday[date],J_ADDDAY(VLOOKUP(I229,A:F,6,FALSE),H229+2,1)))=FALSE(),J_ADDDAY(VLOOKUP(I229,A:F,6,FALSE),H229+2,1),IF(OR(j_WEEKDAY(J_ADDDAY(VLOOKUP(I229,A:F,6,FALSE),H229+3,1),0)=6,SUMIFS(Holieday[ok],Holieday[date],J_ADDDAY(VLOOKUP(I229,A:F,6,FALSE),H229+3,1)))=FALSE(),J_ADDDAY(VLOOKUP(I229,A:F,6,FALSE),H229+3,1),IF(OR(j_WEEKDAY(J_ADDDAY(VLOOKUP(I229,A:F,6,FALSE),H229+4,1),0)=6,SUMIFS(Holieday[ok],Holieday[date],J_ADDDAY(VLOOKUP(I229,A:F,6,FALSE),H229+4,1)))=FALSE(),J_ADDDAY(VLOOKUP(I229,A:F,6,FALSE),H229+4,1),J_ADDDAY(VLOOKUP(I229,A:F,6,FALSE),H229+5,1))))))</f>
        <v>1398/06/30</v>
      </c>
      <c r="E229" s="1">
        <f t="shared" si="70"/>
        <v>13980630</v>
      </c>
      <c r="F229" s="12" t="str">
        <f>IF(N229=0,J_SUBDAY(D229,1,1),IF((N229-NETWORKDAYS.INTL(J_GregorianDate(D229,1),J_GregorianDate(J_SUBDAY(J_ADDDAY(D229,N229,1),1,1),1),16,1)-SUMIFS(Holieday[ok],Holieday[date],CONCATENATE("&gt;","=",D229),Holieday[date],CONCATENATE("&lt;","=",J_SUBDAY(J_ADDDAY(D229,N229,1),1,1)))+SUMIFS(Holieday[Friday],Holieday[date],CONCATENATE("&gt;","=",D229),Holieday[date],CONCATENATE("&lt;","=",J_SUBDAY(J_ADDDAY(D229,N229,1),1,1))))=0,J_SUBDAY(J_ADDDAY(D229,N229,1),1,1),IF((N229-NETWORKDAYS.INTL(J_GregorianDate(D229,1),J_GregorianDate(J_SUBDAY(J_ADDDAY(D229,N229,1),1,1),1),16,1)-SUMIFS(Holieday[ok],Holieday[date],CONCATENATE("&gt;","=",D229),Holieday[date],CONCATENATE("&lt;","=",J_SUBDAY(J_ADDDAY(D229,N229,1),1,1)))+SUMIFS(Holieday[Friday],Holieday[date],CONCATENATE("&gt;","=",D229),Holieday[date],CONCATENATE("&lt;","=",J_SUBDAY(J_ADDDAY(D229,N229,1),1,1))))=1,J_SUBDAY(J_ADDDAY(D229,N229+1,1),1,1),IF((N229-NETWORKDAYS.INTL(J_GregorianDate(D229,1),J_GregorianDate(J_SUBDAY(J_ADDDAY(D229,N229,1),1,1),1),16,1)-SUMIFS(Holieday[ok],Holieday[date],CONCATENATE("&gt;","=",D229),Holieday[date],CONCATENATE("&lt;","=",J_SUBDAY(J_ADDDAY(D229,N229,1),1,1)))+SUMIFS(Holieday[Friday],Holieday[date],CONCATENATE("&gt;","=",D229),Holieday[date],CONCATENATE("&lt;","=",J_SUBDAY(J_ADDDAY(D229,N229,1),1,1))))=2,J_SUBDAY(J_ADDDAY(D229,N229+2,1),1,1),J_SUBDAY(J_ADDDAY(D229,N229+3,1),1,1)))))</f>
        <v>1398/06/29</v>
      </c>
      <c r="G229" s="2">
        <f t="shared" si="71"/>
        <v>13980629</v>
      </c>
      <c r="H229" s="109"/>
      <c r="I229" s="110">
        <v>10.1</v>
      </c>
      <c r="J229" s="9">
        <f>j_WEEKDAY(D229,2)</f>
        <v>0</v>
      </c>
      <c r="K229" s="21">
        <f t="shared" si="69"/>
        <v>0</v>
      </c>
      <c r="L229" s="8">
        <f t="shared" si="74"/>
        <v>0</v>
      </c>
      <c r="M229" s="111">
        <v>0</v>
      </c>
      <c r="N229" s="108">
        <v>0</v>
      </c>
      <c r="O229" s="10">
        <f t="shared" si="75"/>
        <v>0</v>
      </c>
      <c r="P229" s="10">
        <f>VALUE(J_normdate(J_ADDDAY($D229,$O229,1)))</f>
        <v>13980630</v>
      </c>
      <c r="Q229" s="9">
        <f t="shared" si="76"/>
        <v>0</v>
      </c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7"/>
      <c r="BV229" s="7"/>
      <c r="BW229" s="7"/>
      <c r="BX229" s="7"/>
      <c r="BY229" s="7"/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  <c r="CO229" s="7"/>
      <c r="CP229" s="7"/>
      <c r="CQ229" s="7"/>
      <c r="CR229" s="7"/>
      <c r="CS229" s="7"/>
      <c r="CT229" s="7"/>
      <c r="CU229" s="7"/>
      <c r="CV229" s="7"/>
      <c r="CW229" s="7"/>
      <c r="CX229" s="7"/>
      <c r="CY229" s="7"/>
      <c r="CZ229" s="7"/>
      <c r="DA229" s="7"/>
      <c r="DB229" s="7"/>
      <c r="DC229" s="7"/>
      <c r="DD229" s="7"/>
      <c r="DE229" s="7"/>
      <c r="DF229" s="7"/>
      <c r="DG229" s="7"/>
      <c r="DH229" s="7"/>
      <c r="DI229" s="7"/>
      <c r="DJ229" s="7"/>
      <c r="DK229" s="7"/>
      <c r="DL229" s="7"/>
      <c r="DM229" s="7"/>
      <c r="DN229" s="7"/>
      <c r="DO229" s="7"/>
      <c r="DP229" s="7"/>
      <c r="DQ229" s="7"/>
      <c r="DR229" s="7"/>
      <c r="DS229" s="7"/>
      <c r="DT229" s="7"/>
      <c r="DU229" s="7"/>
      <c r="DV229" s="7"/>
      <c r="DW229" s="7"/>
      <c r="DX229" s="7"/>
      <c r="DY229" s="7"/>
      <c r="DZ229" s="7"/>
      <c r="EA229" s="7"/>
      <c r="EB229" s="7"/>
      <c r="EC229" s="7"/>
      <c r="ED229" s="7"/>
      <c r="EE229" s="7"/>
      <c r="EF229" s="7"/>
      <c r="EG229" s="7"/>
      <c r="EH229" s="7"/>
      <c r="EI229" s="7"/>
      <c r="EJ229" s="7"/>
      <c r="EK229" s="7"/>
      <c r="EL229" s="7"/>
      <c r="EM229" s="7"/>
      <c r="EN229" s="7"/>
      <c r="EO229" s="7"/>
      <c r="EP229" s="7"/>
      <c r="EQ229" s="7"/>
      <c r="ER229" s="7"/>
      <c r="ES229" s="7"/>
      <c r="ET229" s="7"/>
      <c r="EU229" s="7"/>
      <c r="EV229" s="7"/>
      <c r="EW229" s="7"/>
      <c r="EX229" s="7"/>
      <c r="EY229" s="7"/>
      <c r="EZ229" s="7"/>
      <c r="FA229" s="7"/>
      <c r="FB229" s="7"/>
      <c r="FC229" s="7"/>
      <c r="FD229" s="7"/>
      <c r="FE229" s="7"/>
      <c r="FF229" s="7"/>
      <c r="FG229" s="7"/>
      <c r="FH229" s="7"/>
      <c r="FI229" s="7"/>
      <c r="FJ229" s="7"/>
      <c r="FK229" s="7"/>
      <c r="FL229" s="7"/>
      <c r="FM229" s="7"/>
      <c r="FN229" s="7"/>
      <c r="FO229" s="7"/>
      <c r="FP229" s="7"/>
      <c r="FQ229" s="7"/>
      <c r="FR229" s="7"/>
      <c r="FS229" s="7"/>
      <c r="FT229" s="7"/>
      <c r="FU229" s="7"/>
      <c r="FV229" s="7"/>
      <c r="FW229" s="7"/>
      <c r="FX229" s="7"/>
      <c r="FY229" s="7"/>
      <c r="FZ229" s="7"/>
      <c r="GA229" s="7"/>
      <c r="GB229" s="7"/>
      <c r="GC229" s="7"/>
      <c r="GD229" s="7"/>
      <c r="GE229" s="7"/>
      <c r="GF229" s="7"/>
      <c r="GG229" s="7"/>
      <c r="GH229" s="7"/>
      <c r="GI229" s="7"/>
      <c r="GJ229" s="7"/>
      <c r="GK229" s="7"/>
      <c r="GL229" s="7"/>
      <c r="GM229" s="7"/>
      <c r="GN229" s="7"/>
      <c r="GO229" s="7"/>
      <c r="GP229" s="7"/>
      <c r="GQ229" s="7"/>
      <c r="GR229" s="7"/>
      <c r="GS229" s="7"/>
      <c r="GT229" s="7"/>
      <c r="GU229" s="7"/>
      <c r="GV229" s="7"/>
      <c r="GW229" s="7"/>
      <c r="GX229" s="7"/>
      <c r="GY229" s="7"/>
      <c r="GZ229" s="7"/>
      <c r="HA229" s="7"/>
      <c r="HB229" s="7"/>
      <c r="HC229" s="7"/>
      <c r="HD229" s="7"/>
      <c r="HE229" s="7"/>
      <c r="HF229" s="7"/>
      <c r="HG229" s="7"/>
      <c r="HH229" s="7"/>
      <c r="HI229" s="7"/>
      <c r="HJ229" s="7"/>
      <c r="HK229" s="7"/>
      <c r="HL229" s="7"/>
      <c r="HM229" s="7"/>
      <c r="HN229" s="7"/>
      <c r="HO229" s="7"/>
      <c r="HP229" s="7"/>
      <c r="HQ229" s="7"/>
      <c r="HR229" s="7"/>
      <c r="HS229" s="7"/>
      <c r="HT229" s="7"/>
      <c r="HU229" s="7"/>
      <c r="HV229" s="7"/>
      <c r="HW229" s="7"/>
      <c r="HX229" s="7"/>
      <c r="HY229" s="7"/>
      <c r="HZ229" s="7"/>
      <c r="IA229" s="7"/>
      <c r="IB229" s="7"/>
      <c r="IC229" s="7"/>
      <c r="ID229" s="7"/>
      <c r="IE229" s="7"/>
      <c r="IF229" s="7"/>
      <c r="IG229" s="7"/>
      <c r="IH229" s="7"/>
      <c r="II229" s="7"/>
      <c r="IJ229" s="7"/>
      <c r="IK229" s="7"/>
      <c r="IL229" s="7"/>
      <c r="IM229" s="7"/>
      <c r="IN229" s="7"/>
      <c r="IO229" s="7"/>
      <c r="IP229" s="7"/>
      <c r="IQ229" s="7"/>
      <c r="IR229" s="7"/>
      <c r="IS229" s="7"/>
      <c r="IT229" s="7"/>
      <c r="IU229" s="7"/>
      <c r="IV229" s="7"/>
      <c r="IW229" s="7"/>
      <c r="IX229" s="7"/>
      <c r="JA229" s="113"/>
      <c r="JB229" s="113"/>
      <c r="JC229" s="113"/>
      <c r="JD229" s="66">
        <f>SUM((TEXT(JA229,"[M]")/60)*'Income Person-hours'!$D$3,(TEXT(JB229,"[M]")/60)*'Income Person-hours'!$D$4,(TEXT(JC229,"[M]")/60)*'Income Person-hours'!$D$5)</f>
        <v>0</v>
      </c>
    </row>
    <row r="230" spans="1:264 16383:16384" s="11" customFormat="1" ht="11.25" hidden="1">
      <c r="A230" s="30">
        <v>10.3</v>
      </c>
      <c r="B230" s="116"/>
      <c r="C230" s="107"/>
      <c r="D230" s="12" t="str">
        <f>IF(OR(j_WEEKDAY(J_ADDDAY(VLOOKUP(I230,A:F,6,FALSE),H230,1),0)=6,SUMIFS(Holieday[ok],Holieday[date],J_ADDDAY(VLOOKUP(I230,A:F,6,FALSE),H230,1)))=FALSE(),J_ADDDAY(VLOOKUP(I230,A:F,6,FALSE),H230,1),IF(OR(j_WEEKDAY(J_ADDDAY(VLOOKUP(I230,A:F,6,FALSE),H230+1,1),0)=6,SUMIFS(Holieday[ok],Holieday[date],J_ADDDAY(VLOOKUP(I230,A:F,6,FALSE),H230+1,1)))=FALSE(),J_ADDDAY(VLOOKUP(I230,A:F,6,FALSE),H230+1,1),IF(OR(j_WEEKDAY(J_ADDDAY(VLOOKUP(I230,A:F,6,FALSE),H230+2,1),0)=6,SUMIFS(Holieday[ok],Holieday[date],J_ADDDAY(VLOOKUP(I230,A:F,6,FALSE),H230+2,1)))=FALSE(),J_ADDDAY(VLOOKUP(I230,A:F,6,FALSE),H230+2,1),IF(OR(j_WEEKDAY(J_ADDDAY(VLOOKUP(I230,A:F,6,FALSE),H230+3,1),0)=6,SUMIFS(Holieday[ok],Holieday[date],J_ADDDAY(VLOOKUP(I230,A:F,6,FALSE),H230+3,1)))=FALSE(),J_ADDDAY(VLOOKUP(I230,A:F,6,FALSE),H230+3,1),IF(OR(j_WEEKDAY(J_ADDDAY(VLOOKUP(I230,A:F,6,FALSE),H230+4,1),0)=6,SUMIFS(Holieday[ok],Holieday[date],J_ADDDAY(VLOOKUP(I230,A:F,6,FALSE),H230+4,1)))=FALSE(),J_ADDDAY(VLOOKUP(I230,A:F,6,FALSE),H230+4,1),J_ADDDAY(VLOOKUP(I230,A:F,6,FALSE),H230+5,1))))))</f>
        <v>1398/06/30</v>
      </c>
      <c r="E230" s="1">
        <f t="shared" si="70"/>
        <v>13980630</v>
      </c>
      <c r="F230" s="12" t="str">
        <f>IF(N230=0,J_SUBDAY(D230,1,1),IF((N230-NETWORKDAYS.INTL(J_GregorianDate(D230,1),J_GregorianDate(J_SUBDAY(J_ADDDAY(D230,N230,1),1,1),1),16,1)-SUMIFS(Holieday[ok],Holieday[date],CONCATENATE("&gt;","=",D230),Holieday[date],CONCATENATE("&lt;","=",J_SUBDAY(J_ADDDAY(D230,N230,1),1,1)))+SUMIFS(Holieday[Friday],Holieday[date],CONCATENATE("&gt;","=",D230),Holieday[date],CONCATENATE("&lt;","=",J_SUBDAY(J_ADDDAY(D230,N230,1),1,1))))=0,J_SUBDAY(J_ADDDAY(D230,N230,1),1,1),IF((N230-NETWORKDAYS.INTL(J_GregorianDate(D230,1),J_GregorianDate(J_SUBDAY(J_ADDDAY(D230,N230,1),1,1),1),16,1)-SUMIFS(Holieday[ok],Holieday[date],CONCATENATE("&gt;","=",D230),Holieday[date],CONCATENATE("&lt;","=",J_SUBDAY(J_ADDDAY(D230,N230,1),1,1)))+SUMIFS(Holieday[Friday],Holieday[date],CONCATENATE("&gt;","=",D230),Holieday[date],CONCATENATE("&lt;","=",J_SUBDAY(J_ADDDAY(D230,N230,1),1,1))))=1,J_SUBDAY(J_ADDDAY(D230,N230+1,1),1,1),IF((N230-NETWORKDAYS.INTL(J_GregorianDate(D230,1),J_GregorianDate(J_SUBDAY(J_ADDDAY(D230,N230,1),1,1),1),16,1)-SUMIFS(Holieday[ok],Holieday[date],CONCATENATE("&gt;","=",D230),Holieday[date],CONCATENATE("&lt;","=",J_SUBDAY(J_ADDDAY(D230,N230,1),1,1)))+SUMIFS(Holieday[Friday],Holieday[date],CONCATENATE("&gt;","=",D230),Holieday[date],CONCATENATE("&lt;","=",J_SUBDAY(J_ADDDAY(D230,N230,1),1,1))))=2,J_SUBDAY(J_ADDDAY(D230,N230+2,1),1,1),J_SUBDAY(J_ADDDAY(D230,N230+3,1),1,1)))))</f>
        <v>1398/06/29</v>
      </c>
      <c r="G230" s="2">
        <f t="shared" si="71"/>
        <v>13980629</v>
      </c>
      <c r="H230" s="109"/>
      <c r="I230" s="110">
        <v>10.1</v>
      </c>
      <c r="J230" s="9">
        <f>j_WEEKDAY(D230,2)</f>
        <v>0</v>
      </c>
      <c r="K230" s="21">
        <f t="shared" si="69"/>
        <v>0</v>
      </c>
      <c r="L230" s="8">
        <f t="shared" si="74"/>
        <v>0</v>
      </c>
      <c r="M230" s="111">
        <v>0</v>
      </c>
      <c r="N230" s="108">
        <v>0</v>
      </c>
      <c r="O230" s="10">
        <f t="shared" si="75"/>
        <v>0</v>
      </c>
      <c r="P230" s="10">
        <f>VALUE(J_normdate(J_ADDDAY($D230,$O230,1)))</f>
        <v>13980630</v>
      </c>
      <c r="Q230" s="9">
        <f t="shared" si="76"/>
        <v>0</v>
      </c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7"/>
      <c r="BV230" s="7"/>
      <c r="BW230" s="7"/>
      <c r="BX230" s="7"/>
      <c r="BY230" s="7"/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  <c r="CO230" s="7"/>
      <c r="CP230" s="7"/>
      <c r="CQ230" s="7"/>
      <c r="CR230" s="7"/>
      <c r="CS230" s="7"/>
      <c r="CT230" s="7"/>
      <c r="CU230" s="7"/>
      <c r="CV230" s="7"/>
      <c r="CW230" s="7"/>
      <c r="CX230" s="7"/>
      <c r="CY230" s="7"/>
      <c r="CZ230" s="7"/>
      <c r="DA230" s="7"/>
      <c r="DB230" s="7"/>
      <c r="DC230" s="7"/>
      <c r="DD230" s="7"/>
      <c r="DE230" s="7"/>
      <c r="DF230" s="7"/>
      <c r="DG230" s="7"/>
      <c r="DH230" s="7"/>
      <c r="DI230" s="7"/>
      <c r="DJ230" s="7"/>
      <c r="DK230" s="7"/>
      <c r="DL230" s="7"/>
      <c r="DM230" s="7"/>
      <c r="DN230" s="7"/>
      <c r="DO230" s="7"/>
      <c r="DP230" s="7"/>
      <c r="DQ230" s="7"/>
      <c r="DR230" s="7"/>
      <c r="DS230" s="7"/>
      <c r="DT230" s="7"/>
      <c r="DU230" s="7"/>
      <c r="DV230" s="7"/>
      <c r="DW230" s="7"/>
      <c r="DX230" s="7"/>
      <c r="DY230" s="7"/>
      <c r="DZ230" s="7"/>
      <c r="EA230" s="7"/>
      <c r="EB230" s="7"/>
      <c r="EC230" s="7"/>
      <c r="ED230" s="7"/>
      <c r="EE230" s="7"/>
      <c r="EF230" s="7"/>
      <c r="EG230" s="7"/>
      <c r="EH230" s="7"/>
      <c r="EI230" s="7"/>
      <c r="EJ230" s="7"/>
      <c r="EK230" s="7"/>
      <c r="EL230" s="7"/>
      <c r="EM230" s="7"/>
      <c r="EN230" s="7"/>
      <c r="EO230" s="7"/>
      <c r="EP230" s="7"/>
      <c r="EQ230" s="7"/>
      <c r="ER230" s="7"/>
      <c r="ES230" s="7"/>
      <c r="ET230" s="7"/>
      <c r="EU230" s="7"/>
      <c r="EV230" s="7"/>
      <c r="EW230" s="7"/>
      <c r="EX230" s="7"/>
      <c r="EY230" s="7"/>
      <c r="EZ230" s="7"/>
      <c r="FA230" s="7"/>
      <c r="FB230" s="7"/>
      <c r="FC230" s="7"/>
      <c r="FD230" s="7"/>
      <c r="FE230" s="7"/>
      <c r="FF230" s="7"/>
      <c r="FG230" s="7"/>
      <c r="FH230" s="7"/>
      <c r="FI230" s="7"/>
      <c r="FJ230" s="7"/>
      <c r="FK230" s="7"/>
      <c r="FL230" s="7"/>
      <c r="FM230" s="7"/>
      <c r="FN230" s="7"/>
      <c r="FO230" s="7"/>
      <c r="FP230" s="7"/>
      <c r="FQ230" s="7"/>
      <c r="FR230" s="7"/>
      <c r="FS230" s="7"/>
      <c r="FT230" s="7"/>
      <c r="FU230" s="7"/>
      <c r="FV230" s="7"/>
      <c r="FW230" s="7"/>
      <c r="FX230" s="7"/>
      <c r="FY230" s="7"/>
      <c r="FZ230" s="7"/>
      <c r="GA230" s="7"/>
      <c r="GB230" s="7"/>
      <c r="GC230" s="7"/>
      <c r="GD230" s="7"/>
      <c r="GE230" s="7"/>
      <c r="GF230" s="7"/>
      <c r="GG230" s="7"/>
      <c r="GH230" s="7"/>
      <c r="GI230" s="7"/>
      <c r="GJ230" s="7"/>
      <c r="GK230" s="7"/>
      <c r="GL230" s="7"/>
      <c r="GM230" s="7"/>
      <c r="GN230" s="7"/>
      <c r="GO230" s="7"/>
      <c r="GP230" s="7"/>
      <c r="GQ230" s="7"/>
      <c r="GR230" s="7"/>
      <c r="GS230" s="7"/>
      <c r="GT230" s="7"/>
      <c r="GU230" s="7"/>
      <c r="GV230" s="7"/>
      <c r="GW230" s="7"/>
      <c r="GX230" s="7"/>
      <c r="GY230" s="7"/>
      <c r="GZ230" s="7"/>
      <c r="HA230" s="7"/>
      <c r="HB230" s="7"/>
      <c r="HC230" s="7"/>
      <c r="HD230" s="7"/>
      <c r="HE230" s="7"/>
      <c r="HF230" s="7"/>
      <c r="HG230" s="7"/>
      <c r="HH230" s="7"/>
      <c r="HI230" s="7"/>
      <c r="HJ230" s="7"/>
      <c r="HK230" s="7"/>
      <c r="HL230" s="7"/>
      <c r="HM230" s="7"/>
      <c r="HN230" s="7"/>
      <c r="HO230" s="7"/>
      <c r="HP230" s="7"/>
      <c r="HQ230" s="7"/>
      <c r="HR230" s="7"/>
      <c r="HS230" s="7"/>
      <c r="HT230" s="7"/>
      <c r="HU230" s="7"/>
      <c r="HV230" s="7"/>
      <c r="HW230" s="7"/>
      <c r="HX230" s="7"/>
      <c r="HY230" s="7"/>
      <c r="HZ230" s="7"/>
      <c r="IA230" s="7"/>
      <c r="IB230" s="7"/>
      <c r="IC230" s="7"/>
      <c r="ID230" s="7"/>
      <c r="IE230" s="7"/>
      <c r="IF230" s="7"/>
      <c r="IG230" s="7"/>
      <c r="IH230" s="7"/>
      <c r="II230" s="7"/>
      <c r="IJ230" s="7"/>
      <c r="IK230" s="7"/>
      <c r="IL230" s="7"/>
      <c r="IM230" s="7"/>
      <c r="IN230" s="7"/>
      <c r="IO230" s="7"/>
      <c r="IP230" s="7"/>
      <c r="IQ230" s="7"/>
      <c r="IR230" s="7"/>
      <c r="IS230" s="7"/>
      <c r="IT230" s="7"/>
      <c r="IU230" s="7"/>
      <c r="IV230" s="7"/>
      <c r="IW230" s="7"/>
      <c r="IX230" s="7"/>
      <c r="JA230" s="113"/>
      <c r="JB230" s="113"/>
      <c r="JC230" s="113"/>
      <c r="JD230" s="66">
        <f>SUM((TEXT(JA230,"[M]")/60)*'Income Person-hours'!$D$3,(TEXT(JB230,"[M]")/60)*'Income Person-hours'!$D$4,(TEXT(JC230,"[M]")/60)*'Income Person-hours'!$D$5)</f>
        <v>0</v>
      </c>
    </row>
    <row r="231" spans="1:264 16383:16384" s="11" customFormat="1" ht="11.25" hidden="1">
      <c r="A231" s="30">
        <v>10.4</v>
      </c>
      <c r="B231" s="116"/>
      <c r="C231" s="107"/>
      <c r="D231" s="12" t="str">
        <f>IF(OR(j_WEEKDAY(J_ADDDAY(VLOOKUP(I231,A:F,6,FALSE),H231,1),0)=6,SUMIFS(Holieday[ok],Holieday[date],J_ADDDAY(VLOOKUP(I231,A:F,6,FALSE),H231,1)))=FALSE(),J_ADDDAY(VLOOKUP(I231,A:F,6,FALSE),H231,1),IF(OR(j_WEEKDAY(J_ADDDAY(VLOOKUP(I231,A:F,6,FALSE),H231+1,1),0)=6,SUMIFS(Holieday[ok],Holieday[date],J_ADDDAY(VLOOKUP(I231,A:F,6,FALSE),H231+1,1)))=FALSE(),J_ADDDAY(VLOOKUP(I231,A:F,6,FALSE),H231+1,1),IF(OR(j_WEEKDAY(J_ADDDAY(VLOOKUP(I231,A:F,6,FALSE),H231+2,1),0)=6,SUMIFS(Holieday[ok],Holieday[date],J_ADDDAY(VLOOKUP(I231,A:F,6,FALSE),H231+2,1)))=FALSE(),J_ADDDAY(VLOOKUP(I231,A:F,6,FALSE),H231+2,1),IF(OR(j_WEEKDAY(J_ADDDAY(VLOOKUP(I231,A:F,6,FALSE),H231+3,1),0)=6,SUMIFS(Holieday[ok],Holieday[date],J_ADDDAY(VLOOKUP(I231,A:F,6,FALSE),H231+3,1)))=FALSE(),J_ADDDAY(VLOOKUP(I231,A:F,6,FALSE),H231+3,1),IF(OR(j_WEEKDAY(J_ADDDAY(VLOOKUP(I231,A:F,6,FALSE),H231+4,1),0)=6,SUMIFS(Holieday[ok],Holieday[date],J_ADDDAY(VLOOKUP(I231,A:F,6,FALSE),H231+4,1)))=FALSE(),J_ADDDAY(VLOOKUP(I231,A:F,6,FALSE),H231+4,1),J_ADDDAY(VLOOKUP(I231,A:F,6,FALSE),H231+5,1))))))</f>
        <v>1398/06/30</v>
      </c>
      <c r="E231" s="1">
        <f t="shared" si="70"/>
        <v>13980630</v>
      </c>
      <c r="F231" s="12" t="str">
        <f>IF(N231=0,J_SUBDAY(D231,1,1),IF((N231-NETWORKDAYS.INTL(J_GregorianDate(D231,1),J_GregorianDate(J_SUBDAY(J_ADDDAY(D231,N231,1),1,1),1),16,1)-SUMIFS(Holieday[ok],Holieday[date],CONCATENATE("&gt;","=",D231),Holieday[date],CONCATENATE("&lt;","=",J_SUBDAY(J_ADDDAY(D231,N231,1),1,1)))+SUMIFS(Holieday[Friday],Holieday[date],CONCATENATE("&gt;","=",D231),Holieday[date],CONCATENATE("&lt;","=",J_SUBDAY(J_ADDDAY(D231,N231,1),1,1))))=0,J_SUBDAY(J_ADDDAY(D231,N231,1),1,1),IF((N231-NETWORKDAYS.INTL(J_GregorianDate(D231,1),J_GregorianDate(J_SUBDAY(J_ADDDAY(D231,N231,1),1,1),1),16,1)-SUMIFS(Holieday[ok],Holieday[date],CONCATENATE("&gt;","=",D231),Holieday[date],CONCATENATE("&lt;","=",J_SUBDAY(J_ADDDAY(D231,N231,1),1,1)))+SUMIFS(Holieday[Friday],Holieday[date],CONCATENATE("&gt;","=",D231),Holieday[date],CONCATENATE("&lt;","=",J_SUBDAY(J_ADDDAY(D231,N231,1),1,1))))=1,J_SUBDAY(J_ADDDAY(D231,N231+1,1),1,1),IF((N231-NETWORKDAYS.INTL(J_GregorianDate(D231,1),J_GregorianDate(J_SUBDAY(J_ADDDAY(D231,N231,1),1,1),1),16,1)-SUMIFS(Holieday[ok],Holieday[date],CONCATENATE("&gt;","=",D231),Holieday[date],CONCATENATE("&lt;","=",J_SUBDAY(J_ADDDAY(D231,N231,1),1,1)))+SUMIFS(Holieday[Friday],Holieday[date],CONCATENATE("&gt;","=",D231),Holieday[date],CONCATENATE("&lt;","=",J_SUBDAY(J_ADDDAY(D231,N231,1),1,1))))=2,J_SUBDAY(J_ADDDAY(D231,N231+2,1),1,1),J_SUBDAY(J_ADDDAY(D231,N231+3,1),1,1)))))</f>
        <v>1398/06/29</v>
      </c>
      <c r="G231" s="2">
        <f t="shared" si="71"/>
        <v>13980629</v>
      </c>
      <c r="H231" s="109"/>
      <c r="I231" s="110">
        <v>10.1</v>
      </c>
      <c r="J231" s="9">
        <f>j_WEEKDAY(D231,2)</f>
        <v>0</v>
      </c>
      <c r="K231" s="21">
        <f t="shared" si="69"/>
        <v>0</v>
      </c>
      <c r="L231" s="8">
        <f t="shared" si="74"/>
        <v>0</v>
      </c>
      <c r="M231" s="111">
        <v>0</v>
      </c>
      <c r="N231" s="108">
        <v>0</v>
      </c>
      <c r="O231" s="10">
        <f t="shared" si="75"/>
        <v>0</v>
      </c>
      <c r="P231" s="10">
        <f>VALUE(J_normdate(J_ADDDAY($D231,$O231,1)))</f>
        <v>13980630</v>
      </c>
      <c r="Q231" s="9">
        <f t="shared" si="76"/>
        <v>0</v>
      </c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7"/>
      <c r="BV231" s="7"/>
      <c r="BW231" s="7"/>
      <c r="BX231" s="7"/>
      <c r="BY231" s="7"/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  <c r="CO231" s="7"/>
      <c r="CP231" s="7"/>
      <c r="CQ231" s="7"/>
      <c r="CR231" s="7"/>
      <c r="CS231" s="7"/>
      <c r="CT231" s="7"/>
      <c r="CU231" s="7"/>
      <c r="CV231" s="7"/>
      <c r="CW231" s="7"/>
      <c r="CX231" s="7"/>
      <c r="CY231" s="7"/>
      <c r="CZ231" s="7"/>
      <c r="DA231" s="7"/>
      <c r="DB231" s="7"/>
      <c r="DC231" s="7"/>
      <c r="DD231" s="7"/>
      <c r="DE231" s="7"/>
      <c r="DF231" s="7"/>
      <c r="DG231" s="7"/>
      <c r="DH231" s="7"/>
      <c r="DI231" s="7"/>
      <c r="DJ231" s="7"/>
      <c r="DK231" s="7"/>
      <c r="DL231" s="7"/>
      <c r="DM231" s="7"/>
      <c r="DN231" s="7"/>
      <c r="DO231" s="7"/>
      <c r="DP231" s="7"/>
      <c r="DQ231" s="7"/>
      <c r="DR231" s="7"/>
      <c r="DS231" s="7"/>
      <c r="DT231" s="7"/>
      <c r="DU231" s="7"/>
      <c r="DV231" s="7"/>
      <c r="DW231" s="7"/>
      <c r="DX231" s="7"/>
      <c r="DY231" s="7"/>
      <c r="DZ231" s="7"/>
      <c r="EA231" s="7"/>
      <c r="EB231" s="7"/>
      <c r="EC231" s="7"/>
      <c r="ED231" s="7"/>
      <c r="EE231" s="7"/>
      <c r="EF231" s="7"/>
      <c r="EG231" s="7"/>
      <c r="EH231" s="7"/>
      <c r="EI231" s="7"/>
      <c r="EJ231" s="7"/>
      <c r="EK231" s="7"/>
      <c r="EL231" s="7"/>
      <c r="EM231" s="7"/>
      <c r="EN231" s="7"/>
      <c r="EO231" s="7"/>
      <c r="EP231" s="7"/>
      <c r="EQ231" s="7"/>
      <c r="ER231" s="7"/>
      <c r="ES231" s="7"/>
      <c r="ET231" s="7"/>
      <c r="EU231" s="7"/>
      <c r="EV231" s="7"/>
      <c r="EW231" s="7"/>
      <c r="EX231" s="7"/>
      <c r="EY231" s="7"/>
      <c r="EZ231" s="7"/>
      <c r="FA231" s="7"/>
      <c r="FB231" s="7"/>
      <c r="FC231" s="7"/>
      <c r="FD231" s="7"/>
      <c r="FE231" s="7"/>
      <c r="FF231" s="7"/>
      <c r="FG231" s="7"/>
      <c r="FH231" s="7"/>
      <c r="FI231" s="7"/>
      <c r="FJ231" s="7"/>
      <c r="FK231" s="7"/>
      <c r="FL231" s="7"/>
      <c r="FM231" s="7"/>
      <c r="FN231" s="7"/>
      <c r="FO231" s="7"/>
      <c r="FP231" s="7"/>
      <c r="FQ231" s="7"/>
      <c r="FR231" s="7"/>
      <c r="FS231" s="7"/>
      <c r="FT231" s="7"/>
      <c r="FU231" s="7"/>
      <c r="FV231" s="7"/>
      <c r="FW231" s="7"/>
      <c r="FX231" s="7"/>
      <c r="FY231" s="7"/>
      <c r="FZ231" s="7"/>
      <c r="GA231" s="7"/>
      <c r="GB231" s="7"/>
      <c r="GC231" s="7"/>
      <c r="GD231" s="7"/>
      <c r="GE231" s="7"/>
      <c r="GF231" s="7"/>
      <c r="GG231" s="7"/>
      <c r="GH231" s="7"/>
      <c r="GI231" s="7"/>
      <c r="GJ231" s="7"/>
      <c r="GK231" s="7"/>
      <c r="GL231" s="7"/>
      <c r="GM231" s="7"/>
      <c r="GN231" s="7"/>
      <c r="GO231" s="7"/>
      <c r="GP231" s="7"/>
      <c r="GQ231" s="7"/>
      <c r="GR231" s="7"/>
      <c r="GS231" s="7"/>
      <c r="GT231" s="7"/>
      <c r="GU231" s="7"/>
      <c r="GV231" s="7"/>
      <c r="GW231" s="7"/>
      <c r="GX231" s="7"/>
      <c r="GY231" s="7"/>
      <c r="GZ231" s="7"/>
      <c r="HA231" s="7"/>
      <c r="HB231" s="7"/>
      <c r="HC231" s="7"/>
      <c r="HD231" s="7"/>
      <c r="HE231" s="7"/>
      <c r="HF231" s="7"/>
      <c r="HG231" s="7"/>
      <c r="HH231" s="7"/>
      <c r="HI231" s="7"/>
      <c r="HJ231" s="7"/>
      <c r="HK231" s="7"/>
      <c r="HL231" s="7"/>
      <c r="HM231" s="7"/>
      <c r="HN231" s="7"/>
      <c r="HO231" s="7"/>
      <c r="HP231" s="7"/>
      <c r="HQ231" s="7"/>
      <c r="HR231" s="7"/>
      <c r="HS231" s="7"/>
      <c r="HT231" s="7"/>
      <c r="HU231" s="7"/>
      <c r="HV231" s="7"/>
      <c r="HW231" s="7"/>
      <c r="HX231" s="7"/>
      <c r="HY231" s="7"/>
      <c r="HZ231" s="7"/>
      <c r="IA231" s="7"/>
      <c r="IB231" s="7"/>
      <c r="IC231" s="7"/>
      <c r="ID231" s="7"/>
      <c r="IE231" s="7"/>
      <c r="IF231" s="7"/>
      <c r="IG231" s="7"/>
      <c r="IH231" s="7"/>
      <c r="II231" s="7"/>
      <c r="IJ231" s="7"/>
      <c r="IK231" s="7"/>
      <c r="IL231" s="7"/>
      <c r="IM231" s="7"/>
      <c r="IN231" s="7"/>
      <c r="IO231" s="7"/>
      <c r="IP231" s="7"/>
      <c r="IQ231" s="7"/>
      <c r="IR231" s="7"/>
      <c r="IS231" s="7"/>
      <c r="IT231" s="7"/>
      <c r="IU231" s="7"/>
      <c r="IV231" s="7"/>
      <c r="IW231" s="7"/>
      <c r="IX231" s="7"/>
      <c r="JA231" s="113"/>
      <c r="JB231" s="113"/>
      <c r="JC231" s="113"/>
      <c r="JD231" s="66">
        <f>SUM((TEXT(JA231,"[M]")/60)*'Income Person-hours'!$D$3,(TEXT(JB231,"[M]")/60)*'Income Person-hours'!$D$4,(TEXT(JC231,"[M]")/60)*'Income Person-hours'!$D$5)</f>
        <v>0</v>
      </c>
    </row>
    <row r="232" spans="1:264 16383:16384" s="11" customFormat="1" ht="11.25" hidden="1">
      <c r="A232" s="30">
        <v>10.5</v>
      </c>
      <c r="B232" s="116"/>
      <c r="C232" s="107"/>
      <c r="D232" s="12" t="str">
        <f>IF(OR(j_WEEKDAY(J_ADDDAY(VLOOKUP(I232,A:F,6,FALSE),H232,1),0)=6,SUMIFS(Holieday[ok],Holieday[date],J_ADDDAY(VLOOKUP(I232,A:F,6,FALSE),H232,1)))=FALSE(),J_ADDDAY(VLOOKUP(I232,A:F,6,FALSE),H232,1),IF(OR(j_WEEKDAY(J_ADDDAY(VLOOKUP(I232,A:F,6,FALSE),H232+1,1),0)=6,SUMIFS(Holieday[ok],Holieday[date],J_ADDDAY(VLOOKUP(I232,A:F,6,FALSE),H232+1,1)))=FALSE(),J_ADDDAY(VLOOKUP(I232,A:F,6,FALSE),H232+1,1),IF(OR(j_WEEKDAY(J_ADDDAY(VLOOKUP(I232,A:F,6,FALSE),H232+2,1),0)=6,SUMIFS(Holieday[ok],Holieday[date],J_ADDDAY(VLOOKUP(I232,A:F,6,FALSE),H232+2,1)))=FALSE(),J_ADDDAY(VLOOKUP(I232,A:F,6,FALSE),H232+2,1),IF(OR(j_WEEKDAY(J_ADDDAY(VLOOKUP(I232,A:F,6,FALSE),H232+3,1),0)=6,SUMIFS(Holieday[ok],Holieday[date],J_ADDDAY(VLOOKUP(I232,A:F,6,FALSE),H232+3,1)))=FALSE(),J_ADDDAY(VLOOKUP(I232,A:F,6,FALSE),H232+3,1),IF(OR(j_WEEKDAY(J_ADDDAY(VLOOKUP(I232,A:F,6,FALSE),H232+4,1),0)=6,SUMIFS(Holieday[ok],Holieday[date],J_ADDDAY(VLOOKUP(I232,A:F,6,FALSE),H232+4,1)))=FALSE(),J_ADDDAY(VLOOKUP(I232,A:F,6,FALSE),H232+4,1),J_ADDDAY(VLOOKUP(I232,A:F,6,FALSE),H232+5,1))))))</f>
        <v>1398/06/30</v>
      </c>
      <c r="E232" s="1">
        <f t="shared" si="70"/>
        <v>13980630</v>
      </c>
      <c r="F232" s="12" t="str">
        <f>IF(N232=0,J_SUBDAY(D232,1,1),IF((N232-NETWORKDAYS.INTL(J_GregorianDate(D232,1),J_GregorianDate(J_SUBDAY(J_ADDDAY(D232,N232,1),1,1),1),16,1)-SUMIFS(Holieday[ok],Holieday[date],CONCATENATE("&gt;","=",D232),Holieday[date],CONCATENATE("&lt;","=",J_SUBDAY(J_ADDDAY(D232,N232,1),1,1)))+SUMIFS(Holieday[Friday],Holieday[date],CONCATENATE("&gt;","=",D232),Holieday[date],CONCATENATE("&lt;","=",J_SUBDAY(J_ADDDAY(D232,N232,1),1,1))))=0,J_SUBDAY(J_ADDDAY(D232,N232,1),1,1),IF((N232-NETWORKDAYS.INTL(J_GregorianDate(D232,1),J_GregorianDate(J_SUBDAY(J_ADDDAY(D232,N232,1),1,1),1),16,1)-SUMIFS(Holieday[ok],Holieday[date],CONCATENATE("&gt;","=",D232),Holieday[date],CONCATENATE("&lt;","=",J_SUBDAY(J_ADDDAY(D232,N232,1),1,1)))+SUMIFS(Holieday[Friday],Holieday[date],CONCATENATE("&gt;","=",D232),Holieday[date],CONCATENATE("&lt;","=",J_SUBDAY(J_ADDDAY(D232,N232,1),1,1))))=1,J_SUBDAY(J_ADDDAY(D232,N232+1,1),1,1),IF((N232-NETWORKDAYS.INTL(J_GregorianDate(D232,1),J_GregorianDate(J_SUBDAY(J_ADDDAY(D232,N232,1),1,1),1),16,1)-SUMIFS(Holieday[ok],Holieday[date],CONCATENATE("&gt;","=",D232),Holieday[date],CONCATENATE("&lt;","=",J_SUBDAY(J_ADDDAY(D232,N232,1),1,1)))+SUMIFS(Holieday[Friday],Holieday[date],CONCATENATE("&gt;","=",D232),Holieday[date],CONCATENATE("&lt;","=",J_SUBDAY(J_ADDDAY(D232,N232,1),1,1))))=2,J_SUBDAY(J_ADDDAY(D232,N232+2,1),1,1),J_SUBDAY(J_ADDDAY(D232,N232+3,1),1,1)))))</f>
        <v>1398/06/29</v>
      </c>
      <c r="G232" s="2">
        <f t="shared" si="71"/>
        <v>13980629</v>
      </c>
      <c r="H232" s="109"/>
      <c r="I232" s="110">
        <v>10.1</v>
      </c>
      <c r="J232" s="9">
        <f>j_WEEKDAY(D232,2)</f>
        <v>0</v>
      </c>
      <c r="K232" s="21">
        <f t="shared" si="69"/>
        <v>0</v>
      </c>
      <c r="L232" s="8">
        <f t="shared" si="74"/>
        <v>0</v>
      </c>
      <c r="M232" s="111">
        <v>0</v>
      </c>
      <c r="N232" s="108">
        <v>0</v>
      </c>
      <c r="O232" s="10">
        <f t="shared" si="75"/>
        <v>0</v>
      </c>
      <c r="P232" s="10">
        <f>VALUE(J_normdate(J_ADDDAY($D232,$O232,1)))</f>
        <v>13980630</v>
      </c>
      <c r="Q232" s="9">
        <f t="shared" si="76"/>
        <v>0</v>
      </c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7"/>
      <c r="BV232" s="7"/>
      <c r="BW232" s="7"/>
      <c r="BX232" s="7"/>
      <c r="BY232" s="7"/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  <c r="CO232" s="7"/>
      <c r="CP232" s="7"/>
      <c r="CQ232" s="7"/>
      <c r="CR232" s="7"/>
      <c r="CS232" s="7"/>
      <c r="CT232" s="7"/>
      <c r="CU232" s="7"/>
      <c r="CV232" s="7"/>
      <c r="CW232" s="7"/>
      <c r="CX232" s="7"/>
      <c r="CY232" s="7"/>
      <c r="CZ232" s="7"/>
      <c r="DA232" s="7"/>
      <c r="DB232" s="7"/>
      <c r="DC232" s="7"/>
      <c r="DD232" s="7"/>
      <c r="DE232" s="7"/>
      <c r="DF232" s="7"/>
      <c r="DG232" s="7"/>
      <c r="DH232" s="7"/>
      <c r="DI232" s="7"/>
      <c r="DJ232" s="7"/>
      <c r="DK232" s="7"/>
      <c r="DL232" s="7"/>
      <c r="DM232" s="7"/>
      <c r="DN232" s="7"/>
      <c r="DO232" s="7"/>
      <c r="DP232" s="7"/>
      <c r="DQ232" s="7"/>
      <c r="DR232" s="7"/>
      <c r="DS232" s="7"/>
      <c r="DT232" s="7"/>
      <c r="DU232" s="7"/>
      <c r="DV232" s="7"/>
      <c r="DW232" s="7"/>
      <c r="DX232" s="7"/>
      <c r="DY232" s="7"/>
      <c r="DZ232" s="7"/>
      <c r="EA232" s="7"/>
      <c r="EB232" s="7"/>
      <c r="EC232" s="7"/>
      <c r="ED232" s="7"/>
      <c r="EE232" s="7"/>
      <c r="EF232" s="7"/>
      <c r="EG232" s="7"/>
      <c r="EH232" s="7"/>
      <c r="EI232" s="7"/>
      <c r="EJ232" s="7"/>
      <c r="EK232" s="7"/>
      <c r="EL232" s="7"/>
      <c r="EM232" s="7"/>
      <c r="EN232" s="7"/>
      <c r="EO232" s="7"/>
      <c r="EP232" s="7"/>
      <c r="EQ232" s="7"/>
      <c r="ER232" s="7"/>
      <c r="ES232" s="7"/>
      <c r="ET232" s="7"/>
      <c r="EU232" s="7"/>
      <c r="EV232" s="7"/>
      <c r="EW232" s="7"/>
      <c r="EX232" s="7"/>
      <c r="EY232" s="7"/>
      <c r="EZ232" s="7"/>
      <c r="FA232" s="7"/>
      <c r="FB232" s="7"/>
      <c r="FC232" s="7"/>
      <c r="FD232" s="7"/>
      <c r="FE232" s="7"/>
      <c r="FF232" s="7"/>
      <c r="FG232" s="7"/>
      <c r="FH232" s="7"/>
      <c r="FI232" s="7"/>
      <c r="FJ232" s="7"/>
      <c r="FK232" s="7"/>
      <c r="FL232" s="7"/>
      <c r="FM232" s="7"/>
      <c r="FN232" s="7"/>
      <c r="FO232" s="7"/>
      <c r="FP232" s="7"/>
      <c r="FQ232" s="7"/>
      <c r="FR232" s="7"/>
      <c r="FS232" s="7"/>
      <c r="FT232" s="7"/>
      <c r="FU232" s="7"/>
      <c r="FV232" s="7"/>
      <c r="FW232" s="7"/>
      <c r="FX232" s="7"/>
      <c r="FY232" s="7"/>
      <c r="FZ232" s="7"/>
      <c r="GA232" s="7"/>
      <c r="GB232" s="7"/>
      <c r="GC232" s="7"/>
      <c r="GD232" s="7"/>
      <c r="GE232" s="7"/>
      <c r="GF232" s="7"/>
      <c r="GG232" s="7"/>
      <c r="GH232" s="7"/>
      <c r="GI232" s="7"/>
      <c r="GJ232" s="7"/>
      <c r="GK232" s="7"/>
      <c r="GL232" s="7"/>
      <c r="GM232" s="7"/>
      <c r="GN232" s="7"/>
      <c r="GO232" s="7"/>
      <c r="GP232" s="7"/>
      <c r="GQ232" s="7"/>
      <c r="GR232" s="7"/>
      <c r="GS232" s="7"/>
      <c r="GT232" s="7"/>
      <c r="GU232" s="7"/>
      <c r="GV232" s="7"/>
      <c r="GW232" s="7"/>
      <c r="GX232" s="7"/>
      <c r="GY232" s="7"/>
      <c r="GZ232" s="7"/>
      <c r="HA232" s="7"/>
      <c r="HB232" s="7"/>
      <c r="HC232" s="7"/>
      <c r="HD232" s="7"/>
      <c r="HE232" s="7"/>
      <c r="HF232" s="7"/>
      <c r="HG232" s="7"/>
      <c r="HH232" s="7"/>
      <c r="HI232" s="7"/>
      <c r="HJ232" s="7"/>
      <c r="HK232" s="7"/>
      <c r="HL232" s="7"/>
      <c r="HM232" s="7"/>
      <c r="HN232" s="7"/>
      <c r="HO232" s="7"/>
      <c r="HP232" s="7"/>
      <c r="HQ232" s="7"/>
      <c r="HR232" s="7"/>
      <c r="HS232" s="7"/>
      <c r="HT232" s="7"/>
      <c r="HU232" s="7"/>
      <c r="HV232" s="7"/>
      <c r="HW232" s="7"/>
      <c r="HX232" s="7"/>
      <c r="HY232" s="7"/>
      <c r="HZ232" s="7"/>
      <c r="IA232" s="7"/>
      <c r="IB232" s="7"/>
      <c r="IC232" s="7"/>
      <c r="ID232" s="7"/>
      <c r="IE232" s="7"/>
      <c r="IF232" s="7"/>
      <c r="IG232" s="7"/>
      <c r="IH232" s="7"/>
      <c r="II232" s="7"/>
      <c r="IJ232" s="7"/>
      <c r="IK232" s="7"/>
      <c r="IL232" s="7"/>
      <c r="IM232" s="7"/>
      <c r="IN232" s="7"/>
      <c r="IO232" s="7"/>
      <c r="IP232" s="7"/>
      <c r="IQ232" s="7"/>
      <c r="IR232" s="7"/>
      <c r="IS232" s="7"/>
      <c r="IT232" s="7"/>
      <c r="IU232" s="7"/>
      <c r="IV232" s="7"/>
      <c r="IW232" s="7"/>
      <c r="IX232" s="7"/>
      <c r="JA232" s="113"/>
      <c r="JB232" s="113"/>
      <c r="JC232" s="113"/>
      <c r="JD232" s="66">
        <f>SUM((TEXT(JA232,"[M]")/60)*'Income Person-hours'!$D$3,(TEXT(JB232,"[M]")/60)*'Income Person-hours'!$D$4,(TEXT(JC232,"[M]")/60)*'Income Person-hours'!$D$5)</f>
        <v>0</v>
      </c>
    </row>
    <row r="233" spans="1:264 16383:16384" s="11" customFormat="1" ht="11.25" hidden="1">
      <c r="A233" s="30">
        <v>10.6</v>
      </c>
      <c r="B233" s="116"/>
      <c r="C233" s="107"/>
      <c r="D233" s="12" t="str">
        <f>IF(OR(j_WEEKDAY(J_ADDDAY(VLOOKUP(I233,A:F,6,FALSE),H233,1),0)=6,SUMIFS(Holieday[ok],Holieday[date],J_ADDDAY(VLOOKUP(I233,A:F,6,FALSE),H233,1)))=FALSE(),J_ADDDAY(VLOOKUP(I233,A:F,6,FALSE),H233,1),IF(OR(j_WEEKDAY(J_ADDDAY(VLOOKUP(I233,A:F,6,FALSE),H233+1,1),0)=6,SUMIFS(Holieday[ok],Holieday[date],J_ADDDAY(VLOOKUP(I233,A:F,6,FALSE),H233+1,1)))=FALSE(),J_ADDDAY(VLOOKUP(I233,A:F,6,FALSE),H233+1,1),IF(OR(j_WEEKDAY(J_ADDDAY(VLOOKUP(I233,A:F,6,FALSE),H233+2,1),0)=6,SUMIFS(Holieday[ok],Holieday[date],J_ADDDAY(VLOOKUP(I233,A:F,6,FALSE),H233+2,1)))=FALSE(),J_ADDDAY(VLOOKUP(I233,A:F,6,FALSE),H233+2,1),IF(OR(j_WEEKDAY(J_ADDDAY(VLOOKUP(I233,A:F,6,FALSE),H233+3,1),0)=6,SUMIFS(Holieday[ok],Holieday[date],J_ADDDAY(VLOOKUP(I233,A:F,6,FALSE),H233+3,1)))=FALSE(),J_ADDDAY(VLOOKUP(I233,A:F,6,FALSE),H233+3,1),IF(OR(j_WEEKDAY(J_ADDDAY(VLOOKUP(I233,A:F,6,FALSE),H233+4,1),0)=6,SUMIFS(Holieday[ok],Holieday[date],J_ADDDAY(VLOOKUP(I233,A:F,6,FALSE),H233+4,1)))=FALSE(),J_ADDDAY(VLOOKUP(I233,A:F,6,FALSE),H233+4,1),J_ADDDAY(VLOOKUP(I233,A:F,6,FALSE),H233+5,1))))))</f>
        <v>1398/06/30</v>
      </c>
      <c r="E233" s="1">
        <f t="shared" si="70"/>
        <v>13980630</v>
      </c>
      <c r="F233" s="12" t="str">
        <f>IF(N233=0,J_SUBDAY(D233,1,1),IF((N233-NETWORKDAYS.INTL(J_GregorianDate(D233,1),J_GregorianDate(J_SUBDAY(J_ADDDAY(D233,N233,1),1,1),1),16,1)-SUMIFS(Holieday[ok],Holieday[date],CONCATENATE("&gt;","=",D233),Holieday[date],CONCATENATE("&lt;","=",J_SUBDAY(J_ADDDAY(D233,N233,1),1,1)))+SUMIFS(Holieday[Friday],Holieday[date],CONCATENATE("&gt;","=",D233),Holieday[date],CONCATENATE("&lt;","=",J_SUBDAY(J_ADDDAY(D233,N233,1),1,1))))=0,J_SUBDAY(J_ADDDAY(D233,N233,1),1,1),IF((N233-NETWORKDAYS.INTL(J_GregorianDate(D233,1),J_GregorianDate(J_SUBDAY(J_ADDDAY(D233,N233,1),1,1),1),16,1)-SUMIFS(Holieday[ok],Holieday[date],CONCATENATE("&gt;","=",D233),Holieday[date],CONCATENATE("&lt;","=",J_SUBDAY(J_ADDDAY(D233,N233,1),1,1)))+SUMIFS(Holieday[Friday],Holieday[date],CONCATENATE("&gt;","=",D233),Holieday[date],CONCATENATE("&lt;","=",J_SUBDAY(J_ADDDAY(D233,N233,1),1,1))))=1,J_SUBDAY(J_ADDDAY(D233,N233+1,1),1,1),IF((N233-NETWORKDAYS.INTL(J_GregorianDate(D233,1),J_GregorianDate(J_SUBDAY(J_ADDDAY(D233,N233,1),1,1),1),16,1)-SUMIFS(Holieday[ok],Holieday[date],CONCATENATE("&gt;","=",D233),Holieday[date],CONCATENATE("&lt;","=",J_SUBDAY(J_ADDDAY(D233,N233,1),1,1)))+SUMIFS(Holieday[Friday],Holieday[date],CONCATENATE("&gt;","=",D233),Holieday[date],CONCATENATE("&lt;","=",J_SUBDAY(J_ADDDAY(D233,N233,1),1,1))))=2,J_SUBDAY(J_ADDDAY(D233,N233+2,1),1,1),J_SUBDAY(J_ADDDAY(D233,N233+3,1),1,1)))))</f>
        <v>1398/06/29</v>
      </c>
      <c r="G233" s="2">
        <f t="shared" si="71"/>
        <v>13980629</v>
      </c>
      <c r="H233" s="109"/>
      <c r="I233" s="110">
        <v>10.1</v>
      </c>
      <c r="J233" s="9">
        <f>j_WEEKDAY(D233,2)</f>
        <v>0</v>
      </c>
      <c r="K233" s="21">
        <f t="shared" si="69"/>
        <v>0</v>
      </c>
      <c r="L233" s="8">
        <f t="shared" si="74"/>
        <v>0</v>
      </c>
      <c r="M233" s="111">
        <v>0</v>
      </c>
      <c r="N233" s="108">
        <v>0</v>
      </c>
      <c r="O233" s="10">
        <f t="shared" si="75"/>
        <v>0</v>
      </c>
      <c r="P233" s="10">
        <f>VALUE(J_normdate(J_ADDDAY($D233,$O233,1)))</f>
        <v>13980630</v>
      </c>
      <c r="Q233" s="9">
        <f t="shared" si="76"/>
        <v>0</v>
      </c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7"/>
      <c r="BV233" s="7"/>
      <c r="BW233" s="7"/>
      <c r="BX233" s="7"/>
      <c r="BY233" s="7"/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  <c r="CO233" s="7"/>
      <c r="CP233" s="7"/>
      <c r="CQ233" s="7"/>
      <c r="CR233" s="7"/>
      <c r="CS233" s="7"/>
      <c r="CT233" s="7"/>
      <c r="CU233" s="7"/>
      <c r="CV233" s="7"/>
      <c r="CW233" s="7"/>
      <c r="CX233" s="7"/>
      <c r="CY233" s="7"/>
      <c r="CZ233" s="7"/>
      <c r="DA233" s="7"/>
      <c r="DB233" s="7"/>
      <c r="DC233" s="7"/>
      <c r="DD233" s="7"/>
      <c r="DE233" s="7"/>
      <c r="DF233" s="7"/>
      <c r="DG233" s="7"/>
      <c r="DH233" s="7"/>
      <c r="DI233" s="7"/>
      <c r="DJ233" s="7"/>
      <c r="DK233" s="7"/>
      <c r="DL233" s="7"/>
      <c r="DM233" s="7"/>
      <c r="DN233" s="7"/>
      <c r="DO233" s="7"/>
      <c r="DP233" s="7"/>
      <c r="DQ233" s="7"/>
      <c r="DR233" s="7"/>
      <c r="DS233" s="7"/>
      <c r="DT233" s="7"/>
      <c r="DU233" s="7"/>
      <c r="DV233" s="7"/>
      <c r="DW233" s="7"/>
      <c r="DX233" s="7"/>
      <c r="DY233" s="7"/>
      <c r="DZ233" s="7"/>
      <c r="EA233" s="7"/>
      <c r="EB233" s="7"/>
      <c r="EC233" s="7"/>
      <c r="ED233" s="7"/>
      <c r="EE233" s="7"/>
      <c r="EF233" s="7"/>
      <c r="EG233" s="7"/>
      <c r="EH233" s="7"/>
      <c r="EI233" s="7"/>
      <c r="EJ233" s="7"/>
      <c r="EK233" s="7"/>
      <c r="EL233" s="7"/>
      <c r="EM233" s="7"/>
      <c r="EN233" s="7"/>
      <c r="EO233" s="7"/>
      <c r="EP233" s="7"/>
      <c r="EQ233" s="7"/>
      <c r="ER233" s="7"/>
      <c r="ES233" s="7"/>
      <c r="ET233" s="7"/>
      <c r="EU233" s="7"/>
      <c r="EV233" s="7"/>
      <c r="EW233" s="7"/>
      <c r="EX233" s="7"/>
      <c r="EY233" s="7"/>
      <c r="EZ233" s="7"/>
      <c r="FA233" s="7"/>
      <c r="FB233" s="7"/>
      <c r="FC233" s="7"/>
      <c r="FD233" s="7"/>
      <c r="FE233" s="7"/>
      <c r="FF233" s="7"/>
      <c r="FG233" s="7"/>
      <c r="FH233" s="7"/>
      <c r="FI233" s="7"/>
      <c r="FJ233" s="7"/>
      <c r="FK233" s="7"/>
      <c r="FL233" s="7"/>
      <c r="FM233" s="7"/>
      <c r="FN233" s="7"/>
      <c r="FO233" s="7"/>
      <c r="FP233" s="7"/>
      <c r="FQ233" s="7"/>
      <c r="FR233" s="7"/>
      <c r="FS233" s="7"/>
      <c r="FT233" s="7"/>
      <c r="FU233" s="7"/>
      <c r="FV233" s="7"/>
      <c r="FW233" s="7"/>
      <c r="FX233" s="7"/>
      <c r="FY233" s="7"/>
      <c r="FZ233" s="7"/>
      <c r="GA233" s="7"/>
      <c r="GB233" s="7"/>
      <c r="GC233" s="7"/>
      <c r="GD233" s="7"/>
      <c r="GE233" s="7"/>
      <c r="GF233" s="7"/>
      <c r="GG233" s="7"/>
      <c r="GH233" s="7"/>
      <c r="GI233" s="7"/>
      <c r="GJ233" s="7"/>
      <c r="GK233" s="7"/>
      <c r="GL233" s="7"/>
      <c r="GM233" s="7"/>
      <c r="GN233" s="7"/>
      <c r="GO233" s="7"/>
      <c r="GP233" s="7"/>
      <c r="GQ233" s="7"/>
      <c r="GR233" s="7"/>
      <c r="GS233" s="7"/>
      <c r="GT233" s="7"/>
      <c r="GU233" s="7"/>
      <c r="GV233" s="7"/>
      <c r="GW233" s="7"/>
      <c r="GX233" s="7"/>
      <c r="GY233" s="7"/>
      <c r="GZ233" s="7"/>
      <c r="HA233" s="7"/>
      <c r="HB233" s="7"/>
      <c r="HC233" s="7"/>
      <c r="HD233" s="7"/>
      <c r="HE233" s="7"/>
      <c r="HF233" s="7"/>
      <c r="HG233" s="7"/>
      <c r="HH233" s="7"/>
      <c r="HI233" s="7"/>
      <c r="HJ233" s="7"/>
      <c r="HK233" s="7"/>
      <c r="HL233" s="7"/>
      <c r="HM233" s="7"/>
      <c r="HN233" s="7"/>
      <c r="HO233" s="7"/>
      <c r="HP233" s="7"/>
      <c r="HQ233" s="7"/>
      <c r="HR233" s="7"/>
      <c r="HS233" s="7"/>
      <c r="HT233" s="7"/>
      <c r="HU233" s="7"/>
      <c r="HV233" s="7"/>
      <c r="HW233" s="7"/>
      <c r="HX233" s="7"/>
      <c r="HY233" s="7"/>
      <c r="HZ233" s="7"/>
      <c r="IA233" s="7"/>
      <c r="IB233" s="7"/>
      <c r="IC233" s="7"/>
      <c r="ID233" s="7"/>
      <c r="IE233" s="7"/>
      <c r="IF233" s="7"/>
      <c r="IG233" s="7"/>
      <c r="IH233" s="7"/>
      <c r="II233" s="7"/>
      <c r="IJ233" s="7"/>
      <c r="IK233" s="7"/>
      <c r="IL233" s="7"/>
      <c r="IM233" s="7"/>
      <c r="IN233" s="7"/>
      <c r="IO233" s="7"/>
      <c r="IP233" s="7"/>
      <c r="IQ233" s="7"/>
      <c r="IR233" s="7"/>
      <c r="IS233" s="7"/>
      <c r="IT233" s="7"/>
      <c r="IU233" s="7"/>
      <c r="IV233" s="7"/>
      <c r="IW233" s="7"/>
      <c r="IX233" s="7"/>
      <c r="JA233" s="113"/>
      <c r="JB233" s="113"/>
      <c r="JC233" s="113"/>
      <c r="JD233" s="66">
        <f>SUM((TEXT(JA233,"[M]")/60)*'Income Person-hours'!$D$3,(TEXT(JB233,"[M]")/60)*'Income Person-hours'!$D$4,(TEXT(JC233,"[M]")/60)*'Income Person-hours'!$D$5)</f>
        <v>0</v>
      </c>
    </row>
    <row r="234" spans="1:264 16383:16384" s="11" customFormat="1" ht="11.25" hidden="1">
      <c r="A234" s="30">
        <v>10.7</v>
      </c>
      <c r="B234" s="116"/>
      <c r="C234" s="107"/>
      <c r="D234" s="12" t="str">
        <f>IF(OR(j_WEEKDAY(J_ADDDAY(VLOOKUP(I234,A:F,6,FALSE),H234,1),0)=6,SUMIFS(Holieday[ok],Holieday[date],J_ADDDAY(VLOOKUP(I234,A:F,6,FALSE),H234,1)))=FALSE(),J_ADDDAY(VLOOKUP(I234,A:F,6,FALSE),H234,1),IF(OR(j_WEEKDAY(J_ADDDAY(VLOOKUP(I234,A:F,6,FALSE),H234+1,1),0)=6,SUMIFS(Holieday[ok],Holieday[date],J_ADDDAY(VLOOKUP(I234,A:F,6,FALSE),H234+1,1)))=FALSE(),J_ADDDAY(VLOOKUP(I234,A:F,6,FALSE),H234+1,1),IF(OR(j_WEEKDAY(J_ADDDAY(VLOOKUP(I234,A:F,6,FALSE),H234+2,1),0)=6,SUMIFS(Holieday[ok],Holieday[date],J_ADDDAY(VLOOKUP(I234,A:F,6,FALSE),H234+2,1)))=FALSE(),J_ADDDAY(VLOOKUP(I234,A:F,6,FALSE),H234+2,1),IF(OR(j_WEEKDAY(J_ADDDAY(VLOOKUP(I234,A:F,6,FALSE),H234+3,1),0)=6,SUMIFS(Holieday[ok],Holieday[date],J_ADDDAY(VLOOKUP(I234,A:F,6,FALSE),H234+3,1)))=FALSE(),J_ADDDAY(VLOOKUP(I234,A:F,6,FALSE),H234+3,1),IF(OR(j_WEEKDAY(J_ADDDAY(VLOOKUP(I234,A:F,6,FALSE),H234+4,1),0)=6,SUMIFS(Holieday[ok],Holieday[date],J_ADDDAY(VLOOKUP(I234,A:F,6,FALSE),H234+4,1)))=FALSE(),J_ADDDAY(VLOOKUP(I234,A:F,6,FALSE),H234+4,1),J_ADDDAY(VLOOKUP(I234,A:F,6,FALSE),H234+5,1))))))</f>
        <v>1398/06/30</v>
      </c>
      <c r="E234" s="1">
        <f t="shared" si="70"/>
        <v>13980630</v>
      </c>
      <c r="F234" s="12" t="str">
        <f>IF(N234=0,J_SUBDAY(D234,1,1),IF((N234-NETWORKDAYS.INTL(J_GregorianDate(D234,1),J_GregorianDate(J_SUBDAY(J_ADDDAY(D234,N234,1),1,1),1),16,1)-SUMIFS(Holieday[ok],Holieday[date],CONCATENATE("&gt;","=",D234),Holieday[date],CONCATENATE("&lt;","=",J_SUBDAY(J_ADDDAY(D234,N234,1),1,1)))+SUMIFS(Holieday[Friday],Holieday[date],CONCATENATE("&gt;","=",D234),Holieday[date],CONCATENATE("&lt;","=",J_SUBDAY(J_ADDDAY(D234,N234,1),1,1))))=0,J_SUBDAY(J_ADDDAY(D234,N234,1),1,1),IF((N234-NETWORKDAYS.INTL(J_GregorianDate(D234,1),J_GregorianDate(J_SUBDAY(J_ADDDAY(D234,N234,1),1,1),1),16,1)-SUMIFS(Holieday[ok],Holieday[date],CONCATENATE("&gt;","=",D234),Holieday[date],CONCATENATE("&lt;","=",J_SUBDAY(J_ADDDAY(D234,N234,1),1,1)))+SUMIFS(Holieday[Friday],Holieday[date],CONCATENATE("&gt;","=",D234),Holieday[date],CONCATENATE("&lt;","=",J_SUBDAY(J_ADDDAY(D234,N234,1),1,1))))=1,J_SUBDAY(J_ADDDAY(D234,N234+1,1),1,1),IF((N234-NETWORKDAYS.INTL(J_GregorianDate(D234,1),J_GregorianDate(J_SUBDAY(J_ADDDAY(D234,N234,1),1,1),1),16,1)-SUMIFS(Holieday[ok],Holieday[date],CONCATENATE("&gt;","=",D234),Holieday[date],CONCATENATE("&lt;","=",J_SUBDAY(J_ADDDAY(D234,N234,1),1,1)))+SUMIFS(Holieday[Friday],Holieday[date],CONCATENATE("&gt;","=",D234),Holieday[date],CONCATENATE("&lt;","=",J_SUBDAY(J_ADDDAY(D234,N234,1),1,1))))=2,J_SUBDAY(J_ADDDAY(D234,N234+2,1),1,1),J_SUBDAY(J_ADDDAY(D234,N234+3,1),1,1)))))</f>
        <v>1398/06/29</v>
      </c>
      <c r="G234" s="2">
        <f t="shared" si="71"/>
        <v>13980629</v>
      </c>
      <c r="H234" s="109"/>
      <c r="I234" s="110">
        <v>10.1</v>
      </c>
      <c r="J234" s="9">
        <f>j_WEEKDAY(D234,2)</f>
        <v>0</v>
      </c>
      <c r="K234" s="21">
        <f t="shared" si="69"/>
        <v>0</v>
      </c>
      <c r="L234" s="8">
        <f t="shared" si="74"/>
        <v>0</v>
      </c>
      <c r="M234" s="111">
        <v>0</v>
      </c>
      <c r="N234" s="108">
        <v>0</v>
      </c>
      <c r="O234" s="10">
        <f t="shared" si="75"/>
        <v>0</v>
      </c>
      <c r="P234" s="10">
        <f>VALUE(J_normdate(J_ADDDAY($D234,$O234,1)))</f>
        <v>13980630</v>
      </c>
      <c r="Q234" s="9">
        <f t="shared" si="76"/>
        <v>0</v>
      </c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/>
      <c r="BV234" s="7"/>
      <c r="BW234" s="7"/>
      <c r="BX234" s="7"/>
      <c r="BY234" s="7"/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  <c r="CM234" s="7"/>
      <c r="CN234" s="7"/>
      <c r="CO234" s="7"/>
      <c r="CP234" s="7"/>
      <c r="CQ234" s="7"/>
      <c r="CR234" s="7"/>
      <c r="CS234" s="7"/>
      <c r="CT234" s="7"/>
      <c r="CU234" s="7"/>
      <c r="CV234" s="7"/>
      <c r="CW234" s="7"/>
      <c r="CX234" s="7"/>
      <c r="CY234" s="7"/>
      <c r="CZ234" s="7"/>
      <c r="DA234" s="7"/>
      <c r="DB234" s="7"/>
      <c r="DC234" s="7"/>
      <c r="DD234" s="7"/>
      <c r="DE234" s="7"/>
      <c r="DF234" s="7"/>
      <c r="DG234" s="7"/>
      <c r="DH234" s="7"/>
      <c r="DI234" s="7"/>
      <c r="DJ234" s="7"/>
      <c r="DK234" s="7"/>
      <c r="DL234" s="7"/>
      <c r="DM234" s="7"/>
      <c r="DN234" s="7"/>
      <c r="DO234" s="7"/>
      <c r="DP234" s="7"/>
      <c r="DQ234" s="7"/>
      <c r="DR234" s="7"/>
      <c r="DS234" s="7"/>
      <c r="DT234" s="7"/>
      <c r="DU234" s="7"/>
      <c r="DV234" s="7"/>
      <c r="DW234" s="7"/>
      <c r="DX234" s="7"/>
      <c r="DY234" s="7"/>
      <c r="DZ234" s="7"/>
      <c r="EA234" s="7"/>
      <c r="EB234" s="7"/>
      <c r="EC234" s="7"/>
      <c r="ED234" s="7"/>
      <c r="EE234" s="7"/>
      <c r="EF234" s="7"/>
      <c r="EG234" s="7"/>
      <c r="EH234" s="7"/>
      <c r="EI234" s="7"/>
      <c r="EJ234" s="7"/>
      <c r="EK234" s="7"/>
      <c r="EL234" s="7"/>
      <c r="EM234" s="7"/>
      <c r="EN234" s="7"/>
      <c r="EO234" s="7"/>
      <c r="EP234" s="7"/>
      <c r="EQ234" s="7"/>
      <c r="ER234" s="7"/>
      <c r="ES234" s="7"/>
      <c r="ET234" s="7"/>
      <c r="EU234" s="7"/>
      <c r="EV234" s="7"/>
      <c r="EW234" s="7"/>
      <c r="EX234" s="7"/>
      <c r="EY234" s="7"/>
      <c r="EZ234" s="7"/>
      <c r="FA234" s="7"/>
      <c r="FB234" s="7"/>
      <c r="FC234" s="7"/>
      <c r="FD234" s="7"/>
      <c r="FE234" s="7"/>
      <c r="FF234" s="7"/>
      <c r="FG234" s="7"/>
      <c r="FH234" s="7"/>
      <c r="FI234" s="7"/>
      <c r="FJ234" s="7"/>
      <c r="FK234" s="7"/>
      <c r="FL234" s="7"/>
      <c r="FM234" s="7"/>
      <c r="FN234" s="7"/>
      <c r="FO234" s="7"/>
      <c r="FP234" s="7"/>
      <c r="FQ234" s="7"/>
      <c r="FR234" s="7"/>
      <c r="FS234" s="7"/>
      <c r="FT234" s="7"/>
      <c r="FU234" s="7"/>
      <c r="FV234" s="7"/>
      <c r="FW234" s="7"/>
      <c r="FX234" s="7"/>
      <c r="FY234" s="7"/>
      <c r="FZ234" s="7"/>
      <c r="GA234" s="7"/>
      <c r="GB234" s="7"/>
      <c r="GC234" s="7"/>
      <c r="GD234" s="7"/>
      <c r="GE234" s="7"/>
      <c r="GF234" s="7"/>
      <c r="GG234" s="7"/>
      <c r="GH234" s="7"/>
      <c r="GI234" s="7"/>
      <c r="GJ234" s="7"/>
      <c r="GK234" s="7"/>
      <c r="GL234" s="7"/>
      <c r="GM234" s="7"/>
      <c r="GN234" s="7"/>
      <c r="GO234" s="7"/>
      <c r="GP234" s="7"/>
      <c r="GQ234" s="7"/>
      <c r="GR234" s="7"/>
      <c r="GS234" s="7"/>
      <c r="GT234" s="7"/>
      <c r="GU234" s="7"/>
      <c r="GV234" s="7"/>
      <c r="GW234" s="7"/>
      <c r="GX234" s="7"/>
      <c r="GY234" s="7"/>
      <c r="GZ234" s="7"/>
      <c r="HA234" s="7"/>
      <c r="HB234" s="7"/>
      <c r="HC234" s="7"/>
      <c r="HD234" s="7"/>
      <c r="HE234" s="7"/>
      <c r="HF234" s="7"/>
      <c r="HG234" s="7"/>
      <c r="HH234" s="7"/>
      <c r="HI234" s="7"/>
      <c r="HJ234" s="7"/>
      <c r="HK234" s="7"/>
      <c r="HL234" s="7"/>
      <c r="HM234" s="7"/>
      <c r="HN234" s="7"/>
      <c r="HO234" s="7"/>
      <c r="HP234" s="7"/>
      <c r="HQ234" s="7"/>
      <c r="HR234" s="7"/>
      <c r="HS234" s="7"/>
      <c r="HT234" s="7"/>
      <c r="HU234" s="7"/>
      <c r="HV234" s="7"/>
      <c r="HW234" s="7"/>
      <c r="HX234" s="7"/>
      <c r="HY234" s="7"/>
      <c r="HZ234" s="7"/>
      <c r="IA234" s="7"/>
      <c r="IB234" s="7"/>
      <c r="IC234" s="7"/>
      <c r="ID234" s="7"/>
      <c r="IE234" s="7"/>
      <c r="IF234" s="7"/>
      <c r="IG234" s="7"/>
      <c r="IH234" s="7"/>
      <c r="II234" s="7"/>
      <c r="IJ234" s="7"/>
      <c r="IK234" s="7"/>
      <c r="IL234" s="7"/>
      <c r="IM234" s="7"/>
      <c r="IN234" s="7"/>
      <c r="IO234" s="7"/>
      <c r="IP234" s="7"/>
      <c r="IQ234" s="7"/>
      <c r="IR234" s="7"/>
      <c r="IS234" s="7"/>
      <c r="IT234" s="7"/>
      <c r="IU234" s="7"/>
      <c r="IV234" s="7"/>
      <c r="IW234" s="7"/>
      <c r="IX234" s="7"/>
      <c r="JA234" s="113"/>
      <c r="JB234" s="113"/>
      <c r="JC234" s="113"/>
      <c r="JD234" s="66">
        <f>SUM((TEXT(JA234,"[M]")/60)*'Income Person-hours'!$D$3,(TEXT(JB234,"[M]")/60)*'Income Person-hours'!$D$4,(TEXT(JC234,"[M]")/60)*'Income Person-hours'!$D$5)</f>
        <v>0</v>
      </c>
    </row>
    <row r="235" spans="1:264 16383:16384" s="11" customFormat="1" ht="11.25" hidden="1">
      <c r="A235" s="30">
        <v>10.8</v>
      </c>
      <c r="B235" s="116"/>
      <c r="C235" s="107"/>
      <c r="D235" s="12" t="str">
        <f>IF(OR(j_WEEKDAY(J_ADDDAY(VLOOKUP(I235,A:F,6,FALSE),H235,1),0)=6,SUMIFS(Holieday[ok],Holieday[date],J_ADDDAY(VLOOKUP(I235,A:F,6,FALSE),H235,1)))=FALSE(),J_ADDDAY(VLOOKUP(I235,A:F,6,FALSE),H235,1),IF(OR(j_WEEKDAY(J_ADDDAY(VLOOKUP(I235,A:F,6,FALSE),H235+1,1),0)=6,SUMIFS(Holieday[ok],Holieday[date],J_ADDDAY(VLOOKUP(I235,A:F,6,FALSE),H235+1,1)))=FALSE(),J_ADDDAY(VLOOKUP(I235,A:F,6,FALSE),H235+1,1),IF(OR(j_WEEKDAY(J_ADDDAY(VLOOKUP(I235,A:F,6,FALSE),H235+2,1),0)=6,SUMIFS(Holieday[ok],Holieday[date],J_ADDDAY(VLOOKUP(I235,A:F,6,FALSE),H235+2,1)))=FALSE(),J_ADDDAY(VLOOKUP(I235,A:F,6,FALSE),H235+2,1),IF(OR(j_WEEKDAY(J_ADDDAY(VLOOKUP(I235,A:F,6,FALSE),H235+3,1),0)=6,SUMIFS(Holieday[ok],Holieday[date],J_ADDDAY(VLOOKUP(I235,A:F,6,FALSE),H235+3,1)))=FALSE(),J_ADDDAY(VLOOKUP(I235,A:F,6,FALSE),H235+3,1),IF(OR(j_WEEKDAY(J_ADDDAY(VLOOKUP(I235,A:F,6,FALSE),H235+4,1),0)=6,SUMIFS(Holieday[ok],Holieday[date],J_ADDDAY(VLOOKUP(I235,A:F,6,FALSE),H235+4,1)))=FALSE(),J_ADDDAY(VLOOKUP(I235,A:F,6,FALSE),H235+4,1),J_ADDDAY(VLOOKUP(I235,A:F,6,FALSE),H235+5,1))))))</f>
        <v>1398/06/30</v>
      </c>
      <c r="E235" s="1">
        <f t="shared" si="70"/>
        <v>13980630</v>
      </c>
      <c r="F235" s="12" t="str">
        <f>IF(N235=0,J_SUBDAY(D235,1,1),IF((N235-NETWORKDAYS.INTL(J_GregorianDate(D235,1),J_GregorianDate(J_SUBDAY(J_ADDDAY(D235,N235,1),1,1),1),16,1)-SUMIFS(Holieday[ok],Holieday[date],CONCATENATE("&gt;","=",D235),Holieday[date],CONCATENATE("&lt;","=",J_SUBDAY(J_ADDDAY(D235,N235,1),1,1)))+SUMIFS(Holieday[Friday],Holieday[date],CONCATENATE("&gt;","=",D235),Holieday[date],CONCATENATE("&lt;","=",J_SUBDAY(J_ADDDAY(D235,N235,1),1,1))))=0,J_SUBDAY(J_ADDDAY(D235,N235,1),1,1),IF((N235-NETWORKDAYS.INTL(J_GregorianDate(D235,1),J_GregorianDate(J_SUBDAY(J_ADDDAY(D235,N235,1),1,1),1),16,1)-SUMIFS(Holieday[ok],Holieday[date],CONCATENATE("&gt;","=",D235),Holieday[date],CONCATENATE("&lt;","=",J_SUBDAY(J_ADDDAY(D235,N235,1),1,1)))+SUMIFS(Holieday[Friday],Holieday[date],CONCATENATE("&gt;","=",D235),Holieday[date],CONCATENATE("&lt;","=",J_SUBDAY(J_ADDDAY(D235,N235,1),1,1))))=1,J_SUBDAY(J_ADDDAY(D235,N235+1,1),1,1),IF((N235-NETWORKDAYS.INTL(J_GregorianDate(D235,1),J_GregorianDate(J_SUBDAY(J_ADDDAY(D235,N235,1),1,1),1),16,1)-SUMIFS(Holieday[ok],Holieday[date],CONCATENATE("&gt;","=",D235),Holieday[date],CONCATENATE("&lt;","=",J_SUBDAY(J_ADDDAY(D235,N235,1),1,1)))+SUMIFS(Holieday[Friday],Holieday[date],CONCATENATE("&gt;","=",D235),Holieday[date],CONCATENATE("&lt;","=",J_SUBDAY(J_ADDDAY(D235,N235,1),1,1))))=2,J_SUBDAY(J_ADDDAY(D235,N235+2,1),1,1),J_SUBDAY(J_ADDDAY(D235,N235+3,1),1,1)))))</f>
        <v>1398/06/29</v>
      </c>
      <c r="G235" s="2">
        <f t="shared" si="71"/>
        <v>13980629</v>
      </c>
      <c r="H235" s="109"/>
      <c r="I235" s="110">
        <v>10.1</v>
      </c>
      <c r="J235" s="9">
        <f>j_WEEKDAY(D235,2)</f>
        <v>0</v>
      </c>
      <c r="K235" s="21">
        <f t="shared" si="69"/>
        <v>0</v>
      </c>
      <c r="L235" s="8">
        <f t="shared" si="74"/>
        <v>0</v>
      </c>
      <c r="M235" s="111">
        <v>0</v>
      </c>
      <c r="N235" s="108">
        <v>0</v>
      </c>
      <c r="O235" s="10">
        <f t="shared" si="75"/>
        <v>0</v>
      </c>
      <c r="P235" s="10">
        <f>VALUE(J_normdate(J_ADDDAY($D235,$O235,1)))</f>
        <v>13980630</v>
      </c>
      <c r="Q235" s="9">
        <f t="shared" si="76"/>
        <v>0</v>
      </c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7"/>
      <c r="BV235" s="7"/>
      <c r="BW235" s="7"/>
      <c r="BX235" s="7"/>
      <c r="BY235" s="7"/>
      <c r="BZ235" s="7"/>
      <c r="CA235" s="7"/>
      <c r="CB235" s="7"/>
      <c r="CC235" s="7"/>
      <c r="CD235" s="7"/>
      <c r="CE235" s="7"/>
      <c r="CF235" s="7"/>
      <c r="CG235" s="7"/>
      <c r="CH235" s="7"/>
      <c r="CI235" s="7"/>
      <c r="CJ235" s="7"/>
      <c r="CK235" s="7"/>
      <c r="CL235" s="7"/>
      <c r="CM235" s="7"/>
      <c r="CN235" s="7"/>
      <c r="CO235" s="7"/>
      <c r="CP235" s="7"/>
      <c r="CQ235" s="7"/>
      <c r="CR235" s="7"/>
      <c r="CS235" s="7"/>
      <c r="CT235" s="7"/>
      <c r="CU235" s="7"/>
      <c r="CV235" s="7"/>
      <c r="CW235" s="7"/>
      <c r="CX235" s="7"/>
      <c r="CY235" s="7"/>
      <c r="CZ235" s="7"/>
      <c r="DA235" s="7"/>
      <c r="DB235" s="7"/>
      <c r="DC235" s="7"/>
      <c r="DD235" s="7"/>
      <c r="DE235" s="7"/>
      <c r="DF235" s="7"/>
      <c r="DG235" s="7"/>
      <c r="DH235" s="7"/>
      <c r="DI235" s="7"/>
      <c r="DJ235" s="7"/>
      <c r="DK235" s="7"/>
      <c r="DL235" s="7"/>
      <c r="DM235" s="7"/>
      <c r="DN235" s="7"/>
      <c r="DO235" s="7"/>
      <c r="DP235" s="7"/>
      <c r="DQ235" s="7"/>
      <c r="DR235" s="7"/>
      <c r="DS235" s="7"/>
      <c r="DT235" s="7"/>
      <c r="DU235" s="7"/>
      <c r="DV235" s="7"/>
      <c r="DW235" s="7"/>
      <c r="DX235" s="7"/>
      <c r="DY235" s="7"/>
      <c r="DZ235" s="7"/>
      <c r="EA235" s="7"/>
      <c r="EB235" s="7"/>
      <c r="EC235" s="7"/>
      <c r="ED235" s="7"/>
      <c r="EE235" s="7"/>
      <c r="EF235" s="7"/>
      <c r="EG235" s="7"/>
      <c r="EH235" s="7"/>
      <c r="EI235" s="7"/>
      <c r="EJ235" s="7"/>
      <c r="EK235" s="7"/>
      <c r="EL235" s="7"/>
      <c r="EM235" s="7"/>
      <c r="EN235" s="7"/>
      <c r="EO235" s="7"/>
      <c r="EP235" s="7"/>
      <c r="EQ235" s="7"/>
      <c r="ER235" s="7"/>
      <c r="ES235" s="7"/>
      <c r="ET235" s="7"/>
      <c r="EU235" s="7"/>
      <c r="EV235" s="7"/>
      <c r="EW235" s="7"/>
      <c r="EX235" s="7"/>
      <c r="EY235" s="7"/>
      <c r="EZ235" s="7"/>
      <c r="FA235" s="7"/>
      <c r="FB235" s="7"/>
      <c r="FC235" s="7"/>
      <c r="FD235" s="7"/>
      <c r="FE235" s="7"/>
      <c r="FF235" s="7"/>
      <c r="FG235" s="7"/>
      <c r="FH235" s="7"/>
      <c r="FI235" s="7"/>
      <c r="FJ235" s="7"/>
      <c r="FK235" s="7"/>
      <c r="FL235" s="7"/>
      <c r="FM235" s="7"/>
      <c r="FN235" s="7"/>
      <c r="FO235" s="7"/>
      <c r="FP235" s="7"/>
      <c r="FQ235" s="7"/>
      <c r="FR235" s="7"/>
      <c r="FS235" s="7"/>
      <c r="FT235" s="7"/>
      <c r="FU235" s="7"/>
      <c r="FV235" s="7"/>
      <c r="FW235" s="7"/>
      <c r="FX235" s="7"/>
      <c r="FY235" s="7"/>
      <c r="FZ235" s="7"/>
      <c r="GA235" s="7"/>
      <c r="GB235" s="7"/>
      <c r="GC235" s="7"/>
      <c r="GD235" s="7"/>
      <c r="GE235" s="7"/>
      <c r="GF235" s="7"/>
      <c r="GG235" s="7"/>
      <c r="GH235" s="7"/>
      <c r="GI235" s="7"/>
      <c r="GJ235" s="7"/>
      <c r="GK235" s="7"/>
      <c r="GL235" s="7"/>
      <c r="GM235" s="7"/>
      <c r="GN235" s="7"/>
      <c r="GO235" s="7"/>
      <c r="GP235" s="7"/>
      <c r="GQ235" s="7"/>
      <c r="GR235" s="7"/>
      <c r="GS235" s="7"/>
      <c r="GT235" s="7"/>
      <c r="GU235" s="7"/>
      <c r="GV235" s="7"/>
      <c r="GW235" s="7"/>
      <c r="GX235" s="7"/>
      <c r="GY235" s="7"/>
      <c r="GZ235" s="7"/>
      <c r="HA235" s="7"/>
      <c r="HB235" s="7"/>
      <c r="HC235" s="7"/>
      <c r="HD235" s="7"/>
      <c r="HE235" s="7"/>
      <c r="HF235" s="7"/>
      <c r="HG235" s="7"/>
      <c r="HH235" s="7"/>
      <c r="HI235" s="7"/>
      <c r="HJ235" s="7"/>
      <c r="HK235" s="7"/>
      <c r="HL235" s="7"/>
      <c r="HM235" s="7"/>
      <c r="HN235" s="7"/>
      <c r="HO235" s="7"/>
      <c r="HP235" s="7"/>
      <c r="HQ235" s="7"/>
      <c r="HR235" s="7"/>
      <c r="HS235" s="7"/>
      <c r="HT235" s="7"/>
      <c r="HU235" s="7"/>
      <c r="HV235" s="7"/>
      <c r="HW235" s="7"/>
      <c r="HX235" s="7"/>
      <c r="HY235" s="7"/>
      <c r="HZ235" s="7"/>
      <c r="IA235" s="7"/>
      <c r="IB235" s="7"/>
      <c r="IC235" s="7"/>
      <c r="ID235" s="7"/>
      <c r="IE235" s="7"/>
      <c r="IF235" s="7"/>
      <c r="IG235" s="7"/>
      <c r="IH235" s="7"/>
      <c r="II235" s="7"/>
      <c r="IJ235" s="7"/>
      <c r="IK235" s="7"/>
      <c r="IL235" s="7"/>
      <c r="IM235" s="7"/>
      <c r="IN235" s="7"/>
      <c r="IO235" s="7"/>
      <c r="IP235" s="7"/>
      <c r="IQ235" s="7"/>
      <c r="IR235" s="7"/>
      <c r="IS235" s="7"/>
      <c r="IT235" s="7"/>
      <c r="IU235" s="7"/>
      <c r="IV235" s="7"/>
      <c r="IW235" s="7"/>
      <c r="IX235" s="7"/>
      <c r="JA235" s="113"/>
      <c r="JB235" s="113"/>
      <c r="JC235" s="113"/>
      <c r="JD235" s="66">
        <f>SUM((TEXT(JA235,"[M]")/60)*'Income Person-hours'!$D$3,(TEXT(JB235,"[M]")/60)*'Income Person-hours'!$D$4,(TEXT(JC235,"[M]")/60)*'Income Person-hours'!$D$5)</f>
        <v>0</v>
      </c>
    </row>
    <row r="236" spans="1:264 16383:16384" s="11" customFormat="1" ht="11.25" hidden="1">
      <c r="A236" s="30">
        <v>10.9</v>
      </c>
      <c r="B236" s="116"/>
      <c r="C236" s="107"/>
      <c r="D236" s="12" t="str">
        <f>IF(OR(j_WEEKDAY(J_ADDDAY(VLOOKUP(I236,A:F,6,FALSE),H236,1),0)=6,SUMIFS(Holieday[ok],Holieday[date],J_ADDDAY(VLOOKUP(I236,A:F,6,FALSE),H236,1)))=FALSE(),J_ADDDAY(VLOOKUP(I236,A:F,6,FALSE),H236,1),IF(OR(j_WEEKDAY(J_ADDDAY(VLOOKUP(I236,A:F,6,FALSE),H236+1,1),0)=6,SUMIFS(Holieday[ok],Holieday[date],J_ADDDAY(VLOOKUP(I236,A:F,6,FALSE),H236+1,1)))=FALSE(),J_ADDDAY(VLOOKUP(I236,A:F,6,FALSE),H236+1,1),IF(OR(j_WEEKDAY(J_ADDDAY(VLOOKUP(I236,A:F,6,FALSE),H236+2,1),0)=6,SUMIFS(Holieday[ok],Holieday[date],J_ADDDAY(VLOOKUP(I236,A:F,6,FALSE),H236+2,1)))=FALSE(),J_ADDDAY(VLOOKUP(I236,A:F,6,FALSE),H236+2,1),IF(OR(j_WEEKDAY(J_ADDDAY(VLOOKUP(I236,A:F,6,FALSE),H236+3,1),0)=6,SUMIFS(Holieday[ok],Holieday[date],J_ADDDAY(VLOOKUP(I236,A:F,6,FALSE),H236+3,1)))=FALSE(),J_ADDDAY(VLOOKUP(I236,A:F,6,FALSE),H236+3,1),IF(OR(j_WEEKDAY(J_ADDDAY(VLOOKUP(I236,A:F,6,FALSE),H236+4,1),0)=6,SUMIFS(Holieday[ok],Holieday[date],J_ADDDAY(VLOOKUP(I236,A:F,6,FALSE),H236+4,1)))=FALSE(),J_ADDDAY(VLOOKUP(I236,A:F,6,FALSE),H236+4,1),J_ADDDAY(VLOOKUP(I236,A:F,6,FALSE),H236+5,1))))))</f>
        <v>1398/06/30</v>
      </c>
      <c r="E236" s="1">
        <f t="shared" si="70"/>
        <v>13980630</v>
      </c>
      <c r="F236" s="12" t="str">
        <f>IF(N236=0,J_SUBDAY(D236,1,1),IF((N236-NETWORKDAYS.INTL(J_GregorianDate(D236,1),J_GregorianDate(J_SUBDAY(J_ADDDAY(D236,N236,1),1,1),1),16,1)-SUMIFS(Holieday[ok],Holieday[date],CONCATENATE("&gt;","=",D236),Holieday[date],CONCATENATE("&lt;","=",J_SUBDAY(J_ADDDAY(D236,N236,1),1,1)))+SUMIFS(Holieday[Friday],Holieday[date],CONCATENATE("&gt;","=",D236),Holieday[date],CONCATENATE("&lt;","=",J_SUBDAY(J_ADDDAY(D236,N236,1),1,1))))=0,J_SUBDAY(J_ADDDAY(D236,N236,1),1,1),IF((N236-NETWORKDAYS.INTL(J_GregorianDate(D236,1),J_GregorianDate(J_SUBDAY(J_ADDDAY(D236,N236,1),1,1),1),16,1)-SUMIFS(Holieday[ok],Holieday[date],CONCATENATE("&gt;","=",D236),Holieday[date],CONCATENATE("&lt;","=",J_SUBDAY(J_ADDDAY(D236,N236,1),1,1)))+SUMIFS(Holieday[Friday],Holieday[date],CONCATENATE("&gt;","=",D236),Holieday[date],CONCATENATE("&lt;","=",J_SUBDAY(J_ADDDAY(D236,N236,1),1,1))))=1,J_SUBDAY(J_ADDDAY(D236,N236+1,1),1,1),IF((N236-NETWORKDAYS.INTL(J_GregorianDate(D236,1),J_GregorianDate(J_SUBDAY(J_ADDDAY(D236,N236,1),1,1),1),16,1)-SUMIFS(Holieday[ok],Holieday[date],CONCATENATE("&gt;","=",D236),Holieday[date],CONCATENATE("&lt;","=",J_SUBDAY(J_ADDDAY(D236,N236,1),1,1)))+SUMIFS(Holieday[Friday],Holieday[date],CONCATENATE("&gt;","=",D236),Holieday[date],CONCATENATE("&lt;","=",J_SUBDAY(J_ADDDAY(D236,N236,1),1,1))))=2,J_SUBDAY(J_ADDDAY(D236,N236+2,1),1,1),J_SUBDAY(J_ADDDAY(D236,N236+3,1),1,1)))))</f>
        <v>1398/06/29</v>
      </c>
      <c r="G236" s="2">
        <f t="shared" si="71"/>
        <v>13980629</v>
      </c>
      <c r="H236" s="109"/>
      <c r="I236" s="110">
        <v>10.1</v>
      </c>
      <c r="J236" s="9">
        <f>j_WEEKDAY(D236,2)</f>
        <v>0</v>
      </c>
      <c r="K236" s="21">
        <f t="shared" si="69"/>
        <v>0</v>
      </c>
      <c r="L236" s="8">
        <f t="shared" si="74"/>
        <v>0</v>
      </c>
      <c r="M236" s="111">
        <v>0</v>
      </c>
      <c r="N236" s="108">
        <v>0</v>
      </c>
      <c r="O236" s="10">
        <f t="shared" si="75"/>
        <v>0</v>
      </c>
      <c r="P236" s="10">
        <f>VALUE(J_normdate(J_ADDDAY($D236,$O236,1)))</f>
        <v>13980630</v>
      </c>
      <c r="Q236" s="9">
        <f t="shared" si="76"/>
        <v>0</v>
      </c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7"/>
      <c r="BV236" s="7"/>
      <c r="BW236" s="7"/>
      <c r="BX236" s="7"/>
      <c r="BY236" s="7"/>
      <c r="BZ236" s="7"/>
      <c r="CA236" s="7"/>
      <c r="CB236" s="7"/>
      <c r="CC236" s="7"/>
      <c r="CD236" s="7"/>
      <c r="CE236" s="7"/>
      <c r="CF236" s="7"/>
      <c r="CG236" s="7"/>
      <c r="CH236" s="7"/>
      <c r="CI236" s="7"/>
      <c r="CJ236" s="7"/>
      <c r="CK236" s="7"/>
      <c r="CL236" s="7"/>
      <c r="CM236" s="7"/>
      <c r="CN236" s="7"/>
      <c r="CO236" s="7"/>
      <c r="CP236" s="7"/>
      <c r="CQ236" s="7"/>
      <c r="CR236" s="7"/>
      <c r="CS236" s="7"/>
      <c r="CT236" s="7"/>
      <c r="CU236" s="7"/>
      <c r="CV236" s="7"/>
      <c r="CW236" s="7"/>
      <c r="CX236" s="7"/>
      <c r="CY236" s="7"/>
      <c r="CZ236" s="7"/>
      <c r="DA236" s="7"/>
      <c r="DB236" s="7"/>
      <c r="DC236" s="7"/>
      <c r="DD236" s="7"/>
      <c r="DE236" s="7"/>
      <c r="DF236" s="7"/>
      <c r="DG236" s="7"/>
      <c r="DH236" s="7"/>
      <c r="DI236" s="7"/>
      <c r="DJ236" s="7"/>
      <c r="DK236" s="7"/>
      <c r="DL236" s="7"/>
      <c r="DM236" s="7"/>
      <c r="DN236" s="7"/>
      <c r="DO236" s="7"/>
      <c r="DP236" s="7"/>
      <c r="DQ236" s="7"/>
      <c r="DR236" s="7"/>
      <c r="DS236" s="7"/>
      <c r="DT236" s="7"/>
      <c r="DU236" s="7"/>
      <c r="DV236" s="7"/>
      <c r="DW236" s="7"/>
      <c r="DX236" s="7"/>
      <c r="DY236" s="7"/>
      <c r="DZ236" s="7"/>
      <c r="EA236" s="7"/>
      <c r="EB236" s="7"/>
      <c r="EC236" s="7"/>
      <c r="ED236" s="7"/>
      <c r="EE236" s="7"/>
      <c r="EF236" s="7"/>
      <c r="EG236" s="7"/>
      <c r="EH236" s="7"/>
      <c r="EI236" s="7"/>
      <c r="EJ236" s="7"/>
      <c r="EK236" s="7"/>
      <c r="EL236" s="7"/>
      <c r="EM236" s="7"/>
      <c r="EN236" s="7"/>
      <c r="EO236" s="7"/>
      <c r="EP236" s="7"/>
      <c r="EQ236" s="7"/>
      <c r="ER236" s="7"/>
      <c r="ES236" s="7"/>
      <c r="ET236" s="7"/>
      <c r="EU236" s="7"/>
      <c r="EV236" s="7"/>
      <c r="EW236" s="7"/>
      <c r="EX236" s="7"/>
      <c r="EY236" s="7"/>
      <c r="EZ236" s="7"/>
      <c r="FA236" s="7"/>
      <c r="FB236" s="7"/>
      <c r="FC236" s="7"/>
      <c r="FD236" s="7"/>
      <c r="FE236" s="7"/>
      <c r="FF236" s="7"/>
      <c r="FG236" s="7"/>
      <c r="FH236" s="7"/>
      <c r="FI236" s="7"/>
      <c r="FJ236" s="7"/>
      <c r="FK236" s="7"/>
      <c r="FL236" s="7"/>
      <c r="FM236" s="7"/>
      <c r="FN236" s="7"/>
      <c r="FO236" s="7"/>
      <c r="FP236" s="7"/>
      <c r="FQ236" s="7"/>
      <c r="FR236" s="7"/>
      <c r="FS236" s="7"/>
      <c r="FT236" s="7"/>
      <c r="FU236" s="7"/>
      <c r="FV236" s="7"/>
      <c r="FW236" s="7"/>
      <c r="FX236" s="7"/>
      <c r="FY236" s="7"/>
      <c r="FZ236" s="7"/>
      <c r="GA236" s="7"/>
      <c r="GB236" s="7"/>
      <c r="GC236" s="7"/>
      <c r="GD236" s="7"/>
      <c r="GE236" s="7"/>
      <c r="GF236" s="7"/>
      <c r="GG236" s="7"/>
      <c r="GH236" s="7"/>
      <c r="GI236" s="7"/>
      <c r="GJ236" s="7"/>
      <c r="GK236" s="7"/>
      <c r="GL236" s="7"/>
      <c r="GM236" s="7"/>
      <c r="GN236" s="7"/>
      <c r="GO236" s="7"/>
      <c r="GP236" s="7"/>
      <c r="GQ236" s="7"/>
      <c r="GR236" s="7"/>
      <c r="GS236" s="7"/>
      <c r="GT236" s="7"/>
      <c r="GU236" s="7"/>
      <c r="GV236" s="7"/>
      <c r="GW236" s="7"/>
      <c r="GX236" s="7"/>
      <c r="GY236" s="7"/>
      <c r="GZ236" s="7"/>
      <c r="HA236" s="7"/>
      <c r="HB236" s="7"/>
      <c r="HC236" s="7"/>
      <c r="HD236" s="7"/>
      <c r="HE236" s="7"/>
      <c r="HF236" s="7"/>
      <c r="HG236" s="7"/>
      <c r="HH236" s="7"/>
      <c r="HI236" s="7"/>
      <c r="HJ236" s="7"/>
      <c r="HK236" s="7"/>
      <c r="HL236" s="7"/>
      <c r="HM236" s="7"/>
      <c r="HN236" s="7"/>
      <c r="HO236" s="7"/>
      <c r="HP236" s="7"/>
      <c r="HQ236" s="7"/>
      <c r="HR236" s="7"/>
      <c r="HS236" s="7"/>
      <c r="HT236" s="7"/>
      <c r="HU236" s="7"/>
      <c r="HV236" s="7"/>
      <c r="HW236" s="7"/>
      <c r="HX236" s="7"/>
      <c r="HY236" s="7"/>
      <c r="HZ236" s="7"/>
      <c r="IA236" s="7"/>
      <c r="IB236" s="7"/>
      <c r="IC236" s="7"/>
      <c r="ID236" s="7"/>
      <c r="IE236" s="7"/>
      <c r="IF236" s="7"/>
      <c r="IG236" s="7"/>
      <c r="IH236" s="7"/>
      <c r="II236" s="7"/>
      <c r="IJ236" s="7"/>
      <c r="IK236" s="7"/>
      <c r="IL236" s="7"/>
      <c r="IM236" s="7"/>
      <c r="IN236" s="7"/>
      <c r="IO236" s="7"/>
      <c r="IP236" s="7"/>
      <c r="IQ236" s="7"/>
      <c r="IR236" s="7"/>
      <c r="IS236" s="7"/>
      <c r="IT236" s="7"/>
      <c r="IU236" s="7"/>
      <c r="IV236" s="7"/>
      <c r="IW236" s="7"/>
      <c r="IX236" s="7"/>
      <c r="JA236" s="113"/>
      <c r="JB236" s="113"/>
      <c r="JC236" s="113"/>
      <c r="JD236" s="66">
        <f>SUM((TEXT(JA236,"[M]")/60)*'Income Person-hours'!$D$3,(TEXT(JB236,"[M]")/60)*'Income Person-hours'!$D$4,(TEXT(JC236,"[M]")/60)*'Income Person-hours'!$D$5)</f>
        <v>0</v>
      </c>
    </row>
    <row r="237" spans="1:264 16383:16384" s="11" customFormat="1" ht="11.25" hidden="1">
      <c r="A237" s="30">
        <v>10.11</v>
      </c>
      <c r="B237" s="116"/>
      <c r="C237" s="107"/>
      <c r="D237" s="12" t="str">
        <f>IF(OR(j_WEEKDAY(J_ADDDAY(VLOOKUP(I237,A:F,6,FALSE),H237,1),0)=6,SUMIFS(Holieday[ok],Holieday[date],J_ADDDAY(VLOOKUP(I237,A:F,6,FALSE),H237,1)))=FALSE(),J_ADDDAY(VLOOKUP(I237,A:F,6,FALSE),H237,1),IF(OR(j_WEEKDAY(J_ADDDAY(VLOOKUP(I237,A:F,6,FALSE),H237+1,1),0)=6,SUMIFS(Holieday[ok],Holieday[date],J_ADDDAY(VLOOKUP(I237,A:F,6,FALSE),H237+1,1)))=FALSE(),J_ADDDAY(VLOOKUP(I237,A:F,6,FALSE),H237+1,1),IF(OR(j_WEEKDAY(J_ADDDAY(VLOOKUP(I237,A:F,6,FALSE),H237+2,1),0)=6,SUMIFS(Holieday[ok],Holieday[date],J_ADDDAY(VLOOKUP(I237,A:F,6,FALSE),H237+2,1)))=FALSE(),J_ADDDAY(VLOOKUP(I237,A:F,6,FALSE),H237+2,1),IF(OR(j_WEEKDAY(J_ADDDAY(VLOOKUP(I237,A:F,6,FALSE),H237+3,1),0)=6,SUMIFS(Holieday[ok],Holieday[date],J_ADDDAY(VLOOKUP(I237,A:F,6,FALSE),H237+3,1)))=FALSE(),J_ADDDAY(VLOOKUP(I237,A:F,6,FALSE),H237+3,1),IF(OR(j_WEEKDAY(J_ADDDAY(VLOOKUP(I237,A:F,6,FALSE),H237+4,1),0)=6,SUMIFS(Holieday[ok],Holieday[date],J_ADDDAY(VLOOKUP(I237,A:F,6,FALSE),H237+4,1)))=FALSE(),J_ADDDAY(VLOOKUP(I237,A:F,6,FALSE),H237+4,1),J_ADDDAY(VLOOKUP(I237,A:F,6,FALSE),H237+5,1))))))</f>
        <v>1398/06/30</v>
      </c>
      <c r="E237" s="1">
        <f t="shared" si="70"/>
        <v>13980630</v>
      </c>
      <c r="F237" s="12" t="str">
        <f>IF(N237=0,J_SUBDAY(D237,1,1),IF((N237-NETWORKDAYS.INTL(J_GregorianDate(D237,1),J_GregorianDate(J_SUBDAY(J_ADDDAY(D237,N237,1),1,1),1),16,1)-SUMIFS(Holieday[ok],Holieday[date],CONCATENATE("&gt;","=",D237),Holieday[date],CONCATENATE("&lt;","=",J_SUBDAY(J_ADDDAY(D237,N237,1),1,1)))+SUMIFS(Holieday[Friday],Holieday[date],CONCATENATE("&gt;","=",D237),Holieday[date],CONCATENATE("&lt;","=",J_SUBDAY(J_ADDDAY(D237,N237,1),1,1))))=0,J_SUBDAY(J_ADDDAY(D237,N237,1),1,1),IF((N237-NETWORKDAYS.INTL(J_GregorianDate(D237,1),J_GregorianDate(J_SUBDAY(J_ADDDAY(D237,N237,1),1,1),1),16,1)-SUMIFS(Holieday[ok],Holieday[date],CONCATENATE("&gt;","=",D237),Holieday[date],CONCATENATE("&lt;","=",J_SUBDAY(J_ADDDAY(D237,N237,1),1,1)))+SUMIFS(Holieday[Friday],Holieday[date],CONCATENATE("&gt;","=",D237),Holieday[date],CONCATENATE("&lt;","=",J_SUBDAY(J_ADDDAY(D237,N237,1),1,1))))=1,J_SUBDAY(J_ADDDAY(D237,N237+1,1),1,1),IF((N237-NETWORKDAYS.INTL(J_GregorianDate(D237,1),J_GregorianDate(J_SUBDAY(J_ADDDAY(D237,N237,1),1,1),1),16,1)-SUMIFS(Holieday[ok],Holieday[date],CONCATENATE("&gt;","=",D237),Holieday[date],CONCATENATE("&lt;","=",J_SUBDAY(J_ADDDAY(D237,N237,1),1,1)))+SUMIFS(Holieday[Friday],Holieday[date],CONCATENATE("&gt;","=",D237),Holieday[date],CONCATENATE("&lt;","=",J_SUBDAY(J_ADDDAY(D237,N237,1),1,1))))=2,J_SUBDAY(J_ADDDAY(D237,N237+2,1),1,1),J_SUBDAY(J_ADDDAY(D237,N237+3,1),1,1)))))</f>
        <v>1398/06/29</v>
      </c>
      <c r="G237" s="2">
        <f t="shared" si="71"/>
        <v>13980629</v>
      </c>
      <c r="H237" s="109"/>
      <c r="I237" s="110">
        <v>10.1</v>
      </c>
      <c r="J237" s="9">
        <f>j_WEEKDAY(D237,2)</f>
        <v>0</v>
      </c>
      <c r="K237" s="21">
        <f t="shared" si="69"/>
        <v>0</v>
      </c>
      <c r="L237" s="8">
        <f t="shared" si="74"/>
        <v>0</v>
      </c>
      <c r="M237" s="111">
        <v>0</v>
      </c>
      <c r="N237" s="108">
        <v>0</v>
      </c>
      <c r="O237" s="10">
        <f t="shared" si="75"/>
        <v>0</v>
      </c>
      <c r="P237" s="10">
        <f>VALUE(J_normdate(J_ADDDAY($D237,$O237,1)))</f>
        <v>13980630</v>
      </c>
      <c r="Q237" s="9">
        <f t="shared" si="76"/>
        <v>0</v>
      </c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7"/>
      <c r="BV237" s="7"/>
      <c r="BW237" s="7"/>
      <c r="BX237" s="7"/>
      <c r="BY237" s="7"/>
      <c r="BZ237" s="7"/>
      <c r="CA237" s="7"/>
      <c r="CB237" s="7"/>
      <c r="CC237" s="7"/>
      <c r="CD237" s="7"/>
      <c r="CE237" s="7"/>
      <c r="CF237" s="7"/>
      <c r="CG237" s="7"/>
      <c r="CH237" s="7"/>
      <c r="CI237" s="7"/>
      <c r="CJ237" s="7"/>
      <c r="CK237" s="7"/>
      <c r="CL237" s="7"/>
      <c r="CM237" s="7"/>
      <c r="CN237" s="7"/>
      <c r="CO237" s="7"/>
      <c r="CP237" s="7"/>
      <c r="CQ237" s="7"/>
      <c r="CR237" s="7"/>
      <c r="CS237" s="7"/>
      <c r="CT237" s="7"/>
      <c r="CU237" s="7"/>
      <c r="CV237" s="7"/>
      <c r="CW237" s="7"/>
      <c r="CX237" s="7"/>
      <c r="CY237" s="7"/>
      <c r="CZ237" s="7"/>
      <c r="DA237" s="7"/>
      <c r="DB237" s="7"/>
      <c r="DC237" s="7"/>
      <c r="DD237" s="7"/>
      <c r="DE237" s="7"/>
      <c r="DF237" s="7"/>
      <c r="DG237" s="7"/>
      <c r="DH237" s="7"/>
      <c r="DI237" s="7"/>
      <c r="DJ237" s="7"/>
      <c r="DK237" s="7"/>
      <c r="DL237" s="7"/>
      <c r="DM237" s="7"/>
      <c r="DN237" s="7"/>
      <c r="DO237" s="7"/>
      <c r="DP237" s="7"/>
      <c r="DQ237" s="7"/>
      <c r="DR237" s="7"/>
      <c r="DS237" s="7"/>
      <c r="DT237" s="7"/>
      <c r="DU237" s="7"/>
      <c r="DV237" s="7"/>
      <c r="DW237" s="7"/>
      <c r="DX237" s="7"/>
      <c r="DY237" s="7"/>
      <c r="DZ237" s="7"/>
      <c r="EA237" s="7"/>
      <c r="EB237" s="7"/>
      <c r="EC237" s="7"/>
      <c r="ED237" s="7"/>
      <c r="EE237" s="7"/>
      <c r="EF237" s="7"/>
      <c r="EG237" s="7"/>
      <c r="EH237" s="7"/>
      <c r="EI237" s="7"/>
      <c r="EJ237" s="7"/>
      <c r="EK237" s="7"/>
      <c r="EL237" s="7"/>
      <c r="EM237" s="7"/>
      <c r="EN237" s="7"/>
      <c r="EO237" s="7"/>
      <c r="EP237" s="7"/>
      <c r="EQ237" s="7"/>
      <c r="ER237" s="7"/>
      <c r="ES237" s="7"/>
      <c r="ET237" s="7"/>
      <c r="EU237" s="7"/>
      <c r="EV237" s="7"/>
      <c r="EW237" s="7"/>
      <c r="EX237" s="7"/>
      <c r="EY237" s="7"/>
      <c r="EZ237" s="7"/>
      <c r="FA237" s="7"/>
      <c r="FB237" s="7"/>
      <c r="FC237" s="7"/>
      <c r="FD237" s="7"/>
      <c r="FE237" s="7"/>
      <c r="FF237" s="7"/>
      <c r="FG237" s="7"/>
      <c r="FH237" s="7"/>
      <c r="FI237" s="7"/>
      <c r="FJ237" s="7"/>
      <c r="FK237" s="7"/>
      <c r="FL237" s="7"/>
      <c r="FM237" s="7"/>
      <c r="FN237" s="7"/>
      <c r="FO237" s="7"/>
      <c r="FP237" s="7"/>
      <c r="FQ237" s="7"/>
      <c r="FR237" s="7"/>
      <c r="FS237" s="7"/>
      <c r="FT237" s="7"/>
      <c r="FU237" s="7"/>
      <c r="FV237" s="7"/>
      <c r="FW237" s="7"/>
      <c r="FX237" s="7"/>
      <c r="FY237" s="7"/>
      <c r="FZ237" s="7"/>
      <c r="GA237" s="7"/>
      <c r="GB237" s="7"/>
      <c r="GC237" s="7"/>
      <c r="GD237" s="7"/>
      <c r="GE237" s="7"/>
      <c r="GF237" s="7"/>
      <c r="GG237" s="7"/>
      <c r="GH237" s="7"/>
      <c r="GI237" s="7"/>
      <c r="GJ237" s="7"/>
      <c r="GK237" s="7"/>
      <c r="GL237" s="7"/>
      <c r="GM237" s="7"/>
      <c r="GN237" s="7"/>
      <c r="GO237" s="7"/>
      <c r="GP237" s="7"/>
      <c r="GQ237" s="7"/>
      <c r="GR237" s="7"/>
      <c r="GS237" s="7"/>
      <c r="GT237" s="7"/>
      <c r="GU237" s="7"/>
      <c r="GV237" s="7"/>
      <c r="GW237" s="7"/>
      <c r="GX237" s="7"/>
      <c r="GY237" s="7"/>
      <c r="GZ237" s="7"/>
      <c r="HA237" s="7"/>
      <c r="HB237" s="7"/>
      <c r="HC237" s="7"/>
      <c r="HD237" s="7"/>
      <c r="HE237" s="7"/>
      <c r="HF237" s="7"/>
      <c r="HG237" s="7"/>
      <c r="HH237" s="7"/>
      <c r="HI237" s="7"/>
      <c r="HJ237" s="7"/>
      <c r="HK237" s="7"/>
      <c r="HL237" s="7"/>
      <c r="HM237" s="7"/>
      <c r="HN237" s="7"/>
      <c r="HO237" s="7"/>
      <c r="HP237" s="7"/>
      <c r="HQ237" s="7"/>
      <c r="HR237" s="7"/>
      <c r="HS237" s="7"/>
      <c r="HT237" s="7"/>
      <c r="HU237" s="7"/>
      <c r="HV237" s="7"/>
      <c r="HW237" s="7"/>
      <c r="HX237" s="7"/>
      <c r="HY237" s="7"/>
      <c r="HZ237" s="7"/>
      <c r="IA237" s="7"/>
      <c r="IB237" s="7"/>
      <c r="IC237" s="7"/>
      <c r="ID237" s="7"/>
      <c r="IE237" s="7"/>
      <c r="IF237" s="7"/>
      <c r="IG237" s="7"/>
      <c r="IH237" s="7"/>
      <c r="II237" s="7"/>
      <c r="IJ237" s="7"/>
      <c r="IK237" s="7"/>
      <c r="IL237" s="7"/>
      <c r="IM237" s="7"/>
      <c r="IN237" s="7"/>
      <c r="IO237" s="7"/>
      <c r="IP237" s="7"/>
      <c r="IQ237" s="7"/>
      <c r="IR237" s="7"/>
      <c r="IS237" s="7"/>
      <c r="IT237" s="7"/>
      <c r="IU237" s="7"/>
      <c r="IV237" s="7"/>
      <c r="IW237" s="7"/>
      <c r="IX237" s="7"/>
      <c r="JA237" s="113"/>
      <c r="JB237" s="113"/>
      <c r="JC237" s="113"/>
      <c r="JD237" s="66">
        <f>SUM((TEXT(JA237,"[M]")/60)*'Income Person-hours'!$D$3,(TEXT(JB237,"[M]")/60)*'Income Person-hours'!$D$4,(TEXT(JC237,"[M]")/60)*'Income Person-hours'!$D$5)</f>
        <v>0</v>
      </c>
    </row>
    <row r="238" spans="1:264 16383:16384" s="11" customFormat="1" ht="11.25" hidden="1">
      <c r="A238" s="30">
        <v>10.119999999999999</v>
      </c>
      <c r="B238" s="116"/>
      <c r="C238" s="107"/>
      <c r="D238" s="12" t="str">
        <f>IF(OR(j_WEEKDAY(J_ADDDAY(VLOOKUP(I238,A:F,6,FALSE),H238,1),0)=6,SUMIFS(Holieday[ok],Holieday[date],J_ADDDAY(VLOOKUP(I238,A:F,6,FALSE),H238,1)))=FALSE(),J_ADDDAY(VLOOKUP(I238,A:F,6,FALSE),H238,1),IF(OR(j_WEEKDAY(J_ADDDAY(VLOOKUP(I238,A:F,6,FALSE),H238+1,1),0)=6,SUMIFS(Holieday[ok],Holieday[date],J_ADDDAY(VLOOKUP(I238,A:F,6,FALSE),H238+1,1)))=FALSE(),J_ADDDAY(VLOOKUP(I238,A:F,6,FALSE),H238+1,1),IF(OR(j_WEEKDAY(J_ADDDAY(VLOOKUP(I238,A:F,6,FALSE),H238+2,1),0)=6,SUMIFS(Holieday[ok],Holieday[date],J_ADDDAY(VLOOKUP(I238,A:F,6,FALSE),H238+2,1)))=FALSE(),J_ADDDAY(VLOOKUP(I238,A:F,6,FALSE),H238+2,1),IF(OR(j_WEEKDAY(J_ADDDAY(VLOOKUP(I238,A:F,6,FALSE),H238+3,1),0)=6,SUMIFS(Holieday[ok],Holieday[date],J_ADDDAY(VLOOKUP(I238,A:F,6,FALSE),H238+3,1)))=FALSE(),J_ADDDAY(VLOOKUP(I238,A:F,6,FALSE),H238+3,1),IF(OR(j_WEEKDAY(J_ADDDAY(VLOOKUP(I238,A:F,6,FALSE),H238+4,1),0)=6,SUMIFS(Holieday[ok],Holieday[date],J_ADDDAY(VLOOKUP(I238,A:F,6,FALSE),H238+4,1)))=FALSE(),J_ADDDAY(VLOOKUP(I238,A:F,6,FALSE),H238+4,1),J_ADDDAY(VLOOKUP(I238,A:F,6,FALSE),H238+5,1))))))</f>
        <v>1398/06/30</v>
      </c>
      <c r="E238" s="1">
        <f t="shared" si="70"/>
        <v>13980630</v>
      </c>
      <c r="F238" s="12" t="str">
        <f>IF(N238=0,J_SUBDAY(D238,1,1),IF((N238-NETWORKDAYS.INTL(J_GregorianDate(D238,1),J_GregorianDate(J_SUBDAY(J_ADDDAY(D238,N238,1),1,1),1),16,1)-SUMIFS(Holieday[ok],Holieday[date],CONCATENATE("&gt;","=",D238),Holieday[date],CONCATENATE("&lt;","=",J_SUBDAY(J_ADDDAY(D238,N238,1),1,1)))+SUMIFS(Holieday[Friday],Holieday[date],CONCATENATE("&gt;","=",D238),Holieday[date],CONCATENATE("&lt;","=",J_SUBDAY(J_ADDDAY(D238,N238,1),1,1))))=0,J_SUBDAY(J_ADDDAY(D238,N238,1),1,1),IF((N238-NETWORKDAYS.INTL(J_GregorianDate(D238,1),J_GregorianDate(J_SUBDAY(J_ADDDAY(D238,N238,1),1,1),1),16,1)-SUMIFS(Holieday[ok],Holieday[date],CONCATENATE("&gt;","=",D238),Holieday[date],CONCATENATE("&lt;","=",J_SUBDAY(J_ADDDAY(D238,N238,1),1,1)))+SUMIFS(Holieday[Friday],Holieday[date],CONCATENATE("&gt;","=",D238),Holieday[date],CONCATENATE("&lt;","=",J_SUBDAY(J_ADDDAY(D238,N238,1),1,1))))=1,J_SUBDAY(J_ADDDAY(D238,N238+1,1),1,1),IF((N238-NETWORKDAYS.INTL(J_GregorianDate(D238,1),J_GregorianDate(J_SUBDAY(J_ADDDAY(D238,N238,1),1,1),1),16,1)-SUMIFS(Holieday[ok],Holieday[date],CONCATENATE("&gt;","=",D238),Holieday[date],CONCATENATE("&lt;","=",J_SUBDAY(J_ADDDAY(D238,N238,1),1,1)))+SUMIFS(Holieday[Friday],Holieday[date],CONCATENATE("&gt;","=",D238),Holieday[date],CONCATENATE("&lt;","=",J_SUBDAY(J_ADDDAY(D238,N238,1),1,1))))=2,J_SUBDAY(J_ADDDAY(D238,N238+2,1),1,1),J_SUBDAY(J_ADDDAY(D238,N238+3,1),1,1)))))</f>
        <v>1398/06/29</v>
      </c>
      <c r="G238" s="2">
        <f t="shared" si="71"/>
        <v>13980629</v>
      </c>
      <c r="H238" s="109"/>
      <c r="I238" s="110">
        <v>10.1</v>
      </c>
      <c r="J238" s="9">
        <f>j_WEEKDAY(D238,2)</f>
        <v>0</v>
      </c>
      <c r="K238" s="21">
        <f t="shared" si="69"/>
        <v>0</v>
      </c>
      <c r="L238" s="8">
        <f t="shared" si="74"/>
        <v>0</v>
      </c>
      <c r="M238" s="111">
        <v>0</v>
      </c>
      <c r="N238" s="108">
        <v>0</v>
      </c>
      <c r="O238" s="10">
        <f t="shared" si="75"/>
        <v>0</v>
      </c>
      <c r="P238" s="10">
        <f>VALUE(J_normdate(J_ADDDAY($D238,$O238,1)))</f>
        <v>13980630</v>
      </c>
      <c r="Q238" s="9">
        <f t="shared" si="76"/>
        <v>0</v>
      </c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  <c r="CC238" s="7"/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  <c r="CO238" s="7"/>
      <c r="CP238" s="7"/>
      <c r="CQ238" s="7"/>
      <c r="CR238" s="7"/>
      <c r="CS238" s="7"/>
      <c r="CT238" s="7"/>
      <c r="CU238" s="7"/>
      <c r="CV238" s="7"/>
      <c r="CW238" s="7"/>
      <c r="CX238" s="7"/>
      <c r="CY238" s="7"/>
      <c r="CZ238" s="7"/>
      <c r="DA238" s="7"/>
      <c r="DB238" s="7"/>
      <c r="DC238" s="7"/>
      <c r="DD238" s="7"/>
      <c r="DE238" s="7"/>
      <c r="DF238" s="7"/>
      <c r="DG238" s="7"/>
      <c r="DH238" s="7"/>
      <c r="DI238" s="7"/>
      <c r="DJ238" s="7"/>
      <c r="DK238" s="7"/>
      <c r="DL238" s="7"/>
      <c r="DM238" s="7"/>
      <c r="DN238" s="7"/>
      <c r="DO238" s="7"/>
      <c r="DP238" s="7"/>
      <c r="DQ238" s="7"/>
      <c r="DR238" s="7"/>
      <c r="DS238" s="7"/>
      <c r="DT238" s="7"/>
      <c r="DU238" s="7"/>
      <c r="DV238" s="7"/>
      <c r="DW238" s="7"/>
      <c r="DX238" s="7"/>
      <c r="DY238" s="7"/>
      <c r="DZ238" s="7"/>
      <c r="EA238" s="7"/>
      <c r="EB238" s="7"/>
      <c r="EC238" s="7"/>
      <c r="ED238" s="7"/>
      <c r="EE238" s="7"/>
      <c r="EF238" s="7"/>
      <c r="EG238" s="7"/>
      <c r="EH238" s="7"/>
      <c r="EI238" s="7"/>
      <c r="EJ238" s="7"/>
      <c r="EK238" s="7"/>
      <c r="EL238" s="7"/>
      <c r="EM238" s="7"/>
      <c r="EN238" s="7"/>
      <c r="EO238" s="7"/>
      <c r="EP238" s="7"/>
      <c r="EQ238" s="7"/>
      <c r="ER238" s="7"/>
      <c r="ES238" s="7"/>
      <c r="ET238" s="7"/>
      <c r="EU238" s="7"/>
      <c r="EV238" s="7"/>
      <c r="EW238" s="7"/>
      <c r="EX238" s="7"/>
      <c r="EY238" s="7"/>
      <c r="EZ238" s="7"/>
      <c r="FA238" s="7"/>
      <c r="FB238" s="7"/>
      <c r="FC238" s="7"/>
      <c r="FD238" s="7"/>
      <c r="FE238" s="7"/>
      <c r="FF238" s="7"/>
      <c r="FG238" s="7"/>
      <c r="FH238" s="7"/>
      <c r="FI238" s="7"/>
      <c r="FJ238" s="7"/>
      <c r="FK238" s="7"/>
      <c r="FL238" s="7"/>
      <c r="FM238" s="7"/>
      <c r="FN238" s="7"/>
      <c r="FO238" s="7"/>
      <c r="FP238" s="7"/>
      <c r="FQ238" s="7"/>
      <c r="FR238" s="7"/>
      <c r="FS238" s="7"/>
      <c r="FT238" s="7"/>
      <c r="FU238" s="7"/>
      <c r="FV238" s="7"/>
      <c r="FW238" s="7"/>
      <c r="FX238" s="7"/>
      <c r="FY238" s="7"/>
      <c r="FZ238" s="7"/>
      <c r="GA238" s="7"/>
      <c r="GB238" s="7"/>
      <c r="GC238" s="7"/>
      <c r="GD238" s="7"/>
      <c r="GE238" s="7"/>
      <c r="GF238" s="7"/>
      <c r="GG238" s="7"/>
      <c r="GH238" s="7"/>
      <c r="GI238" s="7"/>
      <c r="GJ238" s="7"/>
      <c r="GK238" s="7"/>
      <c r="GL238" s="7"/>
      <c r="GM238" s="7"/>
      <c r="GN238" s="7"/>
      <c r="GO238" s="7"/>
      <c r="GP238" s="7"/>
      <c r="GQ238" s="7"/>
      <c r="GR238" s="7"/>
      <c r="GS238" s="7"/>
      <c r="GT238" s="7"/>
      <c r="GU238" s="7"/>
      <c r="GV238" s="7"/>
      <c r="GW238" s="7"/>
      <c r="GX238" s="7"/>
      <c r="GY238" s="7"/>
      <c r="GZ238" s="7"/>
      <c r="HA238" s="7"/>
      <c r="HB238" s="7"/>
      <c r="HC238" s="7"/>
      <c r="HD238" s="7"/>
      <c r="HE238" s="7"/>
      <c r="HF238" s="7"/>
      <c r="HG238" s="7"/>
      <c r="HH238" s="7"/>
      <c r="HI238" s="7"/>
      <c r="HJ238" s="7"/>
      <c r="HK238" s="7"/>
      <c r="HL238" s="7"/>
      <c r="HM238" s="7"/>
      <c r="HN238" s="7"/>
      <c r="HO238" s="7"/>
      <c r="HP238" s="7"/>
      <c r="HQ238" s="7"/>
      <c r="HR238" s="7"/>
      <c r="HS238" s="7"/>
      <c r="HT238" s="7"/>
      <c r="HU238" s="7"/>
      <c r="HV238" s="7"/>
      <c r="HW238" s="7"/>
      <c r="HX238" s="7"/>
      <c r="HY238" s="7"/>
      <c r="HZ238" s="7"/>
      <c r="IA238" s="7"/>
      <c r="IB238" s="7"/>
      <c r="IC238" s="7"/>
      <c r="ID238" s="7"/>
      <c r="IE238" s="7"/>
      <c r="IF238" s="7"/>
      <c r="IG238" s="7"/>
      <c r="IH238" s="7"/>
      <c r="II238" s="7"/>
      <c r="IJ238" s="7"/>
      <c r="IK238" s="7"/>
      <c r="IL238" s="7"/>
      <c r="IM238" s="7"/>
      <c r="IN238" s="7"/>
      <c r="IO238" s="7"/>
      <c r="IP238" s="7"/>
      <c r="IQ238" s="7"/>
      <c r="IR238" s="7"/>
      <c r="IS238" s="7"/>
      <c r="IT238" s="7"/>
      <c r="IU238" s="7"/>
      <c r="IV238" s="7"/>
      <c r="IW238" s="7"/>
      <c r="IX238" s="7"/>
      <c r="JA238" s="113"/>
      <c r="JB238" s="113"/>
      <c r="JC238" s="113"/>
      <c r="JD238" s="66">
        <f>SUM((TEXT(JA238,"[M]")/60)*'Income Person-hours'!$D$3,(TEXT(JB238,"[M]")/60)*'Income Person-hours'!$D$4,(TEXT(JC238,"[M]")/60)*'Income Person-hours'!$D$5)</f>
        <v>0</v>
      </c>
    </row>
    <row r="239" spans="1:264 16383:16384" s="11" customFormat="1" ht="11.25" hidden="1">
      <c r="A239" s="30">
        <v>10.130000000000001</v>
      </c>
      <c r="B239" s="116"/>
      <c r="C239" s="107"/>
      <c r="D239" s="12" t="str">
        <f>IF(OR(j_WEEKDAY(J_ADDDAY(VLOOKUP(I239,A:F,6,FALSE),H239,1),0)=6,SUMIFS(Holieday[ok],Holieday[date],J_ADDDAY(VLOOKUP(I239,A:F,6,FALSE),H239,1)))=FALSE(),J_ADDDAY(VLOOKUP(I239,A:F,6,FALSE),H239,1),IF(OR(j_WEEKDAY(J_ADDDAY(VLOOKUP(I239,A:F,6,FALSE),H239+1,1),0)=6,SUMIFS(Holieday[ok],Holieday[date],J_ADDDAY(VLOOKUP(I239,A:F,6,FALSE),H239+1,1)))=FALSE(),J_ADDDAY(VLOOKUP(I239,A:F,6,FALSE),H239+1,1),IF(OR(j_WEEKDAY(J_ADDDAY(VLOOKUP(I239,A:F,6,FALSE),H239+2,1),0)=6,SUMIFS(Holieday[ok],Holieday[date],J_ADDDAY(VLOOKUP(I239,A:F,6,FALSE),H239+2,1)))=FALSE(),J_ADDDAY(VLOOKUP(I239,A:F,6,FALSE),H239+2,1),IF(OR(j_WEEKDAY(J_ADDDAY(VLOOKUP(I239,A:F,6,FALSE),H239+3,1),0)=6,SUMIFS(Holieday[ok],Holieday[date],J_ADDDAY(VLOOKUP(I239,A:F,6,FALSE),H239+3,1)))=FALSE(),J_ADDDAY(VLOOKUP(I239,A:F,6,FALSE),H239+3,1),IF(OR(j_WEEKDAY(J_ADDDAY(VLOOKUP(I239,A:F,6,FALSE),H239+4,1),0)=6,SUMIFS(Holieday[ok],Holieday[date],J_ADDDAY(VLOOKUP(I239,A:F,6,FALSE),H239+4,1)))=FALSE(),J_ADDDAY(VLOOKUP(I239,A:F,6,FALSE),H239+4,1),J_ADDDAY(VLOOKUP(I239,A:F,6,FALSE),H239+5,1))))))</f>
        <v>1398/06/30</v>
      </c>
      <c r="E239" s="1">
        <f t="shared" si="70"/>
        <v>13980630</v>
      </c>
      <c r="F239" s="12" t="str">
        <f>IF(N239=0,J_SUBDAY(D239,1,1),IF((N239-NETWORKDAYS.INTL(J_GregorianDate(D239,1),J_GregorianDate(J_SUBDAY(J_ADDDAY(D239,N239,1),1,1),1),16,1)-SUMIFS(Holieday[ok],Holieday[date],CONCATENATE("&gt;","=",D239),Holieday[date],CONCATENATE("&lt;","=",J_SUBDAY(J_ADDDAY(D239,N239,1),1,1)))+SUMIFS(Holieday[Friday],Holieday[date],CONCATENATE("&gt;","=",D239),Holieday[date],CONCATENATE("&lt;","=",J_SUBDAY(J_ADDDAY(D239,N239,1),1,1))))=0,J_SUBDAY(J_ADDDAY(D239,N239,1),1,1),IF((N239-NETWORKDAYS.INTL(J_GregorianDate(D239,1),J_GregorianDate(J_SUBDAY(J_ADDDAY(D239,N239,1),1,1),1),16,1)-SUMIFS(Holieday[ok],Holieday[date],CONCATENATE("&gt;","=",D239),Holieday[date],CONCATENATE("&lt;","=",J_SUBDAY(J_ADDDAY(D239,N239,1),1,1)))+SUMIFS(Holieday[Friday],Holieday[date],CONCATENATE("&gt;","=",D239),Holieday[date],CONCATENATE("&lt;","=",J_SUBDAY(J_ADDDAY(D239,N239,1),1,1))))=1,J_SUBDAY(J_ADDDAY(D239,N239+1,1),1,1),IF((N239-NETWORKDAYS.INTL(J_GregorianDate(D239,1),J_GregorianDate(J_SUBDAY(J_ADDDAY(D239,N239,1),1,1),1),16,1)-SUMIFS(Holieday[ok],Holieday[date],CONCATENATE("&gt;","=",D239),Holieday[date],CONCATENATE("&lt;","=",J_SUBDAY(J_ADDDAY(D239,N239,1),1,1)))+SUMIFS(Holieday[Friday],Holieday[date],CONCATENATE("&gt;","=",D239),Holieday[date],CONCATENATE("&lt;","=",J_SUBDAY(J_ADDDAY(D239,N239,1),1,1))))=2,J_SUBDAY(J_ADDDAY(D239,N239+2,1),1,1),J_SUBDAY(J_ADDDAY(D239,N239+3,1),1,1)))))</f>
        <v>1398/06/29</v>
      </c>
      <c r="G239" s="2">
        <f t="shared" si="71"/>
        <v>13980629</v>
      </c>
      <c r="H239" s="109"/>
      <c r="I239" s="110">
        <v>10.1</v>
      </c>
      <c r="J239" s="9">
        <f>j_WEEKDAY(D239,2)</f>
        <v>0</v>
      </c>
      <c r="K239" s="21">
        <f t="shared" si="69"/>
        <v>0</v>
      </c>
      <c r="L239" s="8">
        <f t="shared" si="74"/>
        <v>0</v>
      </c>
      <c r="M239" s="111">
        <v>0</v>
      </c>
      <c r="N239" s="108">
        <v>0</v>
      </c>
      <c r="O239" s="10">
        <f t="shared" si="75"/>
        <v>0</v>
      </c>
      <c r="P239" s="10">
        <f>VALUE(J_normdate(J_ADDDAY($D239,$O239,1)))</f>
        <v>13980630</v>
      </c>
      <c r="Q239" s="9">
        <f t="shared" si="76"/>
        <v>0</v>
      </c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7"/>
      <c r="BV239" s="7"/>
      <c r="BW239" s="7"/>
      <c r="BX239" s="7"/>
      <c r="BY239" s="7"/>
      <c r="BZ239" s="7"/>
      <c r="CA239" s="7"/>
      <c r="CB239" s="7"/>
      <c r="CC239" s="7"/>
      <c r="CD239" s="7"/>
      <c r="CE239" s="7"/>
      <c r="CF239" s="7"/>
      <c r="CG239" s="7"/>
      <c r="CH239" s="7"/>
      <c r="CI239" s="7"/>
      <c r="CJ239" s="7"/>
      <c r="CK239" s="7"/>
      <c r="CL239" s="7"/>
      <c r="CM239" s="7"/>
      <c r="CN239" s="7"/>
      <c r="CO239" s="7"/>
      <c r="CP239" s="7"/>
      <c r="CQ239" s="7"/>
      <c r="CR239" s="7"/>
      <c r="CS239" s="7"/>
      <c r="CT239" s="7"/>
      <c r="CU239" s="7"/>
      <c r="CV239" s="7"/>
      <c r="CW239" s="7"/>
      <c r="CX239" s="7"/>
      <c r="CY239" s="7"/>
      <c r="CZ239" s="7"/>
      <c r="DA239" s="7"/>
      <c r="DB239" s="7"/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7"/>
      <c r="DO239" s="7"/>
      <c r="DP239" s="7"/>
      <c r="DQ239" s="7"/>
      <c r="DR239" s="7"/>
      <c r="DS239" s="7"/>
      <c r="DT239" s="7"/>
      <c r="DU239" s="7"/>
      <c r="DV239" s="7"/>
      <c r="DW239" s="7"/>
      <c r="DX239" s="7"/>
      <c r="DY239" s="7"/>
      <c r="DZ239" s="7"/>
      <c r="EA239" s="7"/>
      <c r="EB239" s="7"/>
      <c r="EC239" s="7"/>
      <c r="ED239" s="7"/>
      <c r="EE239" s="7"/>
      <c r="EF239" s="7"/>
      <c r="EG239" s="7"/>
      <c r="EH239" s="7"/>
      <c r="EI239" s="7"/>
      <c r="EJ239" s="7"/>
      <c r="EK239" s="7"/>
      <c r="EL239" s="7"/>
      <c r="EM239" s="7"/>
      <c r="EN239" s="7"/>
      <c r="EO239" s="7"/>
      <c r="EP239" s="7"/>
      <c r="EQ239" s="7"/>
      <c r="ER239" s="7"/>
      <c r="ES239" s="7"/>
      <c r="ET239" s="7"/>
      <c r="EU239" s="7"/>
      <c r="EV239" s="7"/>
      <c r="EW239" s="7"/>
      <c r="EX239" s="7"/>
      <c r="EY239" s="7"/>
      <c r="EZ239" s="7"/>
      <c r="FA239" s="7"/>
      <c r="FB239" s="7"/>
      <c r="FC239" s="7"/>
      <c r="FD239" s="7"/>
      <c r="FE239" s="7"/>
      <c r="FF239" s="7"/>
      <c r="FG239" s="7"/>
      <c r="FH239" s="7"/>
      <c r="FI239" s="7"/>
      <c r="FJ239" s="7"/>
      <c r="FK239" s="7"/>
      <c r="FL239" s="7"/>
      <c r="FM239" s="7"/>
      <c r="FN239" s="7"/>
      <c r="FO239" s="7"/>
      <c r="FP239" s="7"/>
      <c r="FQ239" s="7"/>
      <c r="FR239" s="7"/>
      <c r="FS239" s="7"/>
      <c r="FT239" s="7"/>
      <c r="FU239" s="7"/>
      <c r="FV239" s="7"/>
      <c r="FW239" s="7"/>
      <c r="FX239" s="7"/>
      <c r="FY239" s="7"/>
      <c r="FZ239" s="7"/>
      <c r="GA239" s="7"/>
      <c r="GB239" s="7"/>
      <c r="GC239" s="7"/>
      <c r="GD239" s="7"/>
      <c r="GE239" s="7"/>
      <c r="GF239" s="7"/>
      <c r="GG239" s="7"/>
      <c r="GH239" s="7"/>
      <c r="GI239" s="7"/>
      <c r="GJ239" s="7"/>
      <c r="GK239" s="7"/>
      <c r="GL239" s="7"/>
      <c r="GM239" s="7"/>
      <c r="GN239" s="7"/>
      <c r="GO239" s="7"/>
      <c r="GP239" s="7"/>
      <c r="GQ239" s="7"/>
      <c r="GR239" s="7"/>
      <c r="GS239" s="7"/>
      <c r="GT239" s="7"/>
      <c r="GU239" s="7"/>
      <c r="GV239" s="7"/>
      <c r="GW239" s="7"/>
      <c r="GX239" s="7"/>
      <c r="GY239" s="7"/>
      <c r="GZ239" s="7"/>
      <c r="HA239" s="7"/>
      <c r="HB239" s="7"/>
      <c r="HC239" s="7"/>
      <c r="HD239" s="7"/>
      <c r="HE239" s="7"/>
      <c r="HF239" s="7"/>
      <c r="HG239" s="7"/>
      <c r="HH239" s="7"/>
      <c r="HI239" s="7"/>
      <c r="HJ239" s="7"/>
      <c r="HK239" s="7"/>
      <c r="HL239" s="7"/>
      <c r="HM239" s="7"/>
      <c r="HN239" s="7"/>
      <c r="HO239" s="7"/>
      <c r="HP239" s="7"/>
      <c r="HQ239" s="7"/>
      <c r="HR239" s="7"/>
      <c r="HS239" s="7"/>
      <c r="HT239" s="7"/>
      <c r="HU239" s="7"/>
      <c r="HV239" s="7"/>
      <c r="HW239" s="7"/>
      <c r="HX239" s="7"/>
      <c r="HY239" s="7"/>
      <c r="HZ239" s="7"/>
      <c r="IA239" s="7"/>
      <c r="IB239" s="7"/>
      <c r="IC239" s="7"/>
      <c r="ID239" s="7"/>
      <c r="IE239" s="7"/>
      <c r="IF239" s="7"/>
      <c r="IG239" s="7"/>
      <c r="IH239" s="7"/>
      <c r="II239" s="7"/>
      <c r="IJ239" s="7"/>
      <c r="IK239" s="7"/>
      <c r="IL239" s="7"/>
      <c r="IM239" s="7"/>
      <c r="IN239" s="7"/>
      <c r="IO239" s="7"/>
      <c r="IP239" s="7"/>
      <c r="IQ239" s="7"/>
      <c r="IR239" s="7"/>
      <c r="IS239" s="7"/>
      <c r="IT239" s="7"/>
      <c r="IU239" s="7"/>
      <c r="IV239" s="7"/>
      <c r="IW239" s="7"/>
      <c r="IX239" s="7"/>
      <c r="JA239" s="113"/>
      <c r="JB239" s="113"/>
      <c r="JC239" s="113"/>
      <c r="JD239" s="66">
        <f>SUM((TEXT(JA239,"[M]")/60)*'Income Person-hours'!$D$3,(TEXT(JB239,"[M]")/60)*'Income Person-hours'!$D$4,(TEXT(JC239,"[M]")/60)*'Income Person-hours'!$D$5)</f>
        <v>0</v>
      </c>
    </row>
    <row r="240" spans="1:264 16383:16384" s="11" customFormat="1" ht="11.25" hidden="1">
      <c r="A240" s="30">
        <v>10.14</v>
      </c>
      <c r="B240" s="116"/>
      <c r="C240" s="107"/>
      <c r="D240" s="12" t="str">
        <f>IF(OR(j_WEEKDAY(J_ADDDAY(VLOOKUP(I240,A:F,6,FALSE),H240,1),0)=6,SUMIFS(Holieday[ok],Holieday[date],J_ADDDAY(VLOOKUP(I240,A:F,6,FALSE),H240,1)))=FALSE(),J_ADDDAY(VLOOKUP(I240,A:F,6,FALSE),H240,1),IF(OR(j_WEEKDAY(J_ADDDAY(VLOOKUP(I240,A:F,6,FALSE),H240+1,1),0)=6,SUMIFS(Holieday[ok],Holieday[date],J_ADDDAY(VLOOKUP(I240,A:F,6,FALSE),H240+1,1)))=FALSE(),J_ADDDAY(VLOOKUP(I240,A:F,6,FALSE),H240+1,1),IF(OR(j_WEEKDAY(J_ADDDAY(VLOOKUP(I240,A:F,6,FALSE),H240+2,1),0)=6,SUMIFS(Holieday[ok],Holieday[date],J_ADDDAY(VLOOKUP(I240,A:F,6,FALSE),H240+2,1)))=FALSE(),J_ADDDAY(VLOOKUP(I240,A:F,6,FALSE),H240+2,1),IF(OR(j_WEEKDAY(J_ADDDAY(VLOOKUP(I240,A:F,6,FALSE),H240+3,1),0)=6,SUMIFS(Holieday[ok],Holieday[date],J_ADDDAY(VLOOKUP(I240,A:F,6,FALSE),H240+3,1)))=FALSE(),J_ADDDAY(VLOOKUP(I240,A:F,6,FALSE),H240+3,1),IF(OR(j_WEEKDAY(J_ADDDAY(VLOOKUP(I240,A:F,6,FALSE),H240+4,1),0)=6,SUMIFS(Holieday[ok],Holieday[date],J_ADDDAY(VLOOKUP(I240,A:F,6,FALSE),H240+4,1)))=FALSE(),J_ADDDAY(VLOOKUP(I240,A:F,6,FALSE),H240+4,1),J_ADDDAY(VLOOKUP(I240,A:F,6,FALSE),H240+5,1))))))</f>
        <v>1398/06/30</v>
      </c>
      <c r="E240" s="1">
        <f t="shared" si="70"/>
        <v>13980630</v>
      </c>
      <c r="F240" s="12" t="str">
        <f>IF(N240=0,J_SUBDAY(D240,1,1),IF((N240-NETWORKDAYS.INTL(J_GregorianDate(D240,1),J_GregorianDate(J_SUBDAY(J_ADDDAY(D240,N240,1),1,1),1),16,1)-SUMIFS(Holieday[ok],Holieday[date],CONCATENATE("&gt;","=",D240),Holieday[date],CONCATENATE("&lt;","=",J_SUBDAY(J_ADDDAY(D240,N240,1),1,1)))+SUMIFS(Holieday[Friday],Holieday[date],CONCATENATE("&gt;","=",D240),Holieday[date],CONCATENATE("&lt;","=",J_SUBDAY(J_ADDDAY(D240,N240,1),1,1))))=0,J_SUBDAY(J_ADDDAY(D240,N240,1),1,1),IF((N240-NETWORKDAYS.INTL(J_GregorianDate(D240,1),J_GregorianDate(J_SUBDAY(J_ADDDAY(D240,N240,1),1,1),1),16,1)-SUMIFS(Holieday[ok],Holieday[date],CONCATENATE("&gt;","=",D240),Holieday[date],CONCATENATE("&lt;","=",J_SUBDAY(J_ADDDAY(D240,N240,1),1,1)))+SUMIFS(Holieday[Friday],Holieday[date],CONCATENATE("&gt;","=",D240),Holieday[date],CONCATENATE("&lt;","=",J_SUBDAY(J_ADDDAY(D240,N240,1),1,1))))=1,J_SUBDAY(J_ADDDAY(D240,N240+1,1),1,1),IF((N240-NETWORKDAYS.INTL(J_GregorianDate(D240,1),J_GregorianDate(J_SUBDAY(J_ADDDAY(D240,N240,1),1,1),1),16,1)-SUMIFS(Holieday[ok],Holieday[date],CONCATENATE("&gt;","=",D240),Holieday[date],CONCATENATE("&lt;","=",J_SUBDAY(J_ADDDAY(D240,N240,1),1,1)))+SUMIFS(Holieday[Friday],Holieday[date],CONCATENATE("&gt;","=",D240),Holieday[date],CONCATENATE("&lt;","=",J_SUBDAY(J_ADDDAY(D240,N240,1),1,1))))=2,J_SUBDAY(J_ADDDAY(D240,N240+2,1),1,1),J_SUBDAY(J_ADDDAY(D240,N240+3,1),1,1)))))</f>
        <v>1398/06/29</v>
      </c>
      <c r="G240" s="2">
        <f t="shared" si="71"/>
        <v>13980629</v>
      </c>
      <c r="H240" s="109"/>
      <c r="I240" s="110">
        <v>10.1</v>
      </c>
      <c r="J240" s="9">
        <f>j_WEEKDAY(D240,2)</f>
        <v>0</v>
      </c>
      <c r="K240" s="21">
        <f t="shared" si="69"/>
        <v>0</v>
      </c>
      <c r="L240" s="8">
        <f t="shared" si="74"/>
        <v>0</v>
      </c>
      <c r="M240" s="111">
        <v>0</v>
      </c>
      <c r="N240" s="108">
        <v>0</v>
      </c>
      <c r="O240" s="10">
        <f t="shared" si="75"/>
        <v>0</v>
      </c>
      <c r="P240" s="10">
        <f>VALUE(J_normdate(J_ADDDAY($D240,$O240,1)))</f>
        <v>13980630</v>
      </c>
      <c r="Q240" s="9">
        <f t="shared" si="76"/>
        <v>0</v>
      </c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7"/>
      <c r="BV240" s="7"/>
      <c r="BW240" s="7"/>
      <c r="BX240" s="7"/>
      <c r="BY240" s="7"/>
      <c r="BZ240" s="7"/>
      <c r="CA240" s="7"/>
      <c r="CB240" s="7"/>
      <c r="CC240" s="7"/>
      <c r="CD240" s="7"/>
      <c r="CE240" s="7"/>
      <c r="CF240" s="7"/>
      <c r="CG240" s="7"/>
      <c r="CH240" s="7"/>
      <c r="CI240" s="7"/>
      <c r="CJ240" s="7"/>
      <c r="CK240" s="7"/>
      <c r="CL240" s="7"/>
      <c r="CM240" s="7"/>
      <c r="CN240" s="7"/>
      <c r="CO240" s="7"/>
      <c r="CP240" s="7"/>
      <c r="CQ240" s="7"/>
      <c r="CR240" s="7"/>
      <c r="CS240" s="7"/>
      <c r="CT240" s="7"/>
      <c r="CU240" s="7"/>
      <c r="CV240" s="7"/>
      <c r="CW240" s="7"/>
      <c r="CX240" s="7"/>
      <c r="CY240" s="7"/>
      <c r="CZ240" s="7"/>
      <c r="DA240" s="7"/>
      <c r="DB240" s="7"/>
      <c r="DC240" s="7"/>
      <c r="DD240" s="7"/>
      <c r="DE240" s="7"/>
      <c r="DF240" s="7"/>
      <c r="DG240" s="7"/>
      <c r="DH240" s="7"/>
      <c r="DI240" s="7"/>
      <c r="DJ240" s="7"/>
      <c r="DK240" s="7"/>
      <c r="DL240" s="7"/>
      <c r="DM240" s="7"/>
      <c r="DN240" s="7"/>
      <c r="DO240" s="7"/>
      <c r="DP240" s="7"/>
      <c r="DQ240" s="7"/>
      <c r="DR240" s="7"/>
      <c r="DS240" s="7"/>
      <c r="DT240" s="7"/>
      <c r="DU240" s="7"/>
      <c r="DV240" s="7"/>
      <c r="DW240" s="7"/>
      <c r="DX240" s="7"/>
      <c r="DY240" s="7"/>
      <c r="DZ240" s="7"/>
      <c r="EA240" s="7"/>
      <c r="EB240" s="7"/>
      <c r="EC240" s="7"/>
      <c r="ED240" s="7"/>
      <c r="EE240" s="7"/>
      <c r="EF240" s="7"/>
      <c r="EG240" s="7"/>
      <c r="EH240" s="7"/>
      <c r="EI240" s="7"/>
      <c r="EJ240" s="7"/>
      <c r="EK240" s="7"/>
      <c r="EL240" s="7"/>
      <c r="EM240" s="7"/>
      <c r="EN240" s="7"/>
      <c r="EO240" s="7"/>
      <c r="EP240" s="7"/>
      <c r="EQ240" s="7"/>
      <c r="ER240" s="7"/>
      <c r="ES240" s="7"/>
      <c r="ET240" s="7"/>
      <c r="EU240" s="7"/>
      <c r="EV240" s="7"/>
      <c r="EW240" s="7"/>
      <c r="EX240" s="7"/>
      <c r="EY240" s="7"/>
      <c r="EZ240" s="7"/>
      <c r="FA240" s="7"/>
      <c r="FB240" s="7"/>
      <c r="FC240" s="7"/>
      <c r="FD240" s="7"/>
      <c r="FE240" s="7"/>
      <c r="FF240" s="7"/>
      <c r="FG240" s="7"/>
      <c r="FH240" s="7"/>
      <c r="FI240" s="7"/>
      <c r="FJ240" s="7"/>
      <c r="FK240" s="7"/>
      <c r="FL240" s="7"/>
      <c r="FM240" s="7"/>
      <c r="FN240" s="7"/>
      <c r="FO240" s="7"/>
      <c r="FP240" s="7"/>
      <c r="FQ240" s="7"/>
      <c r="FR240" s="7"/>
      <c r="FS240" s="7"/>
      <c r="FT240" s="7"/>
      <c r="FU240" s="7"/>
      <c r="FV240" s="7"/>
      <c r="FW240" s="7"/>
      <c r="FX240" s="7"/>
      <c r="FY240" s="7"/>
      <c r="FZ240" s="7"/>
      <c r="GA240" s="7"/>
      <c r="GB240" s="7"/>
      <c r="GC240" s="7"/>
      <c r="GD240" s="7"/>
      <c r="GE240" s="7"/>
      <c r="GF240" s="7"/>
      <c r="GG240" s="7"/>
      <c r="GH240" s="7"/>
      <c r="GI240" s="7"/>
      <c r="GJ240" s="7"/>
      <c r="GK240" s="7"/>
      <c r="GL240" s="7"/>
      <c r="GM240" s="7"/>
      <c r="GN240" s="7"/>
      <c r="GO240" s="7"/>
      <c r="GP240" s="7"/>
      <c r="GQ240" s="7"/>
      <c r="GR240" s="7"/>
      <c r="GS240" s="7"/>
      <c r="GT240" s="7"/>
      <c r="GU240" s="7"/>
      <c r="GV240" s="7"/>
      <c r="GW240" s="7"/>
      <c r="GX240" s="7"/>
      <c r="GY240" s="7"/>
      <c r="GZ240" s="7"/>
      <c r="HA240" s="7"/>
      <c r="HB240" s="7"/>
      <c r="HC240" s="7"/>
      <c r="HD240" s="7"/>
      <c r="HE240" s="7"/>
      <c r="HF240" s="7"/>
      <c r="HG240" s="7"/>
      <c r="HH240" s="7"/>
      <c r="HI240" s="7"/>
      <c r="HJ240" s="7"/>
      <c r="HK240" s="7"/>
      <c r="HL240" s="7"/>
      <c r="HM240" s="7"/>
      <c r="HN240" s="7"/>
      <c r="HO240" s="7"/>
      <c r="HP240" s="7"/>
      <c r="HQ240" s="7"/>
      <c r="HR240" s="7"/>
      <c r="HS240" s="7"/>
      <c r="HT240" s="7"/>
      <c r="HU240" s="7"/>
      <c r="HV240" s="7"/>
      <c r="HW240" s="7"/>
      <c r="HX240" s="7"/>
      <c r="HY240" s="7"/>
      <c r="HZ240" s="7"/>
      <c r="IA240" s="7"/>
      <c r="IB240" s="7"/>
      <c r="IC240" s="7"/>
      <c r="ID240" s="7"/>
      <c r="IE240" s="7"/>
      <c r="IF240" s="7"/>
      <c r="IG240" s="7"/>
      <c r="IH240" s="7"/>
      <c r="II240" s="7"/>
      <c r="IJ240" s="7"/>
      <c r="IK240" s="7"/>
      <c r="IL240" s="7"/>
      <c r="IM240" s="7"/>
      <c r="IN240" s="7"/>
      <c r="IO240" s="7"/>
      <c r="IP240" s="7"/>
      <c r="IQ240" s="7"/>
      <c r="IR240" s="7"/>
      <c r="IS240" s="7"/>
      <c r="IT240" s="7"/>
      <c r="IU240" s="7"/>
      <c r="IV240" s="7"/>
      <c r="IW240" s="7"/>
      <c r="IX240" s="7"/>
      <c r="JA240" s="113"/>
      <c r="JB240" s="113"/>
      <c r="JC240" s="113"/>
      <c r="JD240" s="66">
        <f>SUM((TEXT(JA240,"[M]")/60)*'Income Person-hours'!$D$3,(TEXT(JB240,"[M]")/60)*'Income Person-hours'!$D$4,(TEXT(JC240,"[M]")/60)*'Income Person-hours'!$D$5)</f>
        <v>0</v>
      </c>
    </row>
    <row r="241" spans="1:264" s="11" customFormat="1" ht="11.25" hidden="1">
      <c r="A241" s="30">
        <v>10.15</v>
      </c>
      <c r="B241" s="116"/>
      <c r="C241" s="107"/>
      <c r="D241" s="12" t="str">
        <f>IF(OR(j_WEEKDAY(J_ADDDAY(VLOOKUP(I241,A:F,6,FALSE),H241,1),0)=6,SUMIFS(Holieday[ok],Holieday[date],J_ADDDAY(VLOOKUP(I241,A:F,6,FALSE),H241,1)))=FALSE(),J_ADDDAY(VLOOKUP(I241,A:F,6,FALSE),H241,1),IF(OR(j_WEEKDAY(J_ADDDAY(VLOOKUP(I241,A:F,6,FALSE),H241+1,1),0)=6,SUMIFS(Holieday[ok],Holieday[date],J_ADDDAY(VLOOKUP(I241,A:F,6,FALSE),H241+1,1)))=FALSE(),J_ADDDAY(VLOOKUP(I241,A:F,6,FALSE),H241+1,1),IF(OR(j_WEEKDAY(J_ADDDAY(VLOOKUP(I241,A:F,6,FALSE),H241+2,1),0)=6,SUMIFS(Holieday[ok],Holieday[date],J_ADDDAY(VLOOKUP(I241,A:F,6,FALSE),H241+2,1)))=FALSE(),J_ADDDAY(VLOOKUP(I241,A:F,6,FALSE),H241+2,1),IF(OR(j_WEEKDAY(J_ADDDAY(VLOOKUP(I241,A:F,6,FALSE),H241+3,1),0)=6,SUMIFS(Holieday[ok],Holieday[date],J_ADDDAY(VLOOKUP(I241,A:F,6,FALSE),H241+3,1)))=FALSE(),J_ADDDAY(VLOOKUP(I241,A:F,6,FALSE),H241+3,1),IF(OR(j_WEEKDAY(J_ADDDAY(VLOOKUP(I241,A:F,6,FALSE),H241+4,1),0)=6,SUMIFS(Holieday[ok],Holieday[date],J_ADDDAY(VLOOKUP(I241,A:F,6,FALSE),H241+4,1)))=FALSE(),J_ADDDAY(VLOOKUP(I241,A:F,6,FALSE),H241+4,1),J_ADDDAY(VLOOKUP(I241,A:F,6,FALSE),H241+5,1))))))</f>
        <v>1398/06/30</v>
      </c>
      <c r="E241" s="1">
        <f t="shared" si="70"/>
        <v>13980630</v>
      </c>
      <c r="F241" s="12" t="str">
        <f>IF(N241=0,J_SUBDAY(D241,1,1),IF((N241-NETWORKDAYS.INTL(J_GregorianDate(D241,1),J_GregorianDate(J_SUBDAY(J_ADDDAY(D241,N241,1),1,1),1),16,1)-SUMIFS(Holieday[ok],Holieday[date],CONCATENATE("&gt;","=",D241),Holieday[date],CONCATENATE("&lt;","=",J_SUBDAY(J_ADDDAY(D241,N241,1),1,1)))+SUMIFS(Holieday[Friday],Holieday[date],CONCATENATE("&gt;","=",D241),Holieday[date],CONCATENATE("&lt;","=",J_SUBDAY(J_ADDDAY(D241,N241,1),1,1))))=0,J_SUBDAY(J_ADDDAY(D241,N241,1),1,1),IF((N241-NETWORKDAYS.INTL(J_GregorianDate(D241,1),J_GregorianDate(J_SUBDAY(J_ADDDAY(D241,N241,1),1,1),1),16,1)-SUMIFS(Holieday[ok],Holieday[date],CONCATENATE("&gt;","=",D241),Holieday[date],CONCATENATE("&lt;","=",J_SUBDAY(J_ADDDAY(D241,N241,1),1,1)))+SUMIFS(Holieday[Friday],Holieday[date],CONCATENATE("&gt;","=",D241),Holieday[date],CONCATENATE("&lt;","=",J_SUBDAY(J_ADDDAY(D241,N241,1),1,1))))=1,J_SUBDAY(J_ADDDAY(D241,N241+1,1),1,1),IF((N241-NETWORKDAYS.INTL(J_GregorianDate(D241,1),J_GregorianDate(J_SUBDAY(J_ADDDAY(D241,N241,1),1,1),1),16,1)-SUMIFS(Holieday[ok],Holieday[date],CONCATENATE("&gt;","=",D241),Holieday[date],CONCATENATE("&lt;","=",J_SUBDAY(J_ADDDAY(D241,N241,1),1,1)))+SUMIFS(Holieday[Friday],Holieday[date],CONCATENATE("&gt;","=",D241),Holieday[date],CONCATENATE("&lt;","=",J_SUBDAY(J_ADDDAY(D241,N241,1),1,1))))=2,J_SUBDAY(J_ADDDAY(D241,N241+2,1),1,1),J_SUBDAY(J_ADDDAY(D241,N241+3,1),1,1)))))</f>
        <v>1398/06/29</v>
      </c>
      <c r="G241" s="2">
        <f t="shared" si="71"/>
        <v>13980629</v>
      </c>
      <c r="H241" s="109"/>
      <c r="I241" s="110">
        <v>10.1</v>
      </c>
      <c r="J241" s="9">
        <f>j_WEEKDAY(D241,2)</f>
        <v>0</v>
      </c>
      <c r="K241" s="21">
        <f t="shared" si="69"/>
        <v>0</v>
      </c>
      <c r="L241" s="8">
        <f t="shared" si="74"/>
        <v>0</v>
      </c>
      <c r="M241" s="111">
        <v>0</v>
      </c>
      <c r="N241" s="108">
        <v>0</v>
      </c>
      <c r="O241" s="10">
        <f t="shared" si="75"/>
        <v>0</v>
      </c>
      <c r="P241" s="10">
        <f>VALUE(J_normdate(J_ADDDAY($D241,$O241,1)))</f>
        <v>13980630</v>
      </c>
      <c r="Q241" s="9">
        <f t="shared" si="76"/>
        <v>0</v>
      </c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7"/>
      <c r="BV241" s="7"/>
      <c r="BW241" s="7"/>
      <c r="BX241" s="7"/>
      <c r="BY241" s="7"/>
      <c r="BZ241" s="7"/>
      <c r="CA241" s="7"/>
      <c r="CB241" s="7"/>
      <c r="CC241" s="7"/>
      <c r="CD241" s="7"/>
      <c r="CE241" s="7"/>
      <c r="CF241" s="7"/>
      <c r="CG241" s="7"/>
      <c r="CH241" s="7"/>
      <c r="CI241" s="7"/>
      <c r="CJ241" s="7"/>
      <c r="CK241" s="7"/>
      <c r="CL241" s="7"/>
      <c r="CM241" s="7"/>
      <c r="CN241" s="7"/>
      <c r="CO241" s="7"/>
      <c r="CP241" s="7"/>
      <c r="CQ241" s="7"/>
      <c r="CR241" s="7"/>
      <c r="CS241" s="7"/>
      <c r="CT241" s="7"/>
      <c r="CU241" s="7"/>
      <c r="CV241" s="7"/>
      <c r="CW241" s="7"/>
      <c r="CX241" s="7"/>
      <c r="CY241" s="7"/>
      <c r="CZ241" s="7"/>
      <c r="DA241" s="7"/>
      <c r="DB241" s="7"/>
      <c r="DC241" s="7"/>
      <c r="DD241" s="7"/>
      <c r="DE241" s="7"/>
      <c r="DF241" s="7"/>
      <c r="DG241" s="7"/>
      <c r="DH241" s="7"/>
      <c r="DI241" s="7"/>
      <c r="DJ241" s="7"/>
      <c r="DK241" s="7"/>
      <c r="DL241" s="7"/>
      <c r="DM241" s="7"/>
      <c r="DN241" s="7"/>
      <c r="DO241" s="7"/>
      <c r="DP241" s="7"/>
      <c r="DQ241" s="7"/>
      <c r="DR241" s="7"/>
      <c r="DS241" s="7"/>
      <c r="DT241" s="7"/>
      <c r="DU241" s="7"/>
      <c r="DV241" s="7"/>
      <c r="DW241" s="7"/>
      <c r="DX241" s="7"/>
      <c r="DY241" s="7"/>
      <c r="DZ241" s="7"/>
      <c r="EA241" s="7"/>
      <c r="EB241" s="7"/>
      <c r="EC241" s="7"/>
      <c r="ED241" s="7"/>
      <c r="EE241" s="7"/>
      <c r="EF241" s="7"/>
      <c r="EG241" s="7"/>
      <c r="EH241" s="7"/>
      <c r="EI241" s="7"/>
      <c r="EJ241" s="7"/>
      <c r="EK241" s="7"/>
      <c r="EL241" s="7"/>
      <c r="EM241" s="7"/>
      <c r="EN241" s="7"/>
      <c r="EO241" s="7"/>
      <c r="EP241" s="7"/>
      <c r="EQ241" s="7"/>
      <c r="ER241" s="7"/>
      <c r="ES241" s="7"/>
      <c r="ET241" s="7"/>
      <c r="EU241" s="7"/>
      <c r="EV241" s="7"/>
      <c r="EW241" s="7"/>
      <c r="EX241" s="7"/>
      <c r="EY241" s="7"/>
      <c r="EZ241" s="7"/>
      <c r="FA241" s="7"/>
      <c r="FB241" s="7"/>
      <c r="FC241" s="7"/>
      <c r="FD241" s="7"/>
      <c r="FE241" s="7"/>
      <c r="FF241" s="7"/>
      <c r="FG241" s="7"/>
      <c r="FH241" s="7"/>
      <c r="FI241" s="7"/>
      <c r="FJ241" s="7"/>
      <c r="FK241" s="7"/>
      <c r="FL241" s="7"/>
      <c r="FM241" s="7"/>
      <c r="FN241" s="7"/>
      <c r="FO241" s="7"/>
      <c r="FP241" s="7"/>
      <c r="FQ241" s="7"/>
      <c r="FR241" s="7"/>
      <c r="FS241" s="7"/>
      <c r="FT241" s="7"/>
      <c r="FU241" s="7"/>
      <c r="FV241" s="7"/>
      <c r="FW241" s="7"/>
      <c r="FX241" s="7"/>
      <c r="FY241" s="7"/>
      <c r="FZ241" s="7"/>
      <c r="GA241" s="7"/>
      <c r="GB241" s="7"/>
      <c r="GC241" s="7"/>
      <c r="GD241" s="7"/>
      <c r="GE241" s="7"/>
      <c r="GF241" s="7"/>
      <c r="GG241" s="7"/>
      <c r="GH241" s="7"/>
      <c r="GI241" s="7"/>
      <c r="GJ241" s="7"/>
      <c r="GK241" s="7"/>
      <c r="GL241" s="7"/>
      <c r="GM241" s="7"/>
      <c r="GN241" s="7"/>
      <c r="GO241" s="7"/>
      <c r="GP241" s="7"/>
      <c r="GQ241" s="7"/>
      <c r="GR241" s="7"/>
      <c r="GS241" s="7"/>
      <c r="GT241" s="7"/>
      <c r="GU241" s="7"/>
      <c r="GV241" s="7"/>
      <c r="GW241" s="7"/>
      <c r="GX241" s="7"/>
      <c r="GY241" s="7"/>
      <c r="GZ241" s="7"/>
      <c r="HA241" s="7"/>
      <c r="HB241" s="7"/>
      <c r="HC241" s="7"/>
      <c r="HD241" s="7"/>
      <c r="HE241" s="7"/>
      <c r="HF241" s="7"/>
      <c r="HG241" s="7"/>
      <c r="HH241" s="7"/>
      <c r="HI241" s="7"/>
      <c r="HJ241" s="7"/>
      <c r="HK241" s="7"/>
      <c r="HL241" s="7"/>
      <c r="HM241" s="7"/>
      <c r="HN241" s="7"/>
      <c r="HO241" s="7"/>
      <c r="HP241" s="7"/>
      <c r="HQ241" s="7"/>
      <c r="HR241" s="7"/>
      <c r="HS241" s="7"/>
      <c r="HT241" s="7"/>
      <c r="HU241" s="7"/>
      <c r="HV241" s="7"/>
      <c r="HW241" s="7"/>
      <c r="HX241" s="7"/>
      <c r="HY241" s="7"/>
      <c r="HZ241" s="7"/>
      <c r="IA241" s="7"/>
      <c r="IB241" s="7"/>
      <c r="IC241" s="7"/>
      <c r="ID241" s="7"/>
      <c r="IE241" s="7"/>
      <c r="IF241" s="7"/>
      <c r="IG241" s="7"/>
      <c r="IH241" s="7"/>
      <c r="II241" s="7"/>
      <c r="IJ241" s="7"/>
      <c r="IK241" s="7"/>
      <c r="IL241" s="7"/>
      <c r="IM241" s="7"/>
      <c r="IN241" s="7"/>
      <c r="IO241" s="7"/>
      <c r="IP241" s="7"/>
      <c r="IQ241" s="7"/>
      <c r="IR241" s="7"/>
      <c r="IS241" s="7"/>
      <c r="IT241" s="7"/>
      <c r="IU241" s="7"/>
      <c r="IV241" s="7"/>
      <c r="IW241" s="7"/>
      <c r="IX241" s="7"/>
      <c r="JA241" s="113"/>
      <c r="JB241" s="113"/>
      <c r="JC241" s="113"/>
      <c r="JD241" s="66">
        <f>SUM((TEXT(JA241,"[M]")/60)*'Income Person-hours'!$D$3,(TEXT(JB241,"[M]")/60)*'Income Person-hours'!$D$4,(TEXT(JC241,"[M]")/60)*'Income Person-hours'!$D$5)</f>
        <v>0</v>
      </c>
    </row>
    <row r="242" spans="1:264" s="11" customFormat="1" ht="11.25" hidden="1">
      <c r="A242" s="30">
        <v>10.16</v>
      </c>
      <c r="B242" s="116"/>
      <c r="C242" s="107"/>
      <c r="D242" s="12" t="str">
        <f>IF(OR(j_WEEKDAY(J_ADDDAY(VLOOKUP(I242,A:F,6,FALSE),H242,1),0)=6,SUMIFS(Holieday[ok],Holieday[date],J_ADDDAY(VLOOKUP(I242,A:F,6,FALSE),H242,1)))=FALSE(),J_ADDDAY(VLOOKUP(I242,A:F,6,FALSE),H242,1),IF(OR(j_WEEKDAY(J_ADDDAY(VLOOKUP(I242,A:F,6,FALSE),H242+1,1),0)=6,SUMIFS(Holieday[ok],Holieday[date],J_ADDDAY(VLOOKUP(I242,A:F,6,FALSE),H242+1,1)))=FALSE(),J_ADDDAY(VLOOKUP(I242,A:F,6,FALSE),H242+1,1),IF(OR(j_WEEKDAY(J_ADDDAY(VLOOKUP(I242,A:F,6,FALSE),H242+2,1),0)=6,SUMIFS(Holieday[ok],Holieday[date],J_ADDDAY(VLOOKUP(I242,A:F,6,FALSE),H242+2,1)))=FALSE(),J_ADDDAY(VLOOKUP(I242,A:F,6,FALSE),H242+2,1),IF(OR(j_WEEKDAY(J_ADDDAY(VLOOKUP(I242,A:F,6,FALSE),H242+3,1),0)=6,SUMIFS(Holieday[ok],Holieday[date],J_ADDDAY(VLOOKUP(I242,A:F,6,FALSE),H242+3,1)))=FALSE(),J_ADDDAY(VLOOKUP(I242,A:F,6,FALSE),H242+3,1),IF(OR(j_WEEKDAY(J_ADDDAY(VLOOKUP(I242,A:F,6,FALSE),H242+4,1),0)=6,SUMIFS(Holieday[ok],Holieday[date],J_ADDDAY(VLOOKUP(I242,A:F,6,FALSE),H242+4,1)))=FALSE(),J_ADDDAY(VLOOKUP(I242,A:F,6,FALSE),H242+4,1),J_ADDDAY(VLOOKUP(I242,A:F,6,FALSE),H242+5,1))))))</f>
        <v>1398/06/30</v>
      </c>
      <c r="E242" s="1">
        <f t="shared" si="70"/>
        <v>13980630</v>
      </c>
      <c r="F242" s="12" t="str">
        <f>IF(N242=0,J_SUBDAY(D242,1,1),IF((N242-NETWORKDAYS.INTL(J_GregorianDate(D242,1),J_GregorianDate(J_SUBDAY(J_ADDDAY(D242,N242,1),1,1),1),16,1)-SUMIFS(Holieday[ok],Holieday[date],CONCATENATE("&gt;","=",D242),Holieday[date],CONCATENATE("&lt;","=",J_SUBDAY(J_ADDDAY(D242,N242,1),1,1)))+SUMIFS(Holieday[Friday],Holieday[date],CONCATENATE("&gt;","=",D242),Holieday[date],CONCATENATE("&lt;","=",J_SUBDAY(J_ADDDAY(D242,N242,1),1,1))))=0,J_SUBDAY(J_ADDDAY(D242,N242,1),1,1),IF((N242-NETWORKDAYS.INTL(J_GregorianDate(D242,1),J_GregorianDate(J_SUBDAY(J_ADDDAY(D242,N242,1),1,1),1),16,1)-SUMIFS(Holieday[ok],Holieday[date],CONCATENATE("&gt;","=",D242),Holieday[date],CONCATENATE("&lt;","=",J_SUBDAY(J_ADDDAY(D242,N242,1),1,1)))+SUMIFS(Holieday[Friday],Holieday[date],CONCATENATE("&gt;","=",D242),Holieday[date],CONCATENATE("&lt;","=",J_SUBDAY(J_ADDDAY(D242,N242,1),1,1))))=1,J_SUBDAY(J_ADDDAY(D242,N242+1,1),1,1),IF((N242-NETWORKDAYS.INTL(J_GregorianDate(D242,1),J_GregorianDate(J_SUBDAY(J_ADDDAY(D242,N242,1),1,1),1),16,1)-SUMIFS(Holieday[ok],Holieday[date],CONCATENATE("&gt;","=",D242),Holieday[date],CONCATENATE("&lt;","=",J_SUBDAY(J_ADDDAY(D242,N242,1),1,1)))+SUMIFS(Holieday[Friday],Holieday[date],CONCATENATE("&gt;","=",D242),Holieday[date],CONCATENATE("&lt;","=",J_SUBDAY(J_ADDDAY(D242,N242,1),1,1))))=2,J_SUBDAY(J_ADDDAY(D242,N242+2,1),1,1),J_SUBDAY(J_ADDDAY(D242,N242+3,1),1,1)))))</f>
        <v>1398/06/29</v>
      </c>
      <c r="G242" s="2">
        <f t="shared" si="71"/>
        <v>13980629</v>
      </c>
      <c r="H242" s="109"/>
      <c r="I242" s="110">
        <v>10.1</v>
      </c>
      <c r="J242" s="9">
        <f>j_WEEKDAY(D242,2)</f>
        <v>0</v>
      </c>
      <c r="K242" s="21">
        <f t="shared" si="69"/>
        <v>0</v>
      </c>
      <c r="L242" s="8">
        <f t="shared" si="74"/>
        <v>0</v>
      </c>
      <c r="M242" s="111">
        <v>0</v>
      </c>
      <c r="N242" s="108">
        <v>0</v>
      </c>
      <c r="O242" s="10">
        <f t="shared" si="75"/>
        <v>0</v>
      </c>
      <c r="P242" s="10">
        <f>VALUE(J_normdate(J_ADDDAY($D242,$O242,1)))</f>
        <v>13980630</v>
      </c>
      <c r="Q242" s="9">
        <f t="shared" si="76"/>
        <v>0</v>
      </c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7"/>
      <c r="BV242" s="7"/>
      <c r="BW242" s="7"/>
      <c r="BX242" s="7"/>
      <c r="BY242" s="7"/>
      <c r="BZ242" s="7"/>
      <c r="CA242" s="7"/>
      <c r="CB242" s="7"/>
      <c r="CC242" s="7"/>
      <c r="CD242" s="7"/>
      <c r="CE242" s="7"/>
      <c r="CF242" s="7"/>
      <c r="CG242" s="7"/>
      <c r="CH242" s="7"/>
      <c r="CI242" s="7"/>
      <c r="CJ242" s="7"/>
      <c r="CK242" s="7"/>
      <c r="CL242" s="7"/>
      <c r="CM242" s="7"/>
      <c r="CN242" s="7"/>
      <c r="CO242" s="7"/>
      <c r="CP242" s="7"/>
      <c r="CQ242" s="7"/>
      <c r="CR242" s="7"/>
      <c r="CS242" s="7"/>
      <c r="CT242" s="7"/>
      <c r="CU242" s="7"/>
      <c r="CV242" s="7"/>
      <c r="CW242" s="7"/>
      <c r="CX242" s="7"/>
      <c r="CY242" s="7"/>
      <c r="CZ242" s="7"/>
      <c r="DA242" s="7"/>
      <c r="DB242" s="7"/>
      <c r="DC242" s="7"/>
      <c r="DD242" s="7"/>
      <c r="DE242" s="7"/>
      <c r="DF242" s="7"/>
      <c r="DG242" s="7"/>
      <c r="DH242" s="7"/>
      <c r="DI242" s="7"/>
      <c r="DJ242" s="7"/>
      <c r="DK242" s="7"/>
      <c r="DL242" s="7"/>
      <c r="DM242" s="7"/>
      <c r="DN242" s="7"/>
      <c r="DO242" s="7"/>
      <c r="DP242" s="7"/>
      <c r="DQ242" s="7"/>
      <c r="DR242" s="7"/>
      <c r="DS242" s="7"/>
      <c r="DT242" s="7"/>
      <c r="DU242" s="7"/>
      <c r="DV242" s="7"/>
      <c r="DW242" s="7"/>
      <c r="DX242" s="7"/>
      <c r="DY242" s="7"/>
      <c r="DZ242" s="7"/>
      <c r="EA242" s="7"/>
      <c r="EB242" s="7"/>
      <c r="EC242" s="7"/>
      <c r="ED242" s="7"/>
      <c r="EE242" s="7"/>
      <c r="EF242" s="7"/>
      <c r="EG242" s="7"/>
      <c r="EH242" s="7"/>
      <c r="EI242" s="7"/>
      <c r="EJ242" s="7"/>
      <c r="EK242" s="7"/>
      <c r="EL242" s="7"/>
      <c r="EM242" s="7"/>
      <c r="EN242" s="7"/>
      <c r="EO242" s="7"/>
      <c r="EP242" s="7"/>
      <c r="EQ242" s="7"/>
      <c r="ER242" s="7"/>
      <c r="ES242" s="7"/>
      <c r="ET242" s="7"/>
      <c r="EU242" s="7"/>
      <c r="EV242" s="7"/>
      <c r="EW242" s="7"/>
      <c r="EX242" s="7"/>
      <c r="EY242" s="7"/>
      <c r="EZ242" s="7"/>
      <c r="FA242" s="7"/>
      <c r="FB242" s="7"/>
      <c r="FC242" s="7"/>
      <c r="FD242" s="7"/>
      <c r="FE242" s="7"/>
      <c r="FF242" s="7"/>
      <c r="FG242" s="7"/>
      <c r="FH242" s="7"/>
      <c r="FI242" s="7"/>
      <c r="FJ242" s="7"/>
      <c r="FK242" s="7"/>
      <c r="FL242" s="7"/>
      <c r="FM242" s="7"/>
      <c r="FN242" s="7"/>
      <c r="FO242" s="7"/>
      <c r="FP242" s="7"/>
      <c r="FQ242" s="7"/>
      <c r="FR242" s="7"/>
      <c r="FS242" s="7"/>
      <c r="FT242" s="7"/>
      <c r="FU242" s="7"/>
      <c r="FV242" s="7"/>
      <c r="FW242" s="7"/>
      <c r="FX242" s="7"/>
      <c r="FY242" s="7"/>
      <c r="FZ242" s="7"/>
      <c r="GA242" s="7"/>
      <c r="GB242" s="7"/>
      <c r="GC242" s="7"/>
      <c r="GD242" s="7"/>
      <c r="GE242" s="7"/>
      <c r="GF242" s="7"/>
      <c r="GG242" s="7"/>
      <c r="GH242" s="7"/>
      <c r="GI242" s="7"/>
      <c r="GJ242" s="7"/>
      <c r="GK242" s="7"/>
      <c r="GL242" s="7"/>
      <c r="GM242" s="7"/>
      <c r="GN242" s="7"/>
      <c r="GO242" s="7"/>
      <c r="GP242" s="7"/>
      <c r="GQ242" s="7"/>
      <c r="GR242" s="7"/>
      <c r="GS242" s="7"/>
      <c r="GT242" s="7"/>
      <c r="GU242" s="7"/>
      <c r="GV242" s="7"/>
      <c r="GW242" s="7"/>
      <c r="GX242" s="7"/>
      <c r="GY242" s="7"/>
      <c r="GZ242" s="7"/>
      <c r="HA242" s="7"/>
      <c r="HB242" s="7"/>
      <c r="HC242" s="7"/>
      <c r="HD242" s="7"/>
      <c r="HE242" s="7"/>
      <c r="HF242" s="7"/>
      <c r="HG242" s="7"/>
      <c r="HH242" s="7"/>
      <c r="HI242" s="7"/>
      <c r="HJ242" s="7"/>
      <c r="HK242" s="7"/>
      <c r="HL242" s="7"/>
      <c r="HM242" s="7"/>
      <c r="HN242" s="7"/>
      <c r="HO242" s="7"/>
      <c r="HP242" s="7"/>
      <c r="HQ242" s="7"/>
      <c r="HR242" s="7"/>
      <c r="HS242" s="7"/>
      <c r="HT242" s="7"/>
      <c r="HU242" s="7"/>
      <c r="HV242" s="7"/>
      <c r="HW242" s="7"/>
      <c r="HX242" s="7"/>
      <c r="HY242" s="7"/>
      <c r="HZ242" s="7"/>
      <c r="IA242" s="7"/>
      <c r="IB242" s="7"/>
      <c r="IC242" s="7"/>
      <c r="ID242" s="7"/>
      <c r="IE242" s="7"/>
      <c r="IF242" s="7"/>
      <c r="IG242" s="7"/>
      <c r="IH242" s="7"/>
      <c r="II242" s="7"/>
      <c r="IJ242" s="7"/>
      <c r="IK242" s="7"/>
      <c r="IL242" s="7"/>
      <c r="IM242" s="7"/>
      <c r="IN242" s="7"/>
      <c r="IO242" s="7"/>
      <c r="IP242" s="7"/>
      <c r="IQ242" s="7"/>
      <c r="IR242" s="7"/>
      <c r="IS242" s="7"/>
      <c r="IT242" s="7"/>
      <c r="IU242" s="7"/>
      <c r="IV242" s="7"/>
      <c r="IW242" s="7"/>
      <c r="IX242" s="7"/>
      <c r="JA242" s="113"/>
      <c r="JB242" s="113"/>
      <c r="JC242" s="113"/>
      <c r="JD242" s="66">
        <f>SUM((TEXT(JA242,"[M]")/60)*'Income Person-hours'!$D$3,(TEXT(JB242,"[M]")/60)*'Income Person-hours'!$D$4,(TEXT(JC242,"[M]")/60)*'Income Person-hours'!$D$5)</f>
        <v>0</v>
      </c>
    </row>
    <row r="243" spans="1:264" s="11" customFormat="1" ht="11.25" hidden="1">
      <c r="A243" s="30">
        <v>10.17</v>
      </c>
      <c r="B243" s="116"/>
      <c r="C243" s="107"/>
      <c r="D243" s="12" t="str">
        <f>IF(OR(j_WEEKDAY(J_ADDDAY(VLOOKUP(I243,A:F,6,FALSE),H243,1),0)=6,SUMIFS(Holieday[ok],Holieday[date],J_ADDDAY(VLOOKUP(I243,A:F,6,FALSE),H243,1)))=FALSE(),J_ADDDAY(VLOOKUP(I243,A:F,6,FALSE),H243,1),IF(OR(j_WEEKDAY(J_ADDDAY(VLOOKUP(I243,A:F,6,FALSE),H243+1,1),0)=6,SUMIFS(Holieday[ok],Holieday[date],J_ADDDAY(VLOOKUP(I243,A:F,6,FALSE),H243+1,1)))=FALSE(),J_ADDDAY(VLOOKUP(I243,A:F,6,FALSE),H243+1,1),IF(OR(j_WEEKDAY(J_ADDDAY(VLOOKUP(I243,A:F,6,FALSE),H243+2,1),0)=6,SUMIFS(Holieday[ok],Holieday[date],J_ADDDAY(VLOOKUP(I243,A:F,6,FALSE),H243+2,1)))=FALSE(),J_ADDDAY(VLOOKUP(I243,A:F,6,FALSE),H243+2,1),IF(OR(j_WEEKDAY(J_ADDDAY(VLOOKUP(I243,A:F,6,FALSE),H243+3,1),0)=6,SUMIFS(Holieday[ok],Holieday[date],J_ADDDAY(VLOOKUP(I243,A:F,6,FALSE),H243+3,1)))=FALSE(),J_ADDDAY(VLOOKUP(I243,A:F,6,FALSE),H243+3,1),IF(OR(j_WEEKDAY(J_ADDDAY(VLOOKUP(I243,A:F,6,FALSE),H243+4,1),0)=6,SUMIFS(Holieday[ok],Holieday[date],J_ADDDAY(VLOOKUP(I243,A:F,6,FALSE),H243+4,1)))=FALSE(),J_ADDDAY(VLOOKUP(I243,A:F,6,FALSE),H243+4,1),J_ADDDAY(VLOOKUP(I243,A:F,6,FALSE),H243+5,1))))))</f>
        <v>1398/06/30</v>
      </c>
      <c r="E243" s="1">
        <f t="shared" si="70"/>
        <v>13980630</v>
      </c>
      <c r="F243" s="12" t="str">
        <f>IF(N243=0,J_SUBDAY(D243,1,1),IF((N243-NETWORKDAYS.INTL(J_GregorianDate(D243,1),J_GregorianDate(J_SUBDAY(J_ADDDAY(D243,N243,1),1,1),1),16,1)-SUMIFS(Holieday[ok],Holieday[date],CONCATENATE("&gt;","=",D243),Holieday[date],CONCATENATE("&lt;","=",J_SUBDAY(J_ADDDAY(D243,N243,1),1,1)))+SUMIFS(Holieday[Friday],Holieday[date],CONCATENATE("&gt;","=",D243),Holieday[date],CONCATENATE("&lt;","=",J_SUBDAY(J_ADDDAY(D243,N243,1),1,1))))=0,J_SUBDAY(J_ADDDAY(D243,N243,1),1,1),IF((N243-NETWORKDAYS.INTL(J_GregorianDate(D243,1),J_GregorianDate(J_SUBDAY(J_ADDDAY(D243,N243,1),1,1),1),16,1)-SUMIFS(Holieday[ok],Holieday[date],CONCATENATE("&gt;","=",D243),Holieday[date],CONCATENATE("&lt;","=",J_SUBDAY(J_ADDDAY(D243,N243,1),1,1)))+SUMIFS(Holieday[Friday],Holieday[date],CONCATENATE("&gt;","=",D243),Holieday[date],CONCATENATE("&lt;","=",J_SUBDAY(J_ADDDAY(D243,N243,1),1,1))))=1,J_SUBDAY(J_ADDDAY(D243,N243+1,1),1,1),IF((N243-NETWORKDAYS.INTL(J_GregorianDate(D243,1),J_GregorianDate(J_SUBDAY(J_ADDDAY(D243,N243,1),1,1),1),16,1)-SUMIFS(Holieday[ok],Holieday[date],CONCATENATE("&gt;","=",D243),Holieday[date],CONCATENATE("&lt;","=",J_SUBDAY(J_ADDDAY(D243,N243,1),1,1)))+SUMIFS(Holieday[Friday],Holieday[date],CONCATENATE("&gt;","=",D243),Holieday[date],CONCATENATE("&lt;","=",J_SUBDAY(J_ADDDAY(D243,N243,1),1,1))))=2,J_SUBDAY(J_ADDDAY(D243,N243+2,1),1,1),J_SUBDAY(J_ADDDAY(D243,N243+3,1),1,1)))))</f>
        <v>1398/06/29</v>
      </c>
      <c r="G243" s="2">
        <f t="shared" si="71"/>
        <v>13980629</v>
      </c>
      <c r="H243" s="109"/>
      <c r="I243" s="110">
        <v>10.1</v>
      </c>
      <c r="J243" s="9">
        <f>j_WEEKDAY(D243,2)</f>
        <v>0</v>
      </c>
      <c r="K243" s="21">
        <f t="shared" si="69"/>
        <v>0</v>
      </c>
      <c r="L243" s="8">
        <f t="shared" si="74"/>
        <v>0</v>
      </c>
      <c r="M243" s="111">
        <v>0</v>
      </c>
      <c r="N243" s="108">
        <v>0</v>
      </c>
      <c r="O243" s="10">
        <f t="shared" si="75"/>
        <v>0</v>
      </c>
      <c r="P243" s="10">
        <f>VALUE(J_normdate(J_ADDDAY($D243,$O243,1)))</f>
        <v>13980630</v>
      </c>
      <c r="Q243" s="9">
        <f t="shared" si="76"/>
        <v>0</v>
      </c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/>
      <c r="BV243" s="7"/>
      <c r="BW243" s="7"/>
      <c r="BX243" s="7"/>
      <c r="BY243" s="7"/>
      <c r="BZ243" s="7"/>
      <c r="CA243" s="7"/>
      <c r="CB243" s="7"/>
      <c r="CC243" s="7"/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/>
      <c r="CQ243" s="7"/>
      <c r="CR243" s="7"/>
      <c r="CS243" s="7"/>
      <c r="CT243" s="7"/>
      <c r="CU243" s="7"/>
      <c r="CV243" s="7"/>
      <c r="CW243" s="7"/>
      <c r="CX243" s="7"/>
      <c r="CY243" s="7"/>
      <c r="CZ243" s="7"/>
      <c r="DA243" s="7"/>
      <c r="DB243" s="7"/>
      <c r="DC243" s="7"/>
      <c r="DD243" s="7"/>
      <c r="DE243" s="7"/>
      <c r="DF243" s="7"/>
      <c r="DG243" s="7"/>
      <c r="DH243" s="7"/>
      <c r="DI243" s="7"/>
      <c r="DJ243" s="7"/>
      <c r="DK243" s="7"/>
      <c r="DL243" s="7"/>
      <c r="DM243" s="7"/>
      <c r="DN243" s="7"/>
      <c r="DO243" s="7"/>
      <c r="DP243" s="7"/>
      <c r="DQ243" s="7"/>
      <c r="DR243" s="7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/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/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  <c r="IV243" s="7"/>
      <c r="IW243" s="7"/>
      <c r="IX243" s="7"/>
      <c r="JA243" s="113"/>
      <c r="JB243" s="113"/>
      <c r="JC243" s="113"/>
      <c r="JD243" s="66">
        <f>SUM((TEXT(JA243,"[M]")/60)*'Income Person-hours'!$D$3,(TEXT(JB243,"[M]")/60)*'Income Person-hours'!$D$4,(TEXT(JC243,"[M]")/60)*'Income Person-hours'!$D$5)</f>
        <v>0</v>
      </c>
    </row>
    <row r="244" spans="1:264" s="11" customFormat="1" ht="11.25" hidden="1">
      <c r="A244" s="30">
        <v>10.18</v>
      </c>
      <c r="B244" s="116"/>
      <c r="C244" s="107"/>
      <c r="D244" s="12" t="str">
        <f>IF(OR(j_WEEKDAY(J_ADDDAY(VLOOKUP(I244,A:F,6,FALSE),H244,1),0)=6,SUMIFS(Holieday[ok],Holieday[date],J_ADDDAY(VLOOKUP(I244,A:F,6,FALSE),H244,1)))=FALSE(),J_ADDDAY(VLOOKUP(I244,A:F,6,FALSE),H244,1),IF(OR(j_WEEKDAY(J_ADDDAY(VLOOKUP(I244,A:F,6,FALSE),H244+1,1),0)=6,SUMIFS(Holieday[ok],Holieday[date],J_ADDDAY(VLOOKUP(I244,A:F,6,FALSE),H244+1,1)))=FALSE(),J_ADDDAY(VLOOKUP(I244,A:F,6,FALSE),H244+1,1),IF(OR(j_WEEKDAY(J_ADDDAY(VLOOKUP(I244,A:F,6,FALSE),H244+2,1),0)=6,SUMIFS(Holieday[ok],Holieday[date],J_ADDDAY(VLOOKUP(I244,A:F,6,FALSE),H244+2,1)))=FALSE(),J_ADDDAY(VLOOKUP(I244,A:F,6,FALSE),H244+2,1),IF(OR(j_WEEKDAY(J_ADDDAY(VLOOKUP(I244,A:F,6,FALSE),H244+3,1),0)=6,SUMIFS(Holieday[ok],Holieday[date],J_ADDDAY(VLOOKUP(I244,A:F,6,FALSE),H244+3,1)))=FALSE(),J_ADDDAY(VLOOKUP(I244,A:F,6,FALSE),H244+3,1),IF(OR(j_WEEKDAY(J_ADDDAY(VLOOKUP(I244,A:F,6,FALSE),H244+4,1),0)=6,SUMIFS(Holieday[ok],Holieday[date],J_ADDDAY(VLOOKUP(I244,A:F,6,FALSE),H244+4,1)))=FALSE(),J_ADDDAY(VLOOKUP(I244,A:F,6,FALSE),H244+4,1),J_ADDDAY(VLOOKUP(I244,A:F,6,FALSE),H244+5,1))))))</f>
        <v>1398/06/30</v>
      </c>
      <c r="E244" s="1">
        <f t="shared" si="70"/>
        <v>13980630</v>
      </c>
      <c r="F244" s="12" t="str">
        <f>IF(N244=0,J_SUBDAY(D244,1,1),IF((N244-NETWORKDAYS.INTL(J_GregorianDate(D244,1),J_GregorianDate(J_SUBDAY(J_ADDDAY(D244,N244,1),1,1),1),16,1)-SUMIFS(Holieday[ok],Holieday[date],CONCATENATE("&gt;","=",D244),Holieday[date],CONCATENATE("&lt;","=",J_SUBDAY(J_ADDDAY(D244,N244,1),1,1)))+SUMIFS(Holieday[Friday],Holieday[date],CONCATENATE("&gt;","=",D244),Holieday[date],CONCATENATE("&lt;","=",J_SUBDAY(J_ADDDAY(D244,N244,1),1,1))))=0,J_SUBDAY(J_ADDDAY(D244,N244,1),1,1),IF((N244-NETWORKDAYS.INTL(J_GregorianDate(D244,1),J_GregorianDate(J_SUBDAY(J_ADDDAY(D244,N244,1),1,1),1),16,1)-SUMIFS(Holieday[ok],Holieday[date],CONCATENATE("&gt;","=",D244),Holieday[date],CONCATENATE("&lt;","=",J_SUBDAY(J_ADDDAY(D244,N244,1),1,1)))+SUMIFS(Holieday[Friday],Holieday[date],CONCATENATE("&gt;","=",D244),Holieday[date],CONCATENATE("&lt;","=",J_SUBDAY(J_ADDDAY(D244,N244,1),1,1))))=1,J_SUBDAY(J_ADDDAY(D244,N244+1,1),1,1),IF((N244-NETWORKDAYS.INTL(J_GregorianDate(D244,1),J_GregorianDate(J_SUBDAY(J_ADDDAY(D244,N244,1),1,1),1),16,1)-SUMIFS(Holieday[ok],Holieday[date],CONCATENATE("&gt;","=",D244),Holieday[date],CONCATENATE("&lt;","=",J_SUBDAY(J_ADDDAY(D244,N244,1),1,1)))+SUMIFS(Holieday[Friday],Holieday[date],CONCATENATE("&gt;","=",D244),Holieday[date],CONCATENATE("&lt;","=",J_SUBDAY(J_ADDDAY(D244,N244,1),1,1))))=2,J_SUBDAY(J_ADDDAY(D244,N244+2,1),1,1),J_SUBDAY(J_ADDDAY(D244,N244+3,1),1,1)))))</f>
        <v>1398/06/29</v>
      </c>
      <c r="G244" s="2">
        <f t="shared" si="71"/>
        <v>13980629</v>
      </c>
      <c r="H244" s="109"/>
      <c r="I244" s="110">
        <v>10.1</v>
      </c>
      <c r="J244" s="9">
        <f>j_WEEKDAY(D244,2)</f>
        <v>0</v>
      </c>
      <c r="K244" s="21">
        <f t="shared" si="69"/>
        <v>0</v>
      </c>
      <c r="L244" s="8">
        <f t="shared" si="74"/>
        <v>0</v>
      </c>
      <c r="M244" s="111">
        <v>0</v>
      </c>
      <c r="N244" s="108">
        <v>0</v>
      </c>
      <c r="O244" s="10">
        <f t="shared" si="75"/>
        <v>0</v>
      </c>
      <c r="P244" s="10">
        <f>VALUE(J_normdate(J_ADDDAY($D244,$O244,1)))</f>
        <v>13980630</v>
      </c>
      <c r="Q244" s="9">
        <f t="shared" si="76"/>
        <v>0</v>
      </c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7"/>
      <c r="BV244" s="7"/>
      <c r="BW244" s="7"/>
      <c r="BX244" s="7"/>
      <c r="BY244" s="7"/>
      <c r="BZ244" s="7"/>
      <c r="CA244" s="7"/>
      <c r="CB244" s="7"/>
      <c r="CC244" s="7"/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7"/>
      <c r="CP244" s="7"/>
      <c r="CQ244" s="7"/>
      <c r="CR244" s="7"/>
      <c r="CS244" s="7"/>
      <c r="CT244" s="7"/>
      <c r="CU244" s="7"/>
      <c r="CV244" s="7"/>
      <c r="CW244" s="7"/>
      <c r="CX244" s="7"/>
      <c r="CY244" s="7"/>
      <c r="CZ244" s="7"/>
      <c r="DA244" s="7"/>
      <c r="DB244" s="7"/>
      <c r="DC244" s="7"/>
      <c r="DD244" s="7"/>
      <c r="DE244" s="7"/>
      <c r="DF244" s="7"/>
      <c r="DG244" s="7"/>
      <c r="DH244" s="7"/>
      <c r="DI244" s="7"/>
      <c r="DJ244" s="7"/>
      <c r="DK244" s="7"/>
      <c r="DL244" s="7"/>
      <c r="DM244" s="7"/>
      <c r="DN244" s="7"/>
      <c r="DO244" s="7"/>
      <c r="DP244" s="7"/>
      <c r="DQ244" s="7"/>
      <c r="DR244" s="7"/>
      <c r="DS244" s="7"/>
      <c r="DT244" s="7"/>
      <c r="DU244" s="7"/>
      <c r="DV244" s="7"/>
      <c r="DW244" s="7"/>
      <c r="DX244" s="7"/>
      <c r="DY244" s="7"/>
      <c r="DZ244" s="7"/>
      <c r="EA244" s="7"/>
      <c r="EB244" s="7"/>
      <c r="EC244" s="7"/>
      <c r="ED244" s="7"/>
      <c r="EE244" s="7"/>
      <c r="EF244" s="7"/>
      <c r="EG244" s="7"/>
      <c r="EH244" s="7"/>
      <c r="EI244" s="7"/>
      <c r="EJ244" s="7"/>
      <c r="EK244" s="7"/>
      <c r="EL244" s="7"/>
      <c r="EM244" s="7"/>
      <c r="EN244" s="7"/>
      <c r="EO244" s="7"/>
      <c r="EP244" s="7"/>
      <c r="EQ244" s="7"/>
      <c r="ER244" s="7"/>
      <c r="ES244" s="7"/>
      <c r="ET244" s="7"/>
      <c r="EU244" s="7"/>
      <c r="EV244" s="7"/>
      <c r="EW244" s="7"/>
      <c r="EX244" s="7"/>
      <c r="EY244" s="7"/>
      <c r="EZ244" s="7"/>
      <c r="FA244" s="7"/>
      <c r="FB244" s="7"/>
      <c r="FC244" s="7"/>
      <c r="FD244" s="7"/>
      <c r="FE244" s="7"/>
      <c r="FF244" s="7"/>
      <c r="FG244" s="7"/>
      <c r="FH244" s="7"/>
      <c r="FI244" s="7"/>
      <c r="FJ244" s="7"/>
      <c r="FK244" s="7"/>
      <c r="FL244" s="7"/>
      <c r="FM244" s="7"/>
      <c r="FN244" s="7"/>
      <c r="FO244" s="7"/>
      <c r="FP244" s="7"/>
      <c r="FQ244" s="7"/>
      <c r="FR244" s="7"/>
      <c r="FS244" s="7"/>
      <c r="FT244" s="7"/>
      <c r="FU244" s="7"/>
      <c r="FV244" s="7"/>
      <c r="FW244" s="7"/>
      <c r="FX244" s="7"/>
      <c r="FY244" s="7"/>
      <c r="FZ244" s="7"/>
      <c r="GA244" s="7"/>
      <c r="GB244" s="7"/>
      <c r="GC244" s="7"/>
      <c r="GD244" s="7"/>
      <c r="GE244" s="7"/>
      <c r="GF244" s="7"/>
      <c r="GG244" s="7"/>
      <c r="GH244" s="7"/>
      <c r="GI244" s="7"/>
      <c r="GJ244" s="7"/>
      <c r="GK244" s="7"/>
      <c r="GL244" s="7"/>
      <c r="GM244" s="7"/>
      <c r="GN244" s="7"/>
      <c r="GO244" s="7"/>
      <c r="GP244" s="7"/>
      <c r="GQ244" s="7"/>
      <c r="GR244" s="7"/>
      <c r="GS244" s="7"/>
      <c r="GT244" s="7"/>
      <c r="GU244" s="7"/>
      <c r="GV244" s="7"/>
      <c r="GW244" s="7"/>
      <c r="GX244" s="7"/>
      <c r="GY244" s="7"/>
      <c r="GZ244" s="7"/>
      <c r="HA244" s="7"/>
      <c r="HB244" s="7"/>
      <c r="HC244" s="7"/>
      <c r="HD244" s="7"/>
      <c r="HE244" s="7"/>
      <c r="HF244" s="7"/>
      <c r="HG244" s="7"/>
      <c r="HH244" s="7"/>
      <c r="HI244" s="7"/>
      <c r="HJ244" s="7"/>
      <c r="HK244" s="7"/>
      <c r="HL244" s="7"/>
      <c r="HM244" s="7"/>
      <c r="HN244" s="7"/>
      <c r="HO244" s="7"/>
      <c r="HP244" s="7"/>
      <c r="HQ244" s="7"/>
      <c r="HR244" s="7"/>
      <c r="HS244" s="7"/>
      <c r="HT244" s="7"/>
      <c r="HU244" s="7"/>
      <c r="HV244" s="7"/>
      <c r="HW244" s="7"/>
      <c r="HX244" s="7"/>
      <c r="HY244" s="7"/>
      <c r="HZ244" s="7"/>
      <c r="IA244" s="7"/>
      <c r="IB244" s="7"/>
      <c r="IC244" s="7"/>
      <c r="ID244" s="7"/>
      <c r="IE244" s="7"/>
      <c r="IF244" s="7"/>
      <c r="IG244" s="7"/>
      <c r="IH244" s="7"/>
      <c r="II244" s="7"/>
      <c r="IJ244" s="7"/>
      <c r="IK244" s="7"/>
      <c r="IL244" s="7"/>
      <c r="IM244" s="7"/>
      <c r="IN244" s="7"/>
      <c r="IO244" s="7"/>
      <c r="IP244" s="7"/>
      <c r="IQ244" s="7"/>
      <c r="IR244" s="7"/>
      <c r="IS244" s="7"/>
      <c r="IT244" s="7"/>
      <c r="IU244" s="7"/>
      <c r="IV244" s="7"/>
      <c r="IW244" s="7"/>
      <c r="IX244" s="7"/>
      <c r="JA244" s="113"/>
      <c r="JB244" s="113"/>
      <c r="JC244" s="113"/>
      <c r="JD244" s="66">
        <f>SUM((TEXT(JA244,"[M]")/60)*'Income Person-hours'!$D$3,(TEXT(JB244,"[M]")/60)*'Income Person-hours'!$D$4,(TEXT(JC244,"[M]")/60)*'Income Person-hours'!$D$5)</f>
        <v>0</v>
      </c>
    </row>
    <row r="245" spans="1:264" s="11" customFormat="1" ht="11.25" hidden="1">
      <c r="A245" s="30">
        <v>10.19</v>
      </c>
      <c r="B245" s="116"/>
      <c r="C245" s="107"/>
      <c r="D245" s="12" t="str">
        <f>IF(OR(j_WEEKDAY(J_ADDDAY(VLOOKUP(I245,A:F,6,FALSE),H245,1),0)=6,SUMIFS(Holieday[ok],Holieday[date],J_ADDDAY(VLOOKUP(I245,A:F,6,FALSE),H245,1)))=FALSE(),J_ADDDAY(VLOOKUP(I245,A:F,6,FALSE),H245,1),IF(OR(j_WEEKDAY(J_ADDDAY(VLOOKUP(I245,A:F,6,FALSE),H245+1,1),0)=6,SUMIFS(Holieday[ok],Holieday[date],J_ADDDAY(VLOOKUP(I245,A:F,6,FALSE),H245+1,1)))=FALSE(),J_ADDDAY(VLOOKUP(I245,A:F,6,FALSE),H245+1,1),IF(OR(j_WEEKDAY(J_ADDDAY(VLOOKUP(I245,A:F,6,FALSE),H245+2,1),0)=6,SUMIFS(Holieday[ok],Holieday[date],J_ADDDAY(VLOOKUP(I245,A:F,6,FALSE),H245+2,1)))=FALSE(),J_ADDDAY(VLOOKUP(I245,A:F,6,FALSE),H245+2,1),IF(OR(j_WEEKDAY(J_ADDDAY(VLOOKUP(I245,A:F,6,FALSE),H245+3,1),0)=6,SUMIFS(Holieday[ok],Holieday[date],J_ADDDAY(VLOOKUP(I245,A:F,6,FALSE),H245+3,1)))=FALSE(),J_ADDDAY(VLOOKUP(I245,A:F,6,FALSE),H245+3,1),IF(OR(j_WEEKDAY(J_ADDDAY(VLOOKUP(I245,A:F,6,FALSE),H245+4,1),0)=6,SUMIFS(Holieday[ok],Holieday[date],J_ADDDAY(VLOOKUP(I245,A:F,6,FALSE),H245+4,1)))=FALSE(),J_ADDDAY(VLOOKUP(I245,A:F,6,FALSE),H245+4,1),J_ADDDAY(VLOOKUP(I245,A:F,6,FALSE),H245+5,1))))))</f>
        <v>1398/06/30</v>
      </c>
      <c r="E245" s="1">
        <f t="shared" si="70"/>
        <v>13980630</v>
      </c>
      <c r="F245" s="12" t="str">
        <f>IF(N245=0,J_SUBDAY(D245,1,1),IF((N245-NETWORKDAYS.INTL(J_GregorianDate(D245,1),J_GregorianDate(J_SUBDAY(J_ADDDAY(D245,N245,1),1,1),1),16,1)-SUMIFS(Holieday[ok],Holieday[date],CONCATENATE("&gt;","=",D245),Holieday[date],CONCATENATE("&lt;","=",J_SUBDAY(J_ADDDAY(D245,N245,1),1,1)))+SUMIFS(Holieday[Friday],Holieday[date],CONCATENATE("&gt;","=",D245),Holieday[date],CONCATENATE("&lt;","=",J_SUBDAY(J_ADDDAY(D245,N245,1),1,1))))=0,J_SUBDAY(J_ADDDAY(D245,N245,1),1,1),IF((N245-NETWORKDAYS.INTL(J_GregorianDate(D245,1),J_GregorianDate(J_SUBDAY(J_ADDDAY(D245,N245,1),1,1),1),16,1)-SUMIFS(Holieday[ok],Holieday[date],CONCATENATE("&gt;","=",D245),Holieday[date],CONCATENATE("&lt;","=",J_SUBDAY(J_ADDDAY(D245,N245,1),1,1)))+SUMIFS(Holieday[Friday],Holieday[date],CONCATENATE("&gt;","=",D245),Holieday[date],CONCATENATE("&lt;","=",J_SUBDAY(J_ADDDAY(D245,N245,1),1,1))))=1,J_SUBDAY(J_ADDDAY(D245,N245+1,1),1,1),IF((N245-NETWORKDAYS.INTL(J_GregorianDate(D245,1),J_GregorianDate(J_SUBDAY(J_ADDDAY(D245,N245,1),1,1),1),16,1)-SUMIFS(Holieday[ok],Holieday[date],CONCATENATE("&gt;","=",D245),Holieday[date],CONCATENATE("&lt;","=",J_SUBDAY(J_ADDDAY(D245,N245,1),1,1)))+SUMIFS(Holieday[Friday],Holieday[date],CONCATENATE("&gt;","=",D245),Holieday[date],CONCATENATE("&lt;","=",J_SUBDAY(J_ADDDAY(D245,N245,1),1,1))))=2,J_SUBDAY(J_ADDDAY(D245,N245+2,1),1,1),J_SUBDAY(J_ADDDAY(D245,N245+3,1),1,1)))))</f>
        <v>1398/06/29</v>
      </c>
      <c r="G245" s="2">
        <f t="shared" si="71"/>
        <v>13980629</v>
      </c>
      <c r="H245" s="109"/>
      <c r="I245" s="110">
        <v>10.1</v>
      </c>
      <c r="J245" s="9">
        <f>j_WEEKDAY(D245,2)</f>
        <v>0</v>
      </c>
      <c r="K245" s="21">
        <f t="shared" si="69"/>
        <v>0</v>
      </c>
      <c r="L245" s="8">
        <f t="shared" si="74"/>
        <v>0</v>
      </c>
      <c r="M245" s="111">
        <v>0</v>
      </c>
      <c r="N245" s="108">
        <v>0</v>
      </c>
      <c r="O245" s="10">
        <f t="shared" si="75"/>
        <v>0</v>
      </c>
      <c r="P245" s="10">
        <f>VALUE(J_normdate(J_ADDDAY($D245,$O245,1)))</f>
        <v>13980630</v>
      </c>
      <c r="Q245" s="9">
        <f t="shared" si="76"/>
        <v>0</v>
      </c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7"/>
      <c r="BV245" s="7"/>
      <c r="BW245" s="7"/>
      <c r="BX245" s="7"/>
      <c r="BY245" s="7"/>
      <c r="BZ245" s="7"/>
      <c r="CA245" s="7"/>
      <c r="CB245" s="7"/>
      <c r="CC245" s="7"/>
      <c r="CD245" s="7"/>
      <c r="CE245" s="7"/>
      <c r="CF245" s="7"/>
      <c r="CG245" s="7"/>
      <c r="CH245" s="7"/>
      <c r="CI245" s="7"/>
      <c r="CJ245" s="7"/>
      <c r="CK245" s="7"/>
      <c r="CL245" s="7"/>
      <c r="CM245" s="7"/>
      <c r="CN245" s="7"/>
      <c r="CO245" s="7"/>
      <c r="CP245" s="7"/>
      <c r="CQ245" s="7"/>
      <c r="CR245" s="7"/>
      <c r="CS245" s="7"/>
      <c r="CT245" s="7"/>
      <c r="CU245" s="7"/>
      <c r="CV245" s="7"/>
      <c r="CW245" s="7"/>
      <c r="CX245" s="7"/>
      <c r="CY245" s="7"/>
      <c r="CZ245" s="7"/>
      <c r="DA245" s="7"/>
      <c r="DB245" s="7"/>
      <c r="DC245" s="7"/>
      <c r="DD245" s="7"/>
      <c r="DE245" s="7"/>
      <c r="DF245" s="7"/>
      <c r="DG245" s="7"/>
      <c r="DH245" s="7"/>
      <c r="DI245" s="7"/>
      <c r="DJ245" s="7"/>
      <c r="DK245" s="7"/>
      <c r="DL245" s="7"/>
      <c r="DM245" s="7"/>
      <c r="DN245" s="7"/>
      <c r="DO245" s="7"/>
      <c r="DP245" s="7"/>
      <c r="DQ245" s="7"/>
      <c r="DR245" s="7"/>
      <c r="DS245" s="7"/>
      <c r="DT245" s="7"/>
      <c r="DU245" s="7"/>
      <c r="DV245" s="7"/>
      <c r="DW245" s="7"/>
      <c r="DX245" s="7"/>
      <c r="DY245" s="7"/>
      <c r="DZ245" s="7"/>
      <c r="EA245" s="7"/>
      <c r="EB245" s="7"/>
      <c r="EC245" s="7"/>
      <c r="ED245" s="7"/>
      <c r="EE245" s="7"/>
      <c r="EF245" s="7"/>
      <c r="EG245" s="7"/>
      <c r="EH245" s="7"/>
      <c r="EI245" s="7"/>
      <c r="EJ245" s="7"/>
      <c r="EK245" s="7"/>
      <c r="EL245" s="7"/>
      <c r="EM245" s="7"/>
      <c r="EN245" s="7"/>
      <c r="EO245" s="7"/>
      <c r="EP245" s="7"/>
      <c r="EQ245" s="7"/>
      <c r="ER245" s="7"/>
      <c r="ES245" s="7"/>
      <c r="ET245" s="7"/>
      <c r="EU245" s="7"/>
      <c r="EV245" s="7"/>
      <c r="EW245" s="7"/>
      <c r="EX245" s="7"/>
      <c r="EY245" s="7"/>
      <c r="EZ245" s="7"/>
      <c r="FA245" s="7"/>
      <c r="FB245" s="7"/>
      <c r="FC245" s="7"/>
      <c r="FD245" s="7"/>
      <c r="FE245" s="7"/>
      <c r="FF245" s="7"/>
      <c r="FG245" s="7"/>
      <c r="FH245" s="7"/>
      <c r="FI245" s="7"/>
      <c r="FJ245" s="7"/>
      <c r="FK245" s="7"/>
      <c r="FL245" s="7"/>
      <c r="FM245" s="7"/>
      <c r="FN245" s="7"/>
      <c r="FO245" s="7"/>
      <c r="FP245" s="7"/>
      <c r="FQ245" s="7"/>
      <c r="FR245" s="7"/>
      <c r="FS245" s="7"/>
      <c r="FT245" s="7"/>
      <c r="FU245" s="7"/>
      <c r="FV245" s="7"/>
      <c r="FW245" s="7"/>
      <c r="FX245" s="7"/>
      <c r="FY245" s="7"/>
      <c r="FZ245" s="7"/>
      <c r="GA245" s="7"/>
      <c r="GB245" s="7"/>
      <c r="GC245" s="7"/>
      <c r="GD245" s="7"/>
      <c r="GE245" s="7"/>
      <c r="GF245" s="7"/>
      <c r="GG245" s="7"/>
      <c r="GH245" s="7"/>
      <c r="GI245" s="7"/>
      <c r="GJ245" s="7"/>
      <c r="GK245" s="7"/>
      <c r="GL245" s="7"/>
      <c r="GM245" s="7"/>
      <c r="GN245" s="7"/>
      <c r="GO245" s="7"/>
      <c r="GP245" s="7"/>
      <c r="GQ245" s="7"/>
      <c r="GR245" s="7"/>
      <c r="GS245" s="7"/>
      <c r="GT245" s="7"/>
      <c r="GU245" s="7"/>
      <c r="GV245" s="7"/>
      <c r="GW245" s="7"/>
      <c r="GX245" s="7"/>
      <c r="GY245" s="7"/>
      <c r="GZ245" s="7"/>
      <c r="HA245" s="7"/>
      <c r="HB245" s="7"/>
      <c r="HC245" s="7"/>
      <c r="HD245" s="7"/>
      <c r="HE245" s="7"/>
      <c r="HF245" s="7"/>
      <c r="HG245" s="7"/>
      <c r="HH245" s="7"/>
      <c r="HI245" s="7"/>
      <c r="HJ245" s="7"/>
      <c r="HK245" s="7"/>
      <c r="HL245" s="7"/>
      <c r="HM245" s="7"/>
      <c r="HN245" s="7"/>
      <c r="HO245" s="7"/>
      <c r="HP245" s="7"/>
      <c r="HQ245" s="7"/>
      <c r="HR245" s="7"/>
      <c r="HS245" s="7"/>
      <c r="HT245" s="7"/>
      <c r="HU245" s="7"/>
      <c r="HV245" s="7"/>
      <c r="HW245" s="7"/>
      <c r="HX245" s="7"/>
      <c r="HY245" s="7"/>
      <c r="HZ245" s="7"/>
      <c r="IA245" s="7"/>
      <c r="IB245" s="7"/>
      <c r="IC245" s="7"/>
      <c r="ID245" s="7"/>
      <c r="IE245" s="7"/>
      <c r="IF245" s="7"/>
      <c r="IG245" s="7"/>
      <c r="IH245" s="7"/>
      <c r="II245" s="7"/>
      <c r="IJ245" s="7"/>
      <c r="IK245" s="7"/>
      <c r="IL245" s="7"/>
      <c r="IM245" s="7"/>
      <c r="IN245" s="7"/>
      <c r="IO245" s="7"/>
      <c r="IP245" s="7"/>
      <c r="IQ245" s="7"/>
      <c r="IR245" s="7"/>
      <c r="IS245" s="7"/>
      <c r="IT245" s="7"/>
      <c r="IU245" s="7"/>
      <c r="IV245" s="7"/>
      <c r="IW245" s="7"/>
      <c r="IX245" s="7"/>
      <c r="JA245" s="113"/>
      <c r="JB245" s="113"/>
      <c r="JC245" s="113"/>
      <c r="JD245" s="66">
        <f>SUM((TEXT(JA245,"[M]")/60)*'Income Person-hours'!$D$3,(TEXT(JB245,"[M]")/60)*'Income Person-hours'!$D$4,(TEXT(JC245,"[M]")/60)*'Income Person-hours'!$D$5)</f>
        <v>0</v>
      </c>
    </row>
    <row r="246" spans="1:264" s="11" customFormat="1" ht="11.25" hidden="1">
      <c r="A246" s="30">
        <v>1.0209999999999999</v>
      </c>
      <c r="B246" s="116"/>
      <c r="C246" s="107"/>
      <c r="D246" s="12" t="str">
        <f>IF(OR(j_WEEKDAY(J_ADDDAY(VLOOKUP(I246,A:F,6,FALSE),H246,1),0)=6,SUMIFS(Holieday[ok],Holieday[date],J_ADDDAY(VLOOKUP(I246,A:F,6,FALSE),H246,1)))=FALSE(),J_ADDDAY(VLOOKUP(I246,A:F,6,FALSE),H246,1),IF(OR(j_WEEKDAY(J_ADDDAY(VLOOKUP(I246,A:F,6,FALSE),H246+1,1),0)=6,SUMIFS(Holieday[ok],Holieday[date],J_ADDDAY(VLOOKUP(I246,A:F,6,FALSE),H246+1,1)))=FALSE(),J_ADDDAY(VLOOKUP(I246,A:F,6,FALSE),H246+1,1),IF(OR(j_WEEKDAY(J_ADDDAY(VLOOKUP(I246,A:F,6,FALSE),H246+2,1),0)=6,SUMIFS(Holieday[ok],Holieday[date],J_ADDDAY(VLOOKUP(I246,A:F,6,FALSE),H246+2,1)))=FALSE(),J_ADDDAY(VLOOKUP(I246,A:F,6,FALSE),H246+2,1),IF(OR(j_WEEKDAY(J_ADDDAY(VLOOKUP(I246,A:F,6,FALSE),H246+3,1),0)=6,SUMIFS(Holieday[ok],Holieday[date],J_ADDDAY(VLOOKUP(I246,A:F,6,FALSE),H246+3,1)))=FALSE(),J_ADDDAY(VLOOKUP(I246,A:F,6,FALSE),H246+3,1),IF(OR(j_WEEKDAY(J_ADDDAY(VLOOKUP(I246,A:F,6,FALSE),H246+4,1),0)=6,SUMIFS(Holieday[ok],Holieday[date],J_ADDDAY(VLOOKUP(I246,A:F,6,FALSE),H246+4,1)))=FALSE(),J_ADDDAY(VLOOKUP(I246,A:F,6,FALSE),H246+4,1),J_ADDDAY(VLOOKUP(I246,A:F,6,FALSE),H246+5,1))))))</f>
        <v>1398/06/30</v>
      </c>
      <c r="E246" s="1">
        <f t="shared" si="70"/>
        <v>13980630</v>
      </c>
      <c r="F246" s="12" t="str">
        <f>IF(N246=0,J_SUBDAY(D246,1,1),IF((N246-NETWORKDAYS.INTL(J_GregorianDate(D246,1),J_GregorianDate(J_SUBDAY(J_ADDDAY(D246,N246,1),1,1),1),16,1)-SUMIFS(Holieday[ok],Holieday[date],CONCATENATE("&gt;","=",D246),Holieday[date],CONCATENATE("&lt;","=",J_SUBDAY(J_ADDDAY(D246,N246,1),1,1)))+SUMIFS(Holieday[Friday],Holieday[date],CONCATENATE("&gt;","=",D246),Holieday[date],CONCATENATE("&lt;","=",J_SUBDAY(J_ADDDAY(D246,N246,1),1,1))))=0,J_SUBDAY(J_ADDDAY(D246,N246,1),1,1),IF((N246-NETWORKDAYS.INTL(J_GregorianDate(D246,1),J_GregorianDate(J_SUBDAY(J_ADDDAY(D246,N246,1),1,1),1),16,1)-SUMIFS(Holieday[ok],Holieday[date],CONCATENATE("&gt;","=",D246),Holieday[date],CONCATENATE("&lt;","=",J_SUBDAY(J_ADDDAY(D246,N246,1),1,1)))+SUMIFS(Holieday[Friday],Holieday[date],CONCATENATE("&gt;","=",D246),Holieday[date],CONCATENATE("&lt;","=",J_SUBDAY(J_ADDDAY(D246,N246,1),1,1))))=1,J_SUBDAY(J_ADDDAY(D246,N246+1,1),1,1),IF((N246-NETWORKDAYS.INTL(J_GregorianDate(D246,1),J_GregorianDate(J_SUBDAY(J_ADDDAY(D246,N246,1),1,1),1),16,1)-SUMIFS(Holieday[ok],Holieday[date],CONCATENATE("&gt;","=",D246),Holieday[date],CONCATENATE("&lt;","=",J_SUBDAY(J_ADDDAY(D246,N246,1),1,1)))+SUMIFS(Holieday[Friday],Holieday[date],CONCATENATE("&gt;","=",D246),Holieday[date],CONCATENATE("&lt;","=",J_SUBDAY(J_ADDDAY(D246,N246,1),1,1))))=2,J_SUBDAY(J_ADDDAY(D246,N246+2,1),1,1),J_SUBDAY(J_ADDDAY(D246,N246+3,1),1,1)))))</f>
        <v>1398/06/29</v>
      </c>
      <c r="G246" s="2">
        <f t="shared" si="71"/>
        <v>13980629</v>
      </c>
      <c r="H246" s="109"/>
      <c r="I246" s="110">
        <v>10.1</v>
      </c>
      <c r="J246" s="9">
        <f>j_WEEKDAY(D246,2)</f>
        <v>0</v>
      </c>
      <c r="K246" s="21">
        <f t="shared" si="69"/>
        <v>0</v>
      </c>
      <c r="L246" s="8">
        <f t="shared" si="74"/>
        <v>0</v>
      </c>
      <c r="M246" s="111">
        <v>0</v>
      </c>
      <c r="N246" s="108">
        <v>0</v>
      </c>
      <c r="O246" s="10">
        <f t="shared" si="75"/>
        <v>0</v>
      </c>
      <c r="P246" s="10">
        <f>VALUE(J_normdate(J_ADDDAY($D246,$O246,1)))</f>
        <v>13980630</v>
      </c>
      <c r="Q246" s="9">
        <f t="shared" si="76"/>
        <v>0</v>
      </c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7"/>
      <c r="BV246" s="7"/>
      <c r="BW246" s="7"/>
      <c r="BX246" s="7"/>
      <c r="BY246" s="7"/>
      <c r="BZ246" s="7"/>
      <c r="CA246" s="7"/>
      <c r="CB246" s="7"/>
      <c r="CC246" s="7"/>
      <c r="CD246" s="7"/>
      <c r="CE246" s="7"/>
      <c r="CF246" s="7"/>
      <c r="CG246" s="7"/>
      <c r="CH246" s="7"/>
      <c r="CI246" s="7"/>
      <c r="CJ246" s="7"/>
      <c r="CK246" s="7"/>
      <c r="CL246" s="7"/>
      <c r="CM246" s="7"/>
      <c r="CN246" s="7"/>
      <c r="CO246" s="7"/>
      <c r="CP246" s="7"/>
      <c r="CQ246" s="7"/>
      <c r="CR246" s="7"/>
      <c r="CS246" s="7"/>
      <c r="CT246" s="7"/>
      <c r="CU246" s="7"/>
      <c r="CV246" s="7"/>
      <c r="CW246" s="7"/>
      <c r="CX246" s="7"/>
      <c r="CY246" s="7"/>
      <c r="CZ246" s="7"/>
      <c r="DA246" s="7"/>
      <c r="DB246" s="7"/>
      <c r="DC246" s="7"/>
      <c r="DD246" s="7"/>
      <c r="DE246" s="7"/>
      <c r="DF246" s="7"/>
      <c r="DG246" s="7"/>
      <c r="DH246" s="7"/>
      <c r="DI246" s="7"/>
      <c r="DJ246" s="7"/>
      <c r="DK246" s="7"/>
      <c r="DL246" s="7"/>
      <c r="DM246" s="7"/>
      <c r="DN246" s="7"/>
      <c r="DO246" s="7"/>
      <c r="DP246" s="7"/>
      <c r="DQ246" s="7"/>
      <c r="DR246" s="7"/>
      <c r="DS246" s="7"/>
      <c r="DT246" s="7"/>
      <c r="DU246" s="7"/>
      <c r="DV246" s="7"/>
      <c r="DW246" s="7"/>
      <c r="DX246" s="7"/>
      <c r="DY246" s="7"/>
      <c r="DZ246" s="7"/>
      <c r="EA246" s="7"/>
      <c r="EB246" s="7"/>
      <c r="EC246" s="7"/>
      <c r="ED246" s="7"/>
      <c r="EE246" s="7"/>
      <c r="EF246" s="7"/>
      <c r="EG246" s="7"/>
      <c r="EH246" s="7"/>
      <c r="EI246" s="7"/>
      <c r="EJ246" s="7"/>
      <c r="EK246" s="7"/>
      <c r="EL246" s="7"/>
      <c r="EM246" s="7"/>
      <c r="EN246" s="7"/>
      <c r="EO246" s="7"/>
      <c r="EP246" s="7"/>
      <c r="EQ246" s="7"/>
      <c r="ER246" s="7"/>
      <c r="ES246" s="7"/>
      <c r="ET246" s="7"/>
      <c r="EU246" s="7"/>
      <c r="EV246" s="7"/>
      <c r="EW246" s="7"/>
      <c r="EX246" s="7"/>
      <c r="EY246" s="7"/>
      <c r="EZ246" s="7"/>
      <c r="FA246" s="7"/>
      <c r="FB246" s="7"/>
      <c r="FC246" s="7"/>
      <c r="FD246" s="7"/>
      <c r="FE246" s="7"/>
      <c r="FF246" s="7"/>
      <c r="FG246" s="7"/>
      <c r="FH246" s="7"/>
      <c r="FI246" s="7"/>
      <c r="FJ246" s="7"/>
      <c r="FK246" s="7"/>
      <c r="FL246" s="7"/>
      <c r="FM246" s="7"/>
      <c r="FN246" s="7"/>
      <c r="FO246" s="7"/>
      <c r="FP246" s="7"/>
      <c r="FQ246" s="7"/>
      <c r="FR246" s="7"/>
      <c r="FS246" s="7"/>
      <c r="FT246" s="7"/>
      <c r="FU246" s="7"/>
      <c r="FV246" s="7"/>
      <c r="FW246" s="7"/>
      <c r="FX246" s="7"/>
      <c r="FY246" s="7"/>
      <c r="FZ246" s="7"/>
      <c r="GA246" s="7"/>
      <c r="GB246" s="7"/>
      <c r="GC246" s="7"/>
      <c r="GD246" s="7"/>
      <c r="GE246" s="7"/>
      <c r="GF246" s="7"/>
      <c r="GG246" s="7"/>
      <c r="GH246" s="7"/>
      <c r="GI246" s="7"/>
      <c r="GJ246" s="7"/>
      <c r="GK246" s="7"/>
      <c r="GL246" s="7"/>
      <c r="GM246" s="7"/>
      <c r="GN246" s="7"/>
      <c r="GO246" s="7"/>
      <c r="GP246" s="7"/>
      <c r="GQ246" s="7"/>
      <c r="GR246" s="7"/>
      <c r="GS246" s="7"/>
      <c r="GT246" s="7"/>
      <c r="GU246" s="7"/>
      <c r="GV246" s="7"/>
      <c r="GW246" s="7"/>
      <c r="GX246" s="7"/>
      <c r="GY246" s="7"/>
      <c r="GZ246" s="7"/>
      <c r="HA246" s="7"/>
      <c r="HB246" s="7"/>
      <c r="HC246" s="7"/>
      <c r="HD246" s="7"/>
      <c r="HE246" s="7"/>
      <c r="HF246" s="7"/>
      <c r="HG246" s="7"/>
      <c r="HH246" s="7"/>
      <c r="HI246" s="7"/>
      <c r="HJ246" s="7"/>
      <c r="HK246" s="7"/>
      <c r="HL246" s="7"/>
      <c r="HM246" s="7"/>
      <c r="HN246" s="7"/>
      <c r="HO246" s="7"/>
      <c r="HP246" s="7"/>
      <c r="HQ246" s="7"/>
      <c r="HR246" s="7"/>
      <c r="HS246" s="7"/>
      <c r="HT246" s="7"/>
      <c r="HU246" s="7"/>
      <c r="HV246" s="7"/>
      <c r="HW246" s="7"/>
      <c r="HX246" s="7"/>
      <c r="HY246" s="7"/>
      <c r="HZ246" s="7"/>
      <c r="IA246" s="7"/>
      <c r="IB246" s="7"/>
      <c r="IC246" s="7"/>
      <c r="ID246" s="7"/>
      <c r="IE246" s="7"/>
      <c r="IF246" s="7"/>
      <c r="IG246" s="7"/>
      <c r="IH246" s="7"/>
      <c r="II246" s="7"/>
      <c r="IJ246" s="7"/>
      <c r="IK246" s="7"/>
      <c r="IL246" s="7"/>
      <c r="IM246" s="7"/>
      <c r="IN246" s="7"/>
      <c r="IO246" s="7"/>
      <c r="IP246" s="7"/>
      <c r="IQ246" s="7"/>
      <c r="IR246" s="7"/>
      <c r="IS246" s="7"/>
      <c r="IT246" s="7"/>
      <c r="IU246" s="7"/>
      <c r="IV246" s="7"/>
      <c r="IW246" s="7"/>
      <c r="IX246" s="7"/>
      <c r="JA246" s="113"/>
      <c r="JB246" s="113"/>
      <c r="JC246" s="113"/>
      <c r="JD246" s="66">
        <f>SUM((TEXT(JA246,"[M]")/60)*'Income Person-hours'!$D$3,(TEXT(JB246,"[M]")/60)*'Income Person-hours'!$D$4,(TEXT(JC246,"[M]")/60)*'Income Person-hours'!$D$5)</f>
        <v>0</v>
      </c>
    </row>
    <row r="247" spans="1:264" s="11" customFormat="1" ht="11.25" hidden="1">
      <c r="A247" s="30">
        <v>10.220000000000001</v>
      </c>
      <c r="B247" s="116"/>
      <c r="C247" s="107"/>
      <c r="D247" s="12" t="str">
        <f>IF(OR(j_WEEKDAY(J_ADDDAY(VLOOKUP(I247,A:F,6,FALSE),H247,1),0)=6,SUMIFS(Holieday[ok],Holieday[date],J_ADDDAY(VLOOKUP(I247,A:F,6,FALSE),H247,1)))=FALSE(),J_ADDDAY(VLOOKUP(I247,A:F,6,FALSE),H247,1),IF(OR(j_WEEKDAY(J_ADDDAY(VLOOKUP(I247,A:F,6,FALSE),H247+1,1),0)=6,SUMIFS(Holieday[ok],Holieday[date],J_ADDDAY(VLOOKUP(I247,A:F,6,FALSE),H247+1,1)))=FALSE(),J_ADDDAY(VLOOKUP(I247,A:F,6,FALSE),H247+1,1),IF(OR(j_WEEKDAY(J_ADDDAY(VLOOKUP(I247,A:F,6,FALSE),H247+2,1),0)=6,SUMIFS(Holieday[ok],Holieday[date],J_ADDDAY(VLOOKUP(I247,A:F,6,FALSE),H247+2,1)))=FALSE(),J_ADDDAY(VLOOKUP(I247,A:F,6,FALSE),H247+2,1),IF(OR(j_WEEKDAY(J_ADDDAY(VLOOKUP(I247,A:F,6,FALSE),H247+3,1),0)=6,SUMIFS(Holieday[ok],Holieday[date],J_ADDDAY(VLOOKUP(I247,A:F,6,FALSE),H247+3,1)))=FALSE(),J_ADDDAY(VLOOKUP(I247,A:F,6,FALSE),H247+3,1),IF(OR(j_WEEKDAY(J_ADDDAY(VLOOKUP(I247,A:F,6,FALSE),H247+4,1),0)=6,SUMIFS(Holieday[ok],Holieday[date],J_ADDDAY(VLOOKUP(I247,A:F,6,FALSE),H247+4,1)))=FALSE(),J_ADDDAY(VLOOKUP(I247,A:F,6,FALSE),H247+4,1),J_ADDDAY(VLOOKUP(I247,A:F,6,FALSE),H247+5,1))))))</f>
        <v>1398/06/30</v>
      </c>
      <c r="E247" s="1">
        <f t="shared" si="70"/>
        <v>13980630</v>
      </c>
      <c r="F247" s="12" t="str">
        <f>IF(N247=0,J_SUBDAY(D247,1,1),IF((N247-NETWORKDAYS.INTL(J_GregorianDate(D247,1),J_GregorianDate(J_SUBDAY(J_ADDDAY(D247,N247,1),1,1),1),16,1)-SUMIFS(Holieday[ok],Holieday[date],CONCATENATE("&gt;","=",D247),Holieday[date],CONCATENATE("&lt;","=",J_SUBDAY(J_ADDDAY(D247,N247,1),1,1)))+SUMIFS(Holieday[Friday],Holieday[date],CONCATENATE("&gt;","=",D247),Holieday[date],CONCATENATE("&lt;","=",J_SUBDAY(J_ADDDAY(D247,N247,1),1,1))))=0,J_SUBDAY(J_ADDDAY(D247,N247,1),1,1),IF((N247-NETWORKDAYS.INTL(J_GregorianDate(D247,1),J_GregorianDate(J_SUBDAY(J_ADDDAY(D247,N247,1),1,1),1),16,1)-SUMIFS(Holieday[ok],Holieday[date],CONCATENATE("&gt;","=",D247),Holieday[date],CONCATENATE("&lt;","=",J_SUBDAY(J_ADDDAY(D247,N247,1),1,1)))+SUMIFS(Holieday[Friday],Holieday[date],CONCATENATE("&gt;","=",D247),Holieday[date],CONCATENATE("&lt;","=",J_SUBDAY(J_ADDDAY(D247,N247,1),1,1))))=1,J_SUBDAY(J_ADDDAY(D247,N247+1,1),1,1),IF((N247-NETWORKDAYS.INTL(J_GregorianDate(D247,1),J_GregorianDate(J_SUBDAY(J_ADDDAY(D247,N247,1),1,1),1),16,1)-SUMIFS(Holieday[ok],Holieday[date],CONCATENATE("&gt;","=",D247),Holieday[date],CONCATENATE("&lt;","=",J_SUBDAY(J_ADDDAY(D247,N247,1),1,1)))+SUMIFS(Holieday[Friday],Holieday[date],CONCATENATE("&gt;","=",D247),Holieday[date],CONCATENATE("&lt;","=",J_SUBDAY(J_ADDDAY(D247,N247,1),1,1))))=2,J_SUBDAY(J_ADDDAY(D247,N247+2,1),1,1),J_SUBDAY(J_ADDDAY(D247,N247+3,1),1,1)))))</f>
        <v>1398/06/29</v>
      </c>
      <c r="G247" s="2">
        <f t="shared" si="71"/>
        <v>13980629</v>
      </c>
      <c r="H247" s="109"/>
      <c r="I247" s="110">
        <v>10.1</v>
      </c>
      <c r="J247" s="9">
        <f>j_WEEKDAY(D247,2)</f>
        <v>0</v>
      </c>
      <c r="K247" s="21">
        <f t="shared" si="69"/>
        <v>0</v>
      </c>
      <c r="L247" s="8">
        <f t="shared" si="74"/>
        <v>0</v>
      </c>
      <c r="M247" s="111">
        <v>0</v>
      </c>
      <c r="N247" s="108">
        <v>0</v>
      </c>
      <c r="O247" s="10">
        <f t="shared" si="75"/>
        <v>0</v>
      </c>
      <c r="P247" s="10">
        <f>VALUE(J_normdate(J_ADDDAY($D247,$O247,1)))</f>
        <v>13980630</v>
      </c>
      <c r="Q247" s="9">
        <f t="shared" si="76"/>
        <v>0</v>
      </c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7"/>
      <c r="BV247" s="7"/>
      <c r="BW247" s="7"/>
      <c r="BX247" s="7"/>
      <c r="BY247" s="7"/>
      <c r="BZ247" s="7"/>
      <c r="CA247" s="7"/>
      <c r="CB247" s="7"/>
      <c r="CC247" s="7"/>
      <c r="CD247" s="7"/>
      <c r="CE247" s="7"/>
      <c r="CF247" s="7"/>
      <c r="CG247" s="7"/>
      <c r="CH247" s="7"/>
      <c r="CI247" s="7"/>
      <c r="CJ247" s="7"/>
      <c r="CK247" s="7"/>
      <c r="CL247" s="7"/>
      <c r="CM247" s="7"/>
      <c r="CN247" s="7"/>
      <c r="CO247" s="7"/>
      <c r="CP247" s="7"/>
      <c r="CQ247" s="7"/>
      <c r="CR247" s="7"/>
      <c r="CS247" s="7"/>
      <c r="CT247" s="7"/>
      <c r="CU247" s="7"/>
      <c r="CV247" s="7"/>
      <c r="CW247" s="7"/>
      <c r="CX247" s="7"/>
      <c r="CY247" s="7"/>
      <c r="CZ247" s="7"/>
      <c r="DA247" s="7"/>
      <c r="DB247" s="7"/>
      <c r="DC247" s="7"/>
      <c r="DD247" s="7"/>
      <c r="DE247" s="7"/>
      <c r="DF247" s="7"/>
      <c r="DG247" s="7"/>
      <c r="DH247" s="7"/>
      <c r="DI247" s="7"/>
      <c r="DJ247" s="7"/>
      <c r="DK247" s="7"/>
      <c r="DL247" s="7"/>
      <c r="DM247" s="7"/>
      <c r="DN247" s="7"/>
      <c r="DO247" s="7"/>
      <c r="DP247" s="7"/>
      <c r="DQ247" s="7"/>
      <c r="DR247" s="7"/>
      <c r="DS247" s="7"/>
      <c r="DT247" s="7"/>
      <c r="DU247" s="7"/>
      <c r="DV247" s="7"/>
      <c r="DW247" s="7"/>
      <c r="DX247" s="7"/>
      <c r="DY247" s="7"/>
      <c r="DZ247" s="7"/>
      <c r="EA247" s="7"/>
      <c r="EB247" s="7"/>
      <c r="EC247" s="7"/>
      <c r="ED247" s="7"/>
      <c r="EE247" s="7"/>
      <c r="EF247" s="7"/>
      <c r="EG247" s="7"/>
      <c r="EH247" s="7"/>
      <c r="EI247" s="7"/>
      <c r="EJ247" s="7"/>
      <c r="EK247" s="7"/>
      <c r="EL247" s="7"/>
      <c r="EM247" s="7"/>
      <c r="EN247" s="7"/>
      <c r="EO247" s="7"/>
      <c r="EP247" s="7"/>
      <c r="EQ247" s="7"/>
      <c r="ER247" s="7"/>
      <c r="ES247" s="7"/>
      <c r="ET247" s="7"/>
      <c r="EU247" s="7"/>
      <c r="EV247" s="7"/>
      <c r="EW247" s="7"/>
      <c r="EX247" s="7"/>
      <c r="EY247" s="7"/>
      <c r="EZ247" s="7"/>
      <c r="FA247" s="7"/>
      <c r="FB247" s="7"/>
      <c r="FC247" s="7"/>
      <c r="FD247" s="7"/>
      <c r="FE247" s="7"/>
      <c r="FF247" s="7"/>
      <c r="FG247" s="7"/>
      <c r="FH247" s="7"/>
      <c r="FI247" s="7"/>
      <c r="FJ247" s="7"/>
      <c r="FK247" s="7"/>
      <c r="FL247" s="7"/>
      <c r="FM247" s="7"/>
      <c r="FN247" s="7"/>
      <c r="FO247" s="7"/>
      <c r="FP247" s="7"/>
      <c r="FQ247" s="7"/>
      <c r="FR247" s="7"/>
      <c r="FS247" s="7"/>
      <c r="FT247" s="7"/>
      <c r="FU247" s="7"/>
      <c r="FV247" s="7"/>
      <c r="FW247" s="7"/>
      <c r="FX247" s="7"/>
      <c r="FY247" s="7"/>
      <c r="FZ247" s="7"/>
      <c r="GA247" s="7"/>
      <c r="GB247" s="7"/>
      <c r="GC247" s="7"/>
      <c r="GD247" s="7"/>
      <c r="GE247" s="7"/>
      <c r="GF247" s="7"/>
      <c r="GG247" s="7"/>
      <c r="GH247" s="7"/>
      <c r="GI247" s="7"/>
      <c r="GJ247" s="7"/>
      <c r="GK247" s="7"/>
      <c r="GL247" s="7"/>
      <c r="GM247" s="7"/>
      <c r="GN247" s="7"/>
      <c r="GO247" s="7"/>
      <c r="GP247" s="7"/>
      <c r="GQ247" s="7"/>
      <c r="GR247" s="7"/>
      <c r="GS247" s="7"/>
      <c r="GT247" s="7"/>
      <c r="GU247" s="7"/>
      <c r="GV247" s="7"/>
      <c r="GW247" s="7"/>
      <c r="GX247" s="7"/>
      <c r="GY247" s="7"/>
      <c r="GZ247" s="7"/>
      <c r="HA247" s="7"/>
      <c r="HB247" s="7"/>
      <c r="HC247" s="7"/>
      <c r="HD247" s="7"/>
      <c r="HE247" s="7"/>
      <c r="HF247" s="7"/>
      <c r="HG247" s="7"/>
      <c r="HH247" s="7"/>
      <c r="HI247" s="7"/>
      <c r="HJ247" s="7"/>
      <c r="HK247" s="7"/>
      <c r="HL247" s="7"/>
      <c r="HM247" s="7"/>
      <c r="HN247" s="7"/>
      <c r="HO247" s="7"/>
      <c r="HP247" s="7"/>
      <c r="HQ247" s="7"/>
      <c r="HR247" s="7"/>
      <c r="HS247" s="7"/>
      <c r="HT247" s="7"/>
      <c r="HU247" s="7"/>
      <c r="HV247" s="7"/>
      <c r="HW247" s="7"/>
      <c r="HX247" s="7"/>
      <c r="HY247" s="7"/>
      <c r="HZ247" s="7"/>
      <c r="IA247" s="7"/>
      <c r="IB247" s="7"/>
      <c r="IC247" s="7"/>
      <c r="ID247" s="7"/>
      <c r="IE247" s="7"/>
      <c r="IF247" s="7"/>
      <c r="IG247" s="7"/>
      <c r="IH247" s="7"/>
      <c r="II247" s="7"/>
      <c r="IJ247" s="7"/>
      <c r="IK247" s="7"/>
      <c r="IL247" s="7"/>
      <c r="IM247" s="7"/>
      <c r="IN247" s="7"/>
      <c r="IO247" s="7"/>
      <c r="IP247" s="7"/>
      <c r="IQ247" s="7"/>
      <c r="IR247" s="7"/>
      <c r="IS247" s="7"/>
      <c r="IT247" s="7"/>
      <c r="IU247" s="7"/>
      <c r="IV247" s="7"/>
      <c r="IW247" s="7"/>
      <c r="IX247" s="7"/>
      <c r="JA247" s="113"/>
      <c r="JB247" s="113"/>
      <c r="JC247" s="113"/>
      <c r="JD247" s="66">
        <f>SUM((TEXT(JA247,"[M]")/60)*'Income Person-hours'!$D$3,(TEXT(JB247,"[M]")/60)*'Income Person-hours'!$D$4,(TEXT(JC247,"[M]")/60)*'Income Person-hours'!$D$5)</f>
        <v>0</v>
      </c>
    </row>
    <row r="248" spans="1:264" s="11" customFormat="1" ht="11.25" hidden="1">
      <c r="A248" s="30">
        <v>10.23</v>
      </c>
      <c r="B248" s="116"/>
      <c r="C248" s="107"/>
      <c r="D248" s="12" t="str">
        <f>IF(OR(j_WEEKDAY(J_ADDDAY(VLOOKUP(I248,A:F,6,FALSE),H248,1),0)=6,SUMIFS(Holieday[ok],Holieday[date],J_ADDDAY(VLOOKUP(I248,A:F,6,FALSE),H248,1)))=FALSE(),J_ADDDAY(VLOOKUP(I248,A:F,6,FALSE),H248,1),IF(OR(j_WEEKDAY(J_ADDDAY(VLOOKUP(I248,A:F,6,FALSE),H248+1,1),0)=6,SUMIFS(Holieday[ok],Holieday[date],J_ADDDAY(VLOOKUP(I248,A:F,6,FALSE),H248+1,1)))=FALSE(),J_ADDDAY(VLOOKUP(I248,A:F,6,FALSE),H248+1,1),IF(OR(j_WEEKDAY(J_ADDDAY(VLOOKUP(I248,A:F,6,FALSE),H248+2,1),0)=6,SUMIFS(Holieday[ok],Holieday[date],J_ADDDAY(VLOOKUP(I248,A:F,6,FALSE),H248+2,1)))=FALSE(),J_ADDDAY(VLOOKUP(I248,A:F,6,FALSE),H248+2,1),IF(OR(j_WEEKDAY(J_ADDDAY(VLOOKUP(I248,A:F,6,FALSE),H248+3,1),0)=6,SUMIFS(Holieday[ok],Holieday[date],J_ADDDAY(VLOOKUP(I248,A:F,6,FALSE),H248+3,1)))=FALSE(),J_ADDDAY(VLOOKUP(I248,A:F,6,FALSE),H248+3,1),IF(OR(j_WEEKDAY(J_ADDDAY(VLOOKUP(I248,A:F,6,FALSE),H248+4,1),0)=6,SUMIFS(Holieday[ok],Holieday[date],J_ADDDAY(VLOOKUP(I248,A:F,6,FALSE),H248+4,1)))=FALSE(),J_ADDDAY(VLOOKUP(I248,A:F,6,FALSE),H248+4,1),J_ADDDAY(VLOOKUP(I248,A:F,6,FALSE),H248+5,1))))))</f>
        <v>1398/06/30</v>
      </c>
      <c r="E248" s="1">
        <f t="shared" si="70"/>
        <v>13980630</v>
      </c>
      <c r="F248" s="12" t="str">
        <f>IF(N248=0,J_SUBDAY(D248,1,1),IF((N248-NETWORKDAYS.INTL(J_GregorianDate(D248,1),J_GregorianDate(J_SUBDAY(J_ADDDAY(D248,N248,1),1,1),1),16,1)-SUMIFS(Holieday[ok],Holieday[date],CONCATENATE("&gt;","=",D248),Holieday[date],CONCATENATE("&lt;","=",J_SUBDAY(J_ADDDAY(D248,N248,1),1,1)))+SUMIFS(Holieday[Friday],Holieday[date],CONCATENATE("&gt;","=",D248),Holieday[date],CONCATENATE("&lt;","=",J_SUBDAY(J_ADDDAY(D248,N248,1),1,1))))=0,J_SUBDAY(J_ADDDAY(D248,N248,1),1,1),IF((N248-NETWORKDAYS.INTL(J_GregorianDate(D248,1),J_GregorianDate(J_SUBDAY(J_ADDDAY(D248,N248,1),1,1),1),16,1)-SUMIFS(Holieday[ok],Holieday[date],CONCATENATE("&gt;","=",D248),Holieday[date],CONCATENATE("&lt;","=",J_SUBDAY(J_ADDDAY(D248,N248,1),1,1)))+SUMIFS(Holieday[Friday],Holieday[date],CONCATENATE("&gt;","=",D248),Holieday[date],CONCATENATE("&lt;","=",J_SUBDAY(J_ADDDAY(D248,N248,1),1,1))))=1,J_SUBDAY(J_ADDDAY(D248,N248+1,1),1,1),IF((N248-NETWORKDAYS.INTL(J_GregorianDate(D248,1),J_GregorianDate(J_SUBDAY(J_ADDDAY(D248,N248,1),1,1),1),16,1)-SUMIFS(Holieday[ok],Holieday[date],CONCATENATE("&gt;","=",D248),Holieday[date],CONCATENATE("&lt;","=",J_SUBDAY(J_ADDDAY(D248,N248,1),1,1)))+SUMIFS(Holieday[Friday],Holieday[date],CONCATENATE("&gt;","=",D248),Holieday[date],CONCATENATE("&lt;","=",J_SUBDAY(J_ADDDAY(D248,N248,1),1,1))))=2,J_SUBDAY(J_ADDDAY(D248,N248+2,1),1,1),J_SUBDAY(J_ADDDAY(D248,N248+3,1),1,1)))))</f>
        <v>1398/06/29</v>
      </c>
      <c r="G248" s="2">
        <f t="shared" si="71"/>
        <v>13980629</v>
      </c>
      <c r="H248" s="109"/>
      <c r="I248" s="110">
        <v>10.1</v>
      </c>
      <c r="J248" s="9">
        <f>j_WEEKDAY(D248,2)</f>
        <v>0</v>
      </c>
      <c r="K248" s="21">
        <f t="shared" si="69"/>
        <v>0</v>
      </c>
      <c r="L248" s="8">
        <f t="shared" si="74"/>
        <v>0</v>
      </c>
      <c r="M248" s="111">
        <v>0</v>
      </c>
      <c r="N248" s="108">
        <v>0</v>
      </c>
      <c r="O248" s="10">
        <f t="shared" si="75"/>
        <v>0</v>
      </c>
      <c r="P248" s="10">
        <f>VALUE(J_normdate(J_ADDDAY($D248,$O248,1)))</f>
        <v>13980630</v>
      </c>
      <c r="Q248" s="9">
        <f t="shared" si="76"/>
        <v>0</v>
      </c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7"/>
      <c r="BV248" s="7"/>
      <c r="BW248" s="7"/>
      <c r="BX248" s="7"/>
      <c r="BY248" s="7"/>
      <c r="BZ248" s="7"/>
      <c r="CA248" s="7"/>
      <c r="CB248" s="7"/>
      <c r="CC248" s="7"/>
      <c r="CD248" s="7"/>
      <c r="CE248" s="7"/>
      <c r="CF248" s="7"/>
      <c r="CG248" s="7"/>
      <c r="CH248" s="7"/>
      <c r="CI248" s="7"/>
      <c r="CJ248" s="7"/>
      <c r="CK248" s="7"/>
      <c r="CL248" s="7"/>
      <c r="CM248" s="7"/>
      <c r="CN248" s="7"/>
      <c r="CO248" s="7"/>
      <c r="CP248" s="7"/>
      <c r="CQ248" s="7"/>
      <c r="CR248" s="7"/>
      <c r="CS248" s="7"/>
      <c r="CT248" s="7"/>
      <c r="CU248" s="7"/>
      <c r="CV248" s="7"/>
      <c r="CW248" s="7"/>
      <c r="CX248" s="7"/>
      <c r="CY248" s="7"/>
      <c r="CZ248" s="7"/>
      <c r="DA248" s="7"/>
      <c r="DB248" s="7"/>
      <c r="DC248" s="7"/>
      <c r="DD248" s="7"/>
      <c r="DE248" s="7"/>
      <c r="DF248" s="7"/>
      <c r="DG248" s="7"/>
      <c r="DH248" s="7"/>
      <c r="DI248" s="7"/>
      <c r="DJ248" s="7"/>
      <c r="DK248" s="7"/>
      <c r="DL248" s="7"/>
      <c r="DM248" s="7"/>
      <c r="DN248" s="7"/>
      <c r="DO248" s="7"/>
      <c r="DP248" s="7"/>
      <c r="DQ248" s="7"/>
      <c r="DR248" s="7"/>
      <c r="DS248" s="7"/>
      <c r="DT248" s="7"/>
      <c r="DU248" s="7"/>
      <c r="DV248" s="7"/>
      <c r="DW248" s="7"/>
      <c r="DX248" s="7"/>
      <c r="DY248" s="7"/>
      <c r="DZ248" s="7"/>
      <c r="EA248" s="7"/>
      <c r="EB248" s="7"/>
      <c r="EC248" s="7"/>
      <c r="ED248" s="7"/>
      <c r="EE248" s="7"/>
      <c r="EF248" s="7"/>
      <c r="EG248" s="7"/>
      <c r="EH248" s="7"/>
      <c r="EI248" s="7"/>
      <c r="EJ248" s="7"/>
      <c r="EK248" s="7"/>
      <c r="EL248" s="7"/>
      <c r="EM248" s="7"/>
      <c r="EN248" s="7"/>
      <c r="EO248" s="7"/>
      <c r="EP248" s="7"/>
      <c r="EQ248" s="7"/>
      <c r="ER248" s="7"/>
      <c r="ES248" s="7"/>
      <c r="ET248" s="7"/>
      <c r="EU248" s="7"/>
      <c r="EV248" s="7"/>
      <c r="EW248" s="7"/>
      <c r="EX248" s="7"/>
      <c r="EY248" s="7"/>
      <c r="EZ248" s="7"/>
      <c r="FA248" s="7"/>
      <c r="FB248" s="7"/>
      <c r="FC248" s="7"/>
      <c r="FD248" s="7"/>
      <c r="FE248" s="7"/>
      <c r="FF248" s="7"/>
      <c r="FG248" s="7"/>
      <c r="FH248" s="7"/>
      <c r="FI248" s="7"/>
      <c r="FJ248" s="7"/>
      <c r="FK248" s="7"/>
      <c r="FL248" s="7"/>
      <c r="FM248" s="7"/>
      <c r="FN248" s="7"/>
      <c r="FO248" s="7"/>
      <c r="FP248" s="7"/>
      <c r="FQ248" s="7"/>
      <c r="FR248" s="7"/>
      <c r="FS248" s="7"/>
      <c r="FT248" s="7"/>
      <c r="FU248" s="7"/>
      <c r="FV248" s="7"/>
      <c r="FW248" s="7"/>
      <c r="FX248" s="7"/>
      <c r="FY248" s="7"/>
      <c r="FZ248" s="7"/>
      <c r="GA248" s="7"/>
      <c r="GB248" s="7"/>
      <c r="GC248" s="7"/>
      <c r="GD248" s="7"/>
      <c r="GE248" s="7"/>
      <c r="GF248" s="7"/>
      <c r="GG248" s="7"/>
      <c r="GH248" s="7"/>
      <c r="GI248" s="7"/>
      <c r="GJ248" s="7"/>
      <c r="GK248" s="7"/>
      <c r="GL248" s="7"/>
      <c r="GM248" s="7"/>
      <c r="GN248" s="7"/>
      <c r="GO248" s="7"/>
      <c r="GP248" s="7"/>
      <c r="GQ248" s="7"/>
      <c r="GR248" s="7"/>
      <c r="GS248" s="7"/>
      <c r="GT248" s="7"/>
      <c r="GU248" s="7"/>
      <c r="GV248" s="7"/>
      <c r="GW248" s="7"/>
      <c r="GX248" s="7"/>
      <c r="GY248" s="7"/>
      <c r="GZ248" s="7"/>
      <c r="HA248" s="7"/>
      <c r="HB248" s="7"/>
      <c r="HC248" s="7"/>
      <c r="HD248" s="7"/>
      <c r="HE248" s="7"/>
      <c r="HF248" s="7"/>
      <c r="HG248" s="7"/>
      <c r="HH248" s="7"/>
      <c r="HI248" s="7"/>
      <c r="HJ248" s="7"/>
      <c r="HK248" s="7"/>
      <c r="HL248" s="7"/>
      <c r="HM248" s="7"/>
      <c r="HN248" s="7"/>
      <c r="HO248" s="7"/>
      <c r="HP248" s="7"/>
      <c r="HQ248" s="7"/>
      <c r="HR248" s="7"/>
      <c r="HS248" s="7"/>
      <c r="HT248" s="7"/>
      <c r="HU248" s="7"/>
      <c r="HV248" s="7"/>
      <c r="HW248" s="7"/>
      <c r="HX248" s="7"/>
      <c r="HY248" s="7"/>
      <c r="HZ248" s="7"/>
      <c r="IA248" s="7"/>
      <c r="IB248" s="7"/>
      <c r="IC248" s="7"/>
      <c r="ID248" s="7"/>
      <c r="IE248" s="7"/>
      <c r="IF248" s="7"/>
      <c r="IG248" s="7"/>
      <c r="IH248" s="7"/>
      <c r="II248" s="7"/>
      <c r="IJ248" s="7"/>
      <c r="IK248" s="7"/>
      <c r="IL248" s="7"/>
      <c r="IM248" s="7"/>
      <c r="IN248" s="7"/>
      <c r="IO248" s="7"/>
      <c r="IP248" s="7"/>
      <c r="IQ248" s="7"/>
      <c r="IR248" s="7"/>
      <c r="IS248" s="7"/>
      <c r="IT248" s="7"/>
      <c r="IU248" s="7"/>
      <c r="IV248" s="7"/>
      <c r="IW248" s="7"/>
      <c r="IX248" s="7"/>
      <c r="JA248" s="113"/>
      <c r="JB248" s="113"/>
      <c r="JC248" s="113"/>
      <c r="JD248" s="66">
        <f>SUM((TEXT(JA248,"[M]")/60)*'Income Person-hours'!$D$3,(TEXT(JB248,"[M]")/60)*'Income Person-hours'!$D$4,(TEXT(JC248,"[M]")/60)*'Income Person-hours'!$D$5)</f>
        <v>0</v>
      </c>
    </row>
    <row r="251" spans="1:264" ht="131.25">
      <c r="B251" s="294" t="s">
        <v>169</v>
      </c>
    </row>
  </sheetData>
  <sheetProtection selectLockedCells="1"/>
  <autoFilter ref="A8:Q248">
    <filterColumn colId="13">
      <filters>
        <filter val="1"/>
        <filter val="10"/>
        <filter val="121"/>
        <filter val="13"/>
        <filter val="15"/>
        <filter val="2"/>
        <filter val="20"/>
        <filter val="24"/>
        <filter val="3"/>
        <filter val="30"/>
        <filter val="4"/>
        <filter val="42"/>
        <filter val="5"/>
        <filter val="54"/>
        <filter val="64"/>
        <filter val="66"/>
        <filter val="7"/>
        <filter val="8"/>
      </filters>
    </filterColumn>
  </autoFilter>
  <mergeCells count="50">
    <mergeCell ref="C5:H5"/>
    <mergeCell ref="C2:F2"/>
    <mergeCell ref="IE6:II6"/>
    <mergeCell ref="IJ6:IN6"/>
    <mergeCell ref="IO6:IS6"/>
    <mergeCell ref="CK6:CO6"/>
    <mergeCell ref="CP6:CT6"/>
    <mergeCell ref="CU6:CY6"/>
    <mergeCell ref="FH6:FL6"/>
    <mergeCell ref="DE6:DI6"/>
    <mergeCell ref="DJ6:DN6"/>
    <mergeCell ref="DO6:DS6"/>
    <mergeCell ref="DT6:DX6"/>
    <mergeCell ref="DY6:EC6"/>
    <mergeCell ref="ED6:EH6"/>
    <mergeCell ref="EI6:EM6"/>
    <mergeCell ref="IT6:IX6"/>
    <mergeCell ref="S6:W6"/>
    <mergeCell ref="X6:AB6"/>
    <mergeCell ref="AC6:AG6"/>
    <mergeCell ref="AH6:AL6"/>
    <mergeCell ref="AM6:AQ6"/>
    <mergeCell ref="AR6:AV6"/>
    <mergeCell ref="CZ6:DD6"/>
    <mergeCell ref="AW6:BA6"/>
    <mergeCell ref="BB6:BF6"/>
    <mergeCell ref="BG6:BK6"/>
    <mergeCell ref="BL6:BP6"/>
    <mergeCell ref="BQ6:BU6"/>
    <mergeCell ref="BV6:BZ6"/>
    <mergeCell ref="CA6:CE6"/>
    <mergeCell ref="CF6:CJ6"/>
    <mergeCell ref="EN6:ER6"/>
    <mergeCell ref="ES6:EW6"/>
    <mergeCell ref="EX6:FB6"/>
    <mergeCell ref="FC6:FG6"/>
    <mergeCell ref="HU6:HY6"/>
    <mergeCell ref="FM6:FQ6"/>
    <mergeCell ref="FR6:FV6"/>
    <mergeCell ref="FW6:GA6"/>
    <mergeCell ref="GB6:GF6"/>
    <mergeCell ref="GG6:GK6"/>
    <mergeCell ref="GL6:GP6"/>
    <mergeCell ref="HZ6:ID6"/>
    <mergeCell ref="GQ6:GU6"/>
    <mergeCell ref="GV6:GZ6"/>
    <mergeCell ref="HA6:HE6"/>
    <mergeCell ref="HF6:HJ6"/>
    <mergeCell ref="HK6:HO6"/>
    <mergeCell ref="HP6:HT6"/>
  </mergeCells>
  <phoneticPr fontId="2" type="noConversion"/>
  <conditionalFormatting sqref="S10:IX33 P139:IX139 P161:IX161 S96:IX160 S162:IX182 P183:IX183 S184:IX204 P205:IX205 S206:IX226 P227:IX227 S228:IX248 S36:IX94">
    <cfRule type="expression" dxfId="25" priority="190" stopIfTrue="1">
      <formula>P$4=$D$3</formula>
    </cfRule>
    <cfRule type="expression" dxfId="24" priority="191" stopIfTrue="1">
      <formula>AND(P$4&gt;=$E10,P$4&lt;$P10)</formula>
    </cfRule>
    <cfRule type="expression" dxfId="23" priority="192" stopIfTrue="1">
      <formula>AND(P$4&gt;=$E10,P$4&lt;=$G10)</formula>
    </cfRule>
  </conditionalFormatting>
  <conditionalFormatting sqref="S9:IX9 S35:IX35 R57:IW57 S95:IX95 S117:IX117 P139:IX139 P161:IX161 P183:IX183 P205:IX205 P227:IX227">
    <cfRule type="expression" dxfId="22" priority="208" stopIfTrue="1">
      <formula>P$4=$D$3</formula>
    </cfRule>
    <cfRule type="expression" dxfId="21" priority="209" stopIfTrue="1">
      <formula>AND(P$4&gt;=$E9,P$4&lt;$P9)</formula>
    </cfRule>
    <cfRule type="expression" dxfId="20" priority="210" stopIfTrue="1">
      <formula>AND(P$4&gt;=$E9,P$4&lt;=$G9)</formula>
    </cfRule>
  </conditionalFormatting>
  <conditionalFormatting sqref="S8:IX8">
    <cfRule type="expression" dxfId="19" priority="253">
      <formula>S$4=$D$3</formula>
    </cfRule>
    <cfRule type="expression" dxfId="18" priority="254">
      <formula>AND(S$4&gt;=$E8,S$4&lt;$P8)</formula>
    </cfRule>
    <cfRule type="expression" dxfId="17" priority="255">
      <formula>AND(S$4&gt;=$E8,S$4&lt;=$G8)</formula>
    </cfRule>
  </conditionalFormatting>
  <conditionalFormatting sqref="O34:IR34">
    <cfRule type="expression" dxfId="16" priority="1" stopIfTrue="1">
      <formula>O$4=$D$3</formula>
    </cfRule>
    <cfRule type="expression" dxfId="15" priority="2" stopIfTrue="1">
      <formula>AND(O$4&gt;=$E34,O$4&lt;$P34)</formula>
    </cfRule>
    <cfRule type="expression" dxfId="14" priority="3" stopIfTrue="1">
      <formula>AND(O$4&gt;=$E34,O$4&lt;=$G34)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7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print="0" autoPict="0">
                <anchor moveWithCells="1">
                  <from>
                    <xdr:col>17</xdr:col>
                    <xdr:colOff>171450</xdr:colOff>
                    <xdr:row>3</xdr:row>
                    <xdr:rowOff>209550</xdr:rowOff>
                  </from>
                  <to>
                    <xdr:col>132</xdr:col>
                    <xdr:colOff>0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2"/>
  <dimension ref="A1:N17"/>
  <sheetViews>
    <sheetView rightToLeft="1" workbookViewId="0">
      <selection activeCell="F5" sqref="F5"/>
    </sheetView>
  </sheetViews>
  <sheetFormatPr defaultColWidth="9.140625" defaultRowHeight="14.25"/>
  <cols>
    <col min="1" max="1" width="8" style="31" bestFit="1" customWidth="1"/>
    <col min="2" max="2" width="18.5703125" style="31" bestFit="1" customWidth="1"/>
    <col min="3" max="3" width="12.140625" style="32" bestFit="1" customWidth="1"/>
    <col min="4" max="4" width="17.5703125" style="42" bestFit="1" customWidth="1"/>
    <col min="5" max="5" width="5.42578125" style="31" bestFit="1" customWidth="1"/>
    <col min="6" max="6" width="17.5703125" style="31" bestFit="1" customWidth="1"/>
    <col min="7" max="7" width="21.140625" style="68" bestFit="1" customWidth="1"/>
    <col min="8" max="8" width="9.140625" style="56"/>
    <col min="9" max="9" width="14.85546875" style="56" bestFit="1" customWidth="1"/>
    <col min="10" max="16384" width="9.140625" style="31"/>
  </cols>
  <sheetData>
    <row r="1" spans="1:14">
      <c r="A1" s="365" t="str">
        <f>CONCATENATE("جدول تعرفه هزینه های کارشناسی مطابق قرارداد ",GanttChart!B8)</f>
        <v>جدول تعرفه هزینه های کارشناسی مطابق قرارداد طراحی و پیاده سازی پورتال اینترنتی و زیر پورتال های بیمه سامان</v>
      </c>
      <c r="B1" s="365"/>
      <c r="C1" s="365"/>
      <c r="D1" s="365"/>
      <c r="E1" s="365"/>
      <c r="F1" s="365"/>
      <c r="G1" s="365"/>
    </row>
    <row r="2" spans="1:14">
      <c r="A2" s="52" t="s">
        <v>46</v>
      </c>
      <c r="B2" s="373" t="s">
        <v>45</v>
      </c>
      <c r="C2" s="374"/>
      <c r="D2" s="375" t="s">
        <v>47</v>
      </c>
      <c r="E2" s="376"/>
      <c r="F2" s="54" t="s">
        <v>71</v>
      </c>
      <c r="G2" s="52" t="s">
        <v>62</v>
      </c>
    </row>
    <row r="3" spans="1:14">
      <c r="A3" s="52">
        <v>1</v>
      </c>
      <c r="B3" s="373" t="s">
        <v>48</v>
      </c>
      <c r="C3" s="374"/>
      <c r="D3" s="377">
        <v>1200000</v>
      </c>
      <c r="E3" s="378"/>
      <c r="F3" s="202">
        <v>137600000</v>
      </c>
      <c r="G3" s="72">
        <f>D3*128</f>
        <v>153600000</v>
      </c>
    </row>
    <row r="4" spans="1:14">
      <c r="A4" s="52">
        <v>2</v>
      </c>
      <c r="B4" s="373" t="s">
        <v>49</v>
      </c>
      <c r="C4" s="374"/>
      <c r="D4" s="377">
        <v>916000</v>
      </c>
      <c r="E4" s="378"/>
      <c r="F4" s="202">
        <v>115200000</v>
      </c>
      <c r="G4" s="72">
        <f>D4*128</f>
        <v>117248000</v>
      </c>
    </row>
    <row r="5" spans="1:14">
      <c r="A5" s="52">
        <v>3</v>
      </c>
      <c r="B5" s="373" t="s">
        <v>50</v>
      </c>
      <c r="C5" s="374"/>
      <c r="D5" s="377">
        <v>555000</v>
      </c>
      <c r="E5" s="378"/>
      <c r="F5" s="202">
        <v>87900000</v>
      </c>
      <c r="G5" s="72">
        <f>D5*128</f>
        <v>71040000</v>
      </c>
    </row>
    <row r="7" spans="1:14">
      <c r="A7" s="366" t="str">
        <f>CONCATENATE("گزارش مدیریتی ",GanttChart!B8)</f>
        <v>گزارش مدیریتی طراحی و پیاده سازی پورتال اینترنتی و زیر پورتال های بیمه سامان</v>
      </c>
      <c r="B7" s="366"/>
      <c r="C7" s="366"/>
      <c r="D7" s="366"/>
      <c r="E7" s="366"/>
      <c r="F7" s="366"/>
      <c r="G7" s="366"/>
    </row>
    <row r="8" spans="1:14">
      <c r="A8" s="367" t="s">
        <v>52</v>
      </c>
      <c r="B8" s="368"/>
      <c r="C8" s="49" t="s">
        <v>53</v>
      </c>
      <c r="D8" s="95" t="str">
        <f>D2</f>
        <v>هزینه نفر ساعت</v>
      </c>
      <c r="E8" s="45" t="s">
        <v>54</v>
      </c>
      <c r="F8" s="96" t="str">
        <f>F2</f>
        <v>هزینه نفر ماه (قرارداد)</v>
      </c>
      <c r="G8" s="73" t="str">
        <f>G2</f>
        <v>هزینه نفر ماه (ماه * 128)</v>
      </c>
      <c r="H8" s="55"/>
      <c r="I8" s="55"/>
      <c r="J8" s="22"/>
      <c r="M8" s="43"/>
      <c r="N8" s="13"/>
    </row>
    <row r="9" spans="1:14">
      <c r="A9" s="48">
        <v>1</v>
      </c>
      <c r="B9" s="49" t="str">
        <f>VLOOKUP(A9,A2:D5,2,FALSE)</f>
        <v>مدیریت پروژه</v>
      </c>
      <c r="C9" s="46">
        <f>SUM(GanttChart!JA:JA)</f>
        <v>0</v>
      </c>
      <c r="D9" s="50">
        <f>(TEXT(C9,"[M]")/60)*VLOOKUP(A9,'Income Person-hours'!$A$2:$G$5,4,FALSE)</f>
        <v>0</v>
      </c>
      <c r="E9" s="47">
        <f>ROUNDUP((TEXT(C9,"[m]")/60)/160,1)</f>
        <v>0</v>
      </c>
      <c r="F9" s="51">
        <f>VLOOKUP(A9,'Income Person-hours'!$A$2:$G$5,6,FALSE)*E9</f>
        <v>0</v>
      </c>
      <c r="G9" s="70">
        <f>VLOOKUP(A9,'Income Person-hours'!$A$2:$G$5,7,FALSE)*E9</f>
        <v>0</v>
      </c>
      <c r="H9" s="55"/>
      <c r="I9" s="55"/>
      <c r="J9" s="22"/>
      <c r="M9" s="44"/>
      <c r="N9" s="44"/>
    </row>
    <row r="10" spans="1:14">
      <c r="A10" s="48">
        <v>2</v>
      </c>
      <c r="B10" s="49" t="str">
        <f>VLOOKUP(A10,A3:D6,2,FALSE)</f>
        <v>کارشناس ارشد تحلیل</v>
      </c>
      <c r="C10" s="46">
        <f>SUM(GanttChart!JB:JB)</f>
        <v>0</v>
      </c>
      <c r="D10" s="50">
        <f>(TEXT(C10,"[M]")/60)*VLOOKUP(A10,'Income Person-hours'!$A$2:$G$5,4,FALSE)</f>
        <v>0</v>
      </c>
      <c r="E10" s="47">
        <f>ROUNDUP((TEXT(C10,"[m]")/60)/160,1)</f>
        <v>0</v>
      </c>
      <c r="F10" s="51">
        <f>VLOOKUP(A10,'Income Person-hours'!$A$2:$G$5,6,FALSE)*E10</f>
        <v>0</v>
      </c>
      <c r="G10" s="70">
        <f>VLOOKUP(A10,'Income Person-hours'!$A$2:$G$5,7,FALSE)*E10</f>
        <v>0</v>
      </c>
      <c r="H10" s="55"/>
      <c r="I10" s="97"/>
      <c r="J10" s="22"/>
      <c r="M10" s="44"/>
      <c r="N10" s="44"/>
    </row>
    <row r="11" spans="1:14">
      <c r="A11" s="48">
        <v>3</v>
      </c>
      <c r="B11" s="49" t="str">
        <f>VLOOKUP(A11,A4:D8,2,FALSE)</f>
        <v>کارشناس توسعه و پیاده سازی</v>
      </c>
      <c r="C11" s="46">
        <f>SUM(GanttChart!JC:JC)</f>
        <v>0</v>
      </c>
      <c r="D11" s="50">
        <f>(TEXT(C11,"[M]")/60)*VLOOKUP(A11,'Income Person-hours'!$A$2:$G$5,4,FALSE)</f>
        <v>0</v>
      </c>
      <c r="E11" s="47">
        <f>ROUNDUP((TEXT(C11,"[m]")/60)/160,1)</f>
        <v>0</v>
      </c>
      <c r="F11" s="51">
        <f>VLOOKUP(A11,'Income Person-hours'!$A$2:$G$5,6,FALSE)*E11</f>
        <v>0</v>
      </c>
      <c r="G11" s="70">
        <f>VLOOKUP(A11,'Income Person-hours'!$A$2:$G$5,7,FALSE)*E11</f>
        <v>0</v>
      </c>
      <c r="H11" s="57"/>
      <c r="I11" s="55"/>
      <c r="J11" s="22"/>
      <c r="M11" s="44"/>
      <c r="N11" s="44"/>
    </row>
    <row r="12" spans="1:14" ht="15">
      <c r="A12" s="369" t="s">
        <v>51</v>
      </c>
      <c r="B12" s="370"/>
      <c r="C12" s="60">
        <f>SUM(C9:C11)</f>
        <v>0</v>
      </c>
      <c r="D12" s="61">
        <f>SUM(D9:D11)</f>
        <v>0</v>
      </c>
      <c r="E12" s="62">
        <f>SUM(E9:E11)</f>
        <v>0</v>
      </c>
      <c r="F12" s="61">
        <f>SUM(F9:F11)</f>
        <v>0</v>
      </c>
      <c r="G12" s="71">
        <f>SUM(G9:G11)</f>
        <v>0</v>
      </c>
      <c r="H12" s="55"/>
      <c r="I12" s="55"/>
      <c r="J12" s="22"/>
      <c r="M12" s="43"/>
      <c r="N12" s="43"/>
    </row>
    <row r="13" spans="1:14" ht="15">
      <c r="A13" s="371" t="s">
        <v>57</v>
      </c>
      <c r="B13" s="371"/>
      <c r="C13" s="63" t="str">
        <f>GanttChart!D8</f>
        <v>1398/06/31</v>
      </c>
      <c r="D13" s="372" t="s">
        <v>58</v>
      </c>
      <c r="E13" s="372"/>
      <c r="F13" s="64" t="str">
        <f>GanttChart!F8</f>
        <v>1398/10/02</v>
      </c>
      <c r="G13" s="69" t="s">
        <v>63</v>
      </c>
    </row>
    <row r="14" spans="1:14" ht="15">
      <c r="A14" s="52" t="s">
        <v>59</v>
      </c>
      <c r="B14" s="65" t="str">
        <f>CONCATENATE(GanttChart!L8," روز ")</f>
        <v xml:space="preserve">93 روز </v>
      </c>
      <c r="C14" s="53" t="s">
        <v>60</v>
      </c>
      <c r="D14" s="65" t="str">
        <f>CONCATENATE(GanttChart!N8," روز کاری")</f>
        <v>76 روز کاری</v>
      </c>
      <c r="E14" s="52" t="s">
        <v>61</v>
      </c>
      <c r="F14" s="65" t="str">
        <f>CONCATENATE(ROUND(GanttChart!L8/7,0)," هفته")</f>
        <v>13 هفته</v>
      </c>
      <c r="G14" s="65" t="str">
        <f>CONCATENATE(ROUNDUP((TEXT(C12,"[M]")/60)/6,0)," نفر روز")</f>
        <v>0 نفر روز</v>
      </c>
    </row>
    <row r="15" spans="1:14">
      <c r="C15" s="98"/>
    </row>
    <row r="17" spans="2:2" ht="15">
      <c r="B17" s="67"/>
    </row>
  </sheetData>
  <sheetProtection algorithmName="SHA-512" hashValue="xC+XAc0KzQX2S6qxX0/uFizPeqlilPsr/7UJy/IsLlouBKUJxU+7ZdKksEJeQObbS0B9joNmXzNKWhdF9gDx+Q==" saltValue="j1ElNeDbcqLU4scxnpKBiA==" spinCount="100000" sheet="1" objects="1" scenarios="1" selectLockedCells="1"/>
  <mergeCells count="14">
    <mergeCell ref="A1:G1"/>
    <mergeCell ref="A7:G7"/>
    <mergeCell ref="A8:B8"/>
    <mergeCell ref="A12:B12"/>
    <mergeCell ref="A13:B13"/>
    <mergeCell ref="D13:E13"/>
    <mergeCell ref="B2:C2"/>
    <mergeCell ref="B3:C3"/>
    <mergeCell ref="B4:C4"/>
    <mergeCell ref="B5:C5"/>
    <mergeCell ref="D2:E2"/>
    <mergeCell ref="D3:E3"/>
    <mergeCell ref="D4:E4"/>
    <mergeCell ref="D5:E5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3" filterMode="1"/>
  <dimension ref="A1:O180"/>
  <sheetViews>
    <sheetView rightToLeft="1" zoomScaleNormal="100" workbookViewId="0">
      <selection activeCell="H6" sqref="H6"/>
    </sheetView>
  </sheetViews>
  <sheetFormatPr defaultRowHeight="12.75"/>
  <cols>
    <col min="2" max="2" width="1.42578125" customWidth="1"/>
    <col min="3" max="3" width="41.7109375" style="75" customWidth="1"/>
    <col min="4" max="4" width="6.42578125" style="76" customWidth="1"/>
    <col min="5" max="5" width="7" style="76" customWidth="1"/>
    <col min="6" max="6" width="6.85546875" style="76" customWidth="1"/>
    <col min="7" max="7" width="19.28515625" style="77" customWidth="1"/>
    <col min="8" max="8" width="6" style="78" customWidth="1"/>
    <col min="9" max="9" width="19.28515625" customWidth="1"/>
    <col min="12" max="12" width="15.140625" bestFit="1" customWidth="1"/>
  </cols>
  <sheetData>
    <row r="1" spans="1:15" ht="15">
      <c r="B1" s="379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و زیر پورتال های بیمه سامان</v>
      </c>
      <c r="C1" s="379"/>
      <c r="D1" s="380"/>
      <c r="E1" s="380"/>
      <c r="F1" s="380"/>
      <c r="G1" s="379"/>
      <c r="H1" s="379"/>
      <c r="I1" s="379"/>
    </row>
    <row r="2" spans="1:15">
      <c r="A2" s="381" t="s">
        <v>0</v>
      </c>
      <c r="B2" s="382"/>
      <c r="C2" s="384" t="s">
        <v>64</v>
      </c>
      <c r="D2" s="386" t="s">
        <v>65</v>
      </c>
      <c r="E2" s="386"/>
      <c r="F2" s="386"/>
      <c r="G2" s="387" t="s">
        <v>66</v>
      </c>
      <c r="H2" s="389" t="s">
        <v>70</v>
      </c>
      <c r="I2" s="391" t="s">
        <v>67</v>
      </c>
      <c r="J2" s="6"/>
      <c r="K2" s="6"/>
      <c r="L2" s="6"/>
      <c r="M2" s="6"/>
      <c r="N2" s="6"/>
      <c r="O2" s="6"/>
    </row>
    <row r="3" spans="1:15" ht="64.5">
      <c r="A3" s="381"/>
      <c r="B3" s="383"/>
      <c r="C3" s="385"/>
      <c r="D3" s="83" t="s">
        <v>7</v>
      </c>
      <c r="E3" s="83" t="s">
        <v>55</v>
      </c>
      <c r="F3" s="83" t="s">
        <v>56</v>
      </c>
      <c r="G3" s="388"/>
      <c r="H3" s="390"/>
      <c r="I3" s="392"/>
      <c r="J3" s="6"/>
      <c r="K3" s="6"/>
      <c r="L3" s="6"/>
      <c r="M3" s="6"/>
      <c r="N3" s="6"/>
      <c r="O3" s="6"/>
    </row>
    <row r="4" spans="1:15" ht="14.25" hidden="1">
      <c r="A4" s="74">
        <v>1</v>
      </c>
      <c r="B4" s="74"/>
      <c r="C4" s="79" t="str">
        <f>IFERROR(VLOOKUP($A4,GanttChart!$A:$JD,2,FALSE),"خطا")</f>
        <v>مدیریت، برنامه ریزی مالی و کنترل پیشرفت پروژه</v>
      </c>
      <c r="D4" s="80">
        <f>IFERROR(VLOOKUP($A4,GanttChart!$A:$JD,261,FALSE),0)</f>
        <v>0</v>
      </c>
      <c r="E4" s="80">
        <f>IFERROR(VLOOKUP($A4,GanttChart!$A:$JD,262,FALSE),0)</f>
        <v>0</v>
      </c>
      <c r="F4" s="80">
        <f>IFERROR(VLOOKUP($A4,GanttChart!$A:$JD,263,FALSE),0)</f>
        <v>0</v>
      </c>
      <c r="G4" s="81">
        <f>IFERROR(VLOOKUP($A4,GanttChart!$A:$JD,264,FALSE),0)</f>
        <v>0</v>
      </c>
      <c r="H4" s="203"/>
      <c r="I4" s="81">
        <f>G4-(H4*G4)</f>
        <v>0</v>
      </c>
      <c r="J4" s="6"/>
      <c r="K4" s="6"/>
      <c r="L4" s="6"/>
      <c r="M4" s="6"/>
      <c r="N4" s="6"/>
      <c r="O4" s="6"/>
    </row>
    <row r="5" spans="1:15" ht="14.25">
      <c r="A5" s="74">
        <v>1.1000000000000001</v>
      </c>
      <c r="B5" s="74"/>
      <c r="C5" s="79" t="str">
        <f>IFERROR(VLOOKUP($A5,GanttChart!$A:$JD,2,FALSE),"خطا")</f>
        <v>تهيه برنامه زمانبندي msp  و گانت چارت اجرايي پروژه</v>
      </c>
      <c r="D5" s="80">
        <f>IFERROR(VLOOKUP($A5,GanttChart!$A:$JD,261,FALSE),0)</f>
        <v>0</v>
      </c>
      <c r="E5" s="80">
        <f>IFERROR(VLOOKUP($A5,GanttChart!$A:$JD,262,FALSE),0)</f>
        <v>0</v>
      </c>
      <c r="F5" s="80">
        <f>IFERROR(VLOOKUP($A5,GanttChart!$A:$JD,263,FALSE),0)</f>
        <v>0</v>
      </c>
      <c r="G5" s="81">
        <f>IFERROR(VLOOKUP($A5,GanttChart!$A:$JD,264,FALSE),0)</f>
        <v>0</v>
      </c>
      <c r="H5" s="203"/>
      <c r="I5" s="81">
        <f t="shared" ref="I5:I160" si="0">G5-(H5*G5)</f>
        <v>0</v>
      </c>
      <c r="J5" s="6"/>
      <c r="K5" s="6"/>
      <c r="L5" s="6"/>
      <c r="M5" s="6"/>
      <c r="N5" s="6"/>
      <c r="O5" s="6"/>
    </row>
    <row r="6" spans="1:15" ht="14.25">
      <c r="A6" s="74">
        <v>1.2</v>
      </c>
      <c r="B6" s="74"/>
      <c r="C6" s="79" t="str">
        <f>IFERROR(VLOOKUP($A6,GanttChart!$A:$JD,2,FALSE),"خطا")</f>
        <v>معرفی مدیر پروژه پیمانکار به کارفرما پس از ابلاغ قرارداد</v>
      </c>
      <c r="D6" s="80">
        <f>IFERROR(VLOOKUP($A6,GanttChart!$A:$JD,261,FALSE),0)</f>
        <v>0</v>
      </c>
      <c r="E6" s="80">
        <f>IFERROR(VLOOKUP($A6,GanttChart!$A:$JD,262,FALSE),0)</f>
        <v>0</v>
      </c>
      <c r="F6" s="80">
        <f>IFERROR(VLOOKUP($A6,GanttChart!$A:$JD,263,FALSE),0)</f>
        <v>0</v>
      </c>
      <c r="G6" s="81">
        <f>IFERROR(VLOOKUP($A6,GanttChart!$A:$JD,264,FALSE),0)</f>
        <v>0</v>
      </c>
      <c r="H6" s="203"/>
      <c r="I6" s="81">
        <f t="shared" si="0"/>
        <v>0</v>
      </c>
      <c r="J6" s="6"/>
      <c r="K6" s="6"/>
      <c r="L6" s="6"/>
      <c r="M6" s="6"/>
      <c r="N6" s="6"/>
      <c r="O6" s="6"/>
    </row>
    <row r="7" spans="1:15" ht="14.25">
      <c r="A7" s="74">
        <v>1.3</v>
      </c>
      <c r="B7" s="74"/>
      <c r="C7" s="79" t="str">
        <f>IFERROR(VLOOKUP($A7,GanttChart!$A:$JD,2,FALSE),"خطا")</f>
        <v>معرفی مدیر پروژه کارفرما به پیمانکار</v>
      </c>
      <c r="D7" s="80">
        <f>IFERROR(VLOOKUP($A7,GanttChart!$A:$JD,261,FALSE),0)</f>
        <v>0</v>
      </c>
      <c r="E7" s="80">
        <f>IFERROR(VLOOKUP($A7,GanttChart!$A:$JD,262,FALSE),0)</f>
        <v>0</v>
      </c>
      <c r="F7" s="80">
        <f>IFERROR(VLOOKUP($A7,GanttChart!$A:$JD,263,FALSE),0)</f>
        <v>0</v>
      </c>
      <c r="G7" s="81">
        <f>IFERROR(VLOOKUP($A7,GanttChart!$A:$JD,264,FALSE),0)</f>
        <v>0</v>
      </c>
      <c r="H7" s="203"/>
      <c r="I7" s="81">
        <f t="shared" si="0"/>
        <v>0</v>
      </c>
      <c r="J7" s="6"/>
      <c r="K7" s="6"/>
      <c r="L7" s="6"/>
      <c r="M7" s="6"/>
      <c r="N7" s="6"/>
      <c r="O7" s="6"/>
    </row>
    <row r="8" spans="1:15" ht="14.25">
      <c r="A8" s="74">
        <v>1.4</v>
      </c>
      <c r="B8" s="74"/>
      <c r="C8" s="79" t="str">
        <f>IFERROR(VLOOKUP($A8,GanttChart!$A:$JD,2,FALSE),"خطا")</f>
        <v>جلسه اول پروژه (معارفه و تحویل زیر ساخت نرم افزاری)</v>
      </c>
      <c r="D8" s="80">
        <f>IFERROR(VLOOKUP($A8,GanttChart!$A:$JD,261,FALSE),0)</f>
        <v>0</v>
      </c>
      <c r="E8" s="80">
        <f>IFERROR(VLOOKUP($A8,GanttChart!$A:$JD,262,FALSE),0)</f>
        <v>0</v>
      </c>
      <c r="F8" s="80">
        <f>IFERROR(VLOOKUP($A8,GanttChart!$A:$JD,263,FALSE),0)</f>
        <v>0</v>
      </c>
      <c r="G8" s="81">
        <f>IFERROR(VLOOKUP($A8,GanttChart!$A:$JD,264,FALSE),0)</f>
        <v>0</v>
      </c>
      <c r="H8" s="203"/>
      <c r="I8" s="81">
        <f t="shared" si="0"/>
        <v>0</v>
      </c>
      <c r="J8" s="6"/>
      <c r="K8" s="6"/>
      <c r="L8" s="6"/>
      <c r="M8" s="6"/>
      <c r="N8" s="6"/>
      <c r="O8" s="6"/>
    </row>
    <row r="9" spans="1:15" ht="14.25">
      <c r="A9" s="74">
        <v>1.5</v>
      </c>
      <c r="B9" s="74"/>
      <c r="C9" s="79" t="str">
        <f>IFERROR(VLOOKUP($A9,GanttChart!$A:$JD,2,FALSE),"خطا")</f>
        <v>جلسه دوم پروژه (بررسی واسط کاربری)</v>
      </c>
      <c r="D9" s="80">
        <f>IFERROR(VLOOKUP($A9,GanttChart!$A:$JD,261,FALSE),0)</f>
        <v>0</v>
      </c>
      <c r="E9" s="80">
        <f>IFERROR(VLOOKUP($A9,GanttChart!$A:$JD,262,FALSE),0)</f>
        <v>0</v>
      </c>
      <c r="F9" s="80">
        <f>IFERROR(VLOOKUP($A9,GanttChart!$A:$JD,263,FALSE),0)</f>
        <v>0</v>
      </c>
      <c r="G9" s="81">
        <f>IFERROR(VLOOKUP($A9,GanttChart!$A:$JD,264,FALSE),0)</f>
        <v>0</v>
      </c>
      <c r="H9" s="203"/>
      <c r="I9" s="81">
        <f t="shared" si="0"/>
        <v>0</v>
      </c>
      <c r="J9" s="6"/>
      <c r="K9" s="6"/>
      <c r="L9" s="6"/>
      <c r="M9" s="6"/>
      <c r="N9" s="6"/>
      <c r="O9" s="6"/>
    </row>
    <row r="10" spans="1:15" ht="14.25">
      <c r="A10" s="74">
        <v>1.6</v>
      </c>
      <c r="B10" s="74"/>
      <c r="C10" s="79" t="str">
        <f>IFERROR(VLOOKUP($A10,GanttChart!$A:$JD,2,FALSE),"خطا")</f>
        <v>جلسه سوم (نهایی سازی واسط کاربری)</v>
      </c>
      <c r="D10" s="80">
        <f>IFERROR(VLOOKUP($A10,GanttChart!$A:$JD,261,FALSE),0)</f>
        <v>0</v>
      </c>
      <c r="E10" s="80">
        <f>IFERROR(VLOOKUP($A10,GanttChart!$A:$JD,262,FALSE),0)</f>
        <v>0</v>
      </c>
      <c r="F10" s="80">
        <f>IFERROR(VLOOKUP($A10,GanttChart!$A:$JD,263,FALSE),0)</f>
        <v>0</v>
      </c>
      <c r="G10" s="81">
        <f>IFERROR(VLOOKUP($A10,GanttChart!$A:$JD,264,FALSE),0)</f>
        <v>0</v>
      </c>
      <c r="H10" s="203"/>
      <c r="I10" s="81">
        <f t="shared" si="0"/>
        <v>0</v>
      </c>
      <c r="J10" s="6"/>
      <c r="K10" s="6"/>
      <c r="L10" s="6"/>
      <c r="M10" s="6"/>
      <c r="N10" s="6"/>
      <c r="O10" s="6"/>
    </row>
    <row r="11" spans="1:15" ht="14.25">
      <c r="A11" s="74">
        <v>1.7</v>
      </c>
      <c r="B11" s="74"/>
      <c r="C11" s="79" t="str">
        <f>IFERROR(VLOOKUP($A11,GanttChart!$A:$JD,2,FALSE),"خطا")</f>
        <v>جلسه چهارم (بررسی سامانه سهامداران)</v>
      </c>
      <c r="D11" s="80">
        <f>IFERROR(VLOOKUP($A11,GanttChart!$A:$JD,261,FALSE),0)</f>
        <v>0</v>
      </c>
      <c r="E11" s="80">
        <f>IFERROR(VLOOKUP($A11,GanttChart!$A:$JD,262,FALSE),0)</f>
        <v>0</v>
      </c>
      <c r="F11" s="80">
        <f>IFERROR(VLOOKUP($A11,GanttChart!$A:$JD,263,FALSE),0)</f>
        <v>0</v>
      </c>
      <c r="G11" s="81">
        <f>IFERROR(VLOOKUP($A11,GanttChart!$A:$JD,264,FALSE),0)</f>
        <v>0</v>
      </c>
      <c r="H11" s="203"/>
      <c r="I11" s="81">
        <f t="shared" si="0"/>
        <v>0</v>
      </c>
      <c r="J11" s="6"/>
      <c r="K11" s="6"/>
      <c r="L11" s="6"/>
      <c r="M11" s="6"/>
      <c r="N11" s="6"/>
      <c r="O11" s="6"/>
    </row>
    <row r="12" spans="1:15" ht="14.25">
      <c r="A12" s="74">
        <v>1.8</v>
      </c>
      <c r="B12" s="74"/>
      <c r="C12" s="79" t="str">
        <f>IFERROR(VLOOKUP($A12,GanttChart!$A:$JD,2,FALSE),"خطا")</f>
        <v>پرداخت پیش پرداخت قرارداد</v>
      </c>
      <c r="D12" s="80">
        <f>IFERROR(VLOOKUP($A12,GanttChart!$A:$JD,261,FALSE),0)</f>
        <v>0</v>
      </c>
      <c r="E12" s="80">
        <f>IFERROR(VLOOKUP($A12,GanttChart!$A:$JD,262,FALSE),0)</f>
        <v>0</v>
      </c>
      <c r="F12" s="80">
        <f>IFERROR(VLOOKUP($A12,GanttChart!$A:$JD,263,FALSE),0)</f>
        <v>0</v>
      </c>
      <c r="G12" s="81">
        <f>IFERROR(VLOOKUP($A12,GanttChart!$A:$JD,264,FALSE),0)</f>
        <v>0</v>
      </c>
      <c r="H12" s="203"/>
      <c r="I12" s="81">
        <f t="shared" si="0"/>
        <v>0</v>
      </c>
      <c r="J12" s="6"/>
      <c r="K12" s="6"/>
      <c r="L12" s="6"/>
      <c r="M12" s="6"/>
      <c r="N12" s="6"/>
      <c r="O12" s="6"/>
    </row>
    <row r="13" spans="1:15" ht="14.25" hidden="1">
      <c r="A13" s="74">
        <v>1.9</v>
      </c>
      <c r="B13" s="74"/>
      <c r="C13" s="79">
        <f>IFERROR(VLOOKUP($A13,GanttChart!$A:$JD,2,FALSE),"خطا")</f>
        <v>0</v>
      </c>
      <c r="D13" s="80">
        <f>IFERROR(VLOOKUP($A13,GanttChart!$A:$JD,261,FALSE),0)</f>
        <v>0</v>
      </c>
      <c r="E13" s="80">
        <f>IFERROR(VLOOKUP($A13,GanttChart!$A:$JD,262,FALSE),0)</f>
        <v>0</v>
      </c>
      <c r="F13" s="80">
        <f>IFERROR(VLOOKUP($A13,GanttChart!$A:$JD,263,FALSE),0)</f>
        <v>0</v>
      </c>
      <c r="G13" s="81">
        <f>IFERROR(VLOOKUP($A13,GanttChart!$A:$JD,264,FALSE),0)</f>
        <v>0</v>
      </c>
      <c r="H13" s="203"/>
      <c r="I13" s="81">
        <f t="shared" si="0"/>
        <v>0</v>
      </c>
      <c r="J13" s="6"/>
      <c r="K13" s="6"/>
      <c r="L13" s="6"/>
      <c r="M13" s="6"/>
      <c r="N13" s="6"/>
      <c r="O13" s="6"/>
    </row>
    <row r="14" spans="1:15" ht="14.25" hidden="1">
      <c r="A14" s="74">
        <v>1.1100000000000001</v>
      </c>
      <c r="B14" s="74"/>
      <c r="C14" s="79">
        <f>IFERROR(VLOOKUP($A14,GanttChart!$A:$JD,2,FALSE),"خطا")</f>
        <v>0</v>
      </c>
      <c r="D14" s="80">
        <f>IFERROR(VLOOKUP($A14,GanttChart!$A:$JD,261,FALSE),0)</f>
        <v>0</v>
      </c>
      <c r="E14" s="80">
        <f>IFERROR(VLOOKUP($A14,GanttChart!$A:$JD,262,FALSE),0)</f>
        <v>0</v>
      </c>
      <c r="F14" s="80">
        <f>IFERROR(VLOOKUP($A14,GanttChart!$A:$JD,263,FALSE),0)</f>
        <v>0</v>
      </c>
      <c r="G14" s="81">
        <f>IFERROR(VLOOKUP($A14,GanttChart!$A:$JD,264,FALSE),0)</f>
        <v>0</v>
      </c>
      <c r="H14" s="203"/>
      <c r="I14" s="81">
        <f t="shared" si="0"/>
        <v>0</v>
      </c>
      <c r="J14" s="6"/>
      <c r="K14" s="6"/>
      <c r="L14" s="6"/>
      <c r="M14" s="6"/>
      <c r="N14" s="6"/>
      <c r="O14" s="6"/>
    </row>
    <row r="15" spans="1:15" ht="14.25" hidden="1">
      <c r="A15" s="74">
        <v>1.1200000000000001</v>
      </c>
      <c r="B15" s="74"/>
      <c r="C15" s="79">
        <f>IFERROR(VLOOKUP($A15,GanttChart!$A:$JD,2,FALSE),"خطا")</f>
        <v>0</v>
      </c>
      <c r="D15" s="80">
        <f>IFERROR(VLOOKUP($A15,GanttChart!$A:$JD,261,FALSE),0)</f>
        <v>0</v>
      </c>
      <c r="E15" s="80">
        <f>IFERROR(VLOOKUP($A15,GanttChart!$A:$JD,262,FALSE),0)</f>
        <v>0</v>
      </c>
      <c r="F15" s="80">
        <f>IFERROR(VLOOKUP($A15,GanttChart!$A:$JD,263,FALSE),0)</f>
        <v>0</v>
      </c>
      <c r="G15" s="81">
        <f>IFERROR(VLOOKUP($A15,GanttChart!$A:$JD,264,FALSE),0)</f>
        <v>0</v>
      </c>
      <c r="H15" s="203"/>
      <c r="I15" s="81">
        <f t="shared" si="0"/>
        <v>0</v>
      </c>
      <c r="J15" s="6"/>
      <c r="K15" s="6"/>
      <c r="L15" s="6"/>
      <c r="M15" s="6"/>
      <c r="N15" s="6"/>
      <c r="O15" s="6"/>
    </row>
    <row r="16" spans="1:15" ht="14.25" hidden="1">
      <c r="A16" s="74">
        <v>1.1299999999999999</v>
      </c>
      <c r="B16" s="74"/>
      <c r="C16" s="79">
        <f>IFERROR(VLOOKUP($A16,GanttChart!$A:$JD,2,FALSE),"خطا")</f>
        <v>0</v>
      </c>
      <c r="D16" s="80">
        <f>IFERROR(VLOOKUP($A16,GanttChart!$A:$JD,261,FALSE),0)</f>
        <v>0</v>
      </c>
      <c r="E16" s="80">
        <f>IFERROR(VLOOKUP($A16,GanttChart!$A:$JD,262,FALSE),0)</f>
        <v>0</v>
      </c>
      <c r="F16" s="80">
        <f>IFERROR(VLOOKUP($A16,GanttChart!$A:$JD,263,FALSE),0)</f>
        <v>0</v>
      </c>
      <c r="G16" s="81">
        <f>IFERROR(VLOOKUP($A16,GanttChart!$A:$JD,264,FALSE),0)</f>
        <v>0</v>
      </c>
      <c r="H16" s="203"/>
      <c r="I16" s="81">
        <f t="shared" si="0"/>
        <v>0</v>
      </c>
      <c r="J16" s="6"/>
      <c r="K16" s="6"/>
      <c r="L16" s="6"/>
      <c r="M16" s="6"/>
      <c r="N16" s="6"/>
      <c r="O16" s="6"/>
    </row>
    <row r="17" spans="1:15" ht="14.25" hidden="1">
      <c r="A17" s="74">
        <v>1.1399999999999999</v>
      </c>
      <c r="B17" s="74"/>
      <c r="C17" s="79">
        <f>IFERROR(VLOOKUP($A17,GanttChart!$A:$JD,2,FALSE),"خطا")</f>
        <v>0</v>
      </c>
      <c r="D17" s="80">
        <f>IFERROR(VLOOKUP($A17,GanttChart!$A:$JD,261,FALSE),0)</f>
        <v>0</v>
      </c>
      <c r="E17" s="80">
        <f>IFERROR(VLOOKUP($A17,GanttChart!$A:$JD,262,FALSE),0)</f>
        <v>0</v>
      </c>
      <c r="F17" s="80">
        <f>IFERROR(VLOOKUP($A17,GanttChart!$A:$JD,263,FALSE),0)</f>
        <v>0</v>
      </c>
      <c r="G17" s="81">
        <f>IFERROR(VLOOKUP($A17,GanttChart!$A:$JD,264,FALSE),0)</f>
        <v>0</v>
      </c>
      <c r="H17" s="203"/>
      <c r="I17" s="81">
        <f t="shared" si="0"/>
        <v>0</v>
      </c>
      <c r="J17" s="6"/>
      <c r="K17" s="6"/>
      <c r="L17" s="6"/>
      <c r="M17" s="6"/>
      <c r="N17" s="6"/>
      <c r="O17" s="6"/>
    </row>
    <row r="18" spans="1:15" ht="14.25" hidden="1">
      <c r="A18" s="74">
        <v>1.1499999999999999</v>
      </c>
      <c r="B18" s="74"/>
      <c r="C18" s="79">
        <f>IFERROR(VLOOKUP($A18,GanttChart!$A:$JD,2,FALSE),"خطا")</f>
        <v>0</v>
      </c>
      <c r="D18" s="80">
        <f>IFERROR(VLOOKUP($A18,GanttChart!$A:$JD,261,FALSE),0)</f>
        <v>0</v>
      </c>
      <c r="E18" s="80">
        <f>IFERROR(VLOOKUP($A18,GanttChart!$A:$JD,262,FALSE),0)</f>
        <v>0</v>
      </c>
      <c r="F18" s="80">
        <f>IFERROR(VLOOKUP($A18,GanttChart!$A:$JD,263,FALSE),0)</f>
        <v>0</v>
      </c>
      <c r="G18" s="81">
        <f>IFERROR(VLOOKUP($A18,GanttChart!$A:$JD,264,FALSE),0)</f>
        <v>0</v>
      </c>
      <c r="H18" s="203"/>
      <c r="I18" s="81">
        <f t="shared" si="0"/>
        <v>0</v>
      </c>
      <c r="J18" s="6"/>
      <c r="K18" s="6"/>
      <c r="L18" s="6"/>
      <c r="M18" s="6"/>
      <c r="N18" s="6"/>
      <c r="O18" s="6"/>
    </row>
    <row r="19" spans="1:15" ht="14.25" hidden="1">
      <c r="A19" s="74">
        <v>1.1599999999999999</v>
      </c>
      <c r="B19" s="74"/>
      <c r="C19" s="79">
        <f>IFERROR(VLOOKUP($A19,GanttChart!$A:$JD,2,FALSE),"خطا")</f>
        <v>0</v>
      </c>
      <c r="D19" s="80">
        <f>IFERROR(VLOOKUP($A19,GanttChart!$A:$JD,261,FALSE),0)</f>
        <v>0</v>
      </c>
      <c r="E19" s="80">
        <f>IFERROR(VLOOKUP($A19,GanttChart!$A:$JD,262,FALSE),0)</f>
        <v>0</v>
      </c>
      <c r="F19" s="80">
        <f>IFERROR(VLOOKUP($A19,GanttChart!$A:$JD,263,FALSE),0)</f>
        <v>0</v>
      </c>
      <c r="G19" s="81">
        <f>IFERROR(VLOOKUP($A19,GanttChart!$A:$JD,264,FALSE),0)</f>
        <v>0</v>
      </c>
      <c r="H19" s="203"/>
      <c r="I19" s="81">
        <f t="shared" si="0"/>
        <v>0</v>
      </c>
      <c r="J19" s="6"/>
      <c r="K19" s="6"/>
      <c r="L19" s="6"/>
      <c r="M19" s="6"/>
      <c r="N19" s="6"/>
      <c r="O19" s="6"/>
    </row>
    <row r="20" spans="1:15" ht="14.25" hidden="1">
      <c r="A20" s="74">
        <v>1.17</v>
      </c>
      <c r="B20" s="74"/>
      <c r="C20" s="79">
        <f>IFERROR(VLOOKUP($A20,GanttChart!$A:$JD,2,FALSE),"خطا")</f>
        <v>0</v>
      </c>
      <c r="D20" s="80">
        <f>IFERROR(VLOOKUP($A20,GanttChart!$A:$JD,261,FALSE),0)</f>
        <v>0</v>
      </c>
      <c r="E20" s="80">
        <f>IFERROR(VLOOKUP($A20,GanttChart!$A:$JD,262,FALSE),0)</f>
        <v>0</v>
      </c>
      <c r="F20" s="80">
        <f>IFERROR(VLOOKUP($A20,GanttChart!$A:$JD,263,FALSE),0)</f>
        <v>0</v>
      </c>
      <c r="G20" s="81">
        <f>IFERROR(VLOOKUP($A20,GanttChart!$A:$JD,264,FALSE),0)</f>
        <v>0</v>
      </c>
      <c r="H20" s="203"/>
      <c r="I20" s="81">
        <f t="shared" si="0"/>
        <v>0</v>
      </c>
      <c r="J20" s="6"/>
      <c r="K20" s="6"/>
      <c r="L20" s="6"/>
      <c r="M20" s="6"/>
      <c r="N20" s="6"/>
      <c r="O20" s="6"/>
    </row>
    <row r="21" spans="1:15" ht="14.25" hidden="1">
      <c r="A21" s="74">
        <v>1.18</v>
      </c>
      <c r="B21" s="74"/>
      <c r="C21" s="79">
        <f>IFERROR(VLOOKUP($A21,GanttChart!$A:$JD,2,FALSE),"خطا")</f>
        <v>0</v>
      </c>
      <c r="D21" s="80">
        <f>IFERROR(VLOOKUP($A21,GanttChart!$A:$JD,261,FALSE),0)</f>
        <v>0</v>
      </c>
      <c r="E21" s="80">
        <f>IFERROR(VLOOKUP($A21,GanttChart!$A:$JD,262,FALSE),0)</f>
        <v>0</v>
      </c>
      <c r="F21" s="80">
        <f>IFERROR(VLOOKUP($A21,GanttChart!$A:$JD,263,FALSE),0)</f>
        <v>0</v>
      </c>
      <c r="G21" s="81">
        <f>IFERROR(VLOOKUP($A21,GanttChart!$A:$JD,264,FALSE),0)</f>
        <v>0</v>
      </c>
      <c r="H21" s="203"/>
      <c r="I21" s="81">
        <f t="shared" si="0"/>
        <v>0</v>
      </c>
      <c r="J21" s="6"/>
      <c r="K21" s="6"/>
      <c r="L21" s="6"/>
      <c r="M21" s="6"/>
      <c r="N21" s="6"/>
      <c r="O21" s="6"/>
    </row>
    <row r="22" spans="1:15" ht="14.25" hidden="1">
      <c r="A22" s="74">
        <v>1.19</v>
      </c>
      <c r="B22" s="74"/>
      <c r="C22" s="79">
        <f>IFERROR(VLOOKUP($A22,GanttChart!$A:$JD,2,FALSE),"خطا")</f>
        <v>0</v>
      </c>
      <c r="D22" s="80">
        <f>IFERROR(VLOOKUP($A22,GanttChart!$A:$JD,261,FALSE),0)</f>
        <v>0</v>
      </c>
      <c r="E22" s="80">
        <f>IFERROR(VLOOKUP($A22,GanttChart!$A:$JD,262,FALSE),0)</f>
        <v>0</v>
      </c>
      <c r="F22" s="80">
        <f>IFERROR(VLOOKUP($A22,GanttChart!$A:$JD,263,FALSE),0)</f>
        <v>0</v>
      </c>
      <c r="G22" s="81">
        <f>IFERROR(VLOOKUP($A22,GanttChart!$A:$JD,264,FALSE),0)</f>
        <v>0</v>
      </c>
      <c r="H22" s="203"/>
      <c r="I22" s="81">
        <f t="shared" si="0"/>
        <v>0</v>
      </c>
      <c r="J22" s="6"/>
      <c r="K22" s="6"/>
      <c r="L22" s="6"/>
      <c r="M22" s="6"/>
      <c r="N22" s="6"/>
      <c r="O22" s="6"/>
    </row>
    <row r="23" spans="1:15" ht="14.25" hidden="1">
      <c r="A23" s="74">
        <v>1.21</v>
      </c>
      <c r="B23" s="74"/>
      <c r="C23" s="79">
        <f>IFERROR(VLOOKUP($A23,GanttChart!$A:$JD,2,FALSE),"خطا")</f>
        <v>0</v>
      </c>
      <c r="D23" s="80">
        <f>IFERROR(VLOOKUP($A23,GanttChart!$A:$JD,261,FALSE),0)</f>
        <v>0</v>
      </c>
      <c r="E23" s="80">
        <f>IFERROR(VLOOKUP($A23,GanttChart!$A:$JD,262,FALSE),0)</f>
        <v>0</v>
      </c>
      <c r="F23" s="80">
        <f>IFERROR(VLOOKUP($A23,GanttChart!$A:$JD,263,FALSE),0)</f>
        <v>0</v>
      </c>
      <c r="G23" s="81">
        <f>IFERROR(VLOOKUP($A23,GanttChart!$A:$JD,264,FALSE),0)</f>
        <v>0</v>
      </c>
      <c r="H23" s="203"/>
      <c r="I23" s="81">
        <f t="shared" si="0"/>
        <v>0</v>
      </c>
      <c r="J23" s="6"/>
      <c r="K23" s="6"/>
      <c r="L23" s="6"/>
      <c r="M23" s="6"/>
      <c r="N23" s="6"/>
      <c r="O23" s="6"/>
    </row>
    <row r="24" spans="1:15" ht="14.25" hidden="1">
      <c r="A24" s="74">
        <v>1.22</v>
      </c>
      <c r="B24" s="74"/>
      <c r="C24" s="79">
        <f>IFERROR(VLOOKUP($A24,GanttChart!$A:$JD,2,FALSE),"خطا")</f>
        <v>0</v>
      </c>
      <c r="D24" s="80">
        <f>IFERROR(VLOOKUP($A24,GanttChart!$A:$JD,261,FALSE),0)</f>
        <v>0</v>
      </c>
      <c r="E24" s="80">
        <f>IFERROR(VLOOKUP($A24,GanttChart!$A:$JD,262,FALSE),0)</f>
        <v>0</v>
      </c>
      <c r="F24" s="80">
        <f>IFERROR(VLOOKUP($A24,GanttChart!$A:$JD,263,FALSE),0)</f>
        <v>0</v>
      </c>
      <c r="G24" s="81">
        <f>IFERROR(VLOOKUP($A24,GanttChart!$A:$JD,264,FALSE),0)</f>
        <v>0</v>
      </c>
      <c r="H24" s="203"/>
      <c r="I24" s="81">
        <f t="shared" si="0"/>
        <v>0</v>
      </c>
      <c r="J24" s="6"/>
      <c r="K24" s="6"/>
      <c r="L24" s="6"/>
      <c r="M24" s="6"/>
      <c r="N24" s="6"/>
      <c r="O24" s="6"/>
    </row>
    <row r="25" spans="1:15" ht="14.25" hidden="1">
      <c r="A25" s="74">
        <v>1.23</v>
      </c>
      <c r="B25" s="74"/>
      <c r="C25" s="79">
        <f>IFERROR(VLOOKUP($A25,GanttChart!$A:$JD,2,FALSE),"خطا")</f>
        <v>0</v>
      </c>
      <c r="D25" s="80">
        <f>IFERROR(VLOOKUP($A25,GanttChart!$A:$JD,261,FALSE),0)</f>
        <v>0</v>
      </c>
      <c r="E25" s="80">
        <f>IFERROR(VLOOKUP($A25,GanttChart!$A:$JD,262,FALSE),0)</f>
        <v>0</v>
      </c>
      <c r="F25" s="80">
        <f>IFERROR(VLOOKUP($A25,GanttChart!$A:$JD,263,FALSE),0)</f>
        <v>0</v>
      </c>
      <c r="G25" s="81">
        <f>IFERROR(VLOOKUP($A25,GanttChart!$A:$JD,264,FALSE),0)</f>
        <v>0</v>
      </c>
      <c r="H25" s="203"/>
      <c r="I25" s="81">
        <f t="shared" si="0"/>
        <v>0</v>
      </c>
      <c r="J25" s="6"/>
      <c r="K25" s="6"/>
      <c r="L25" s="6"/>
      <c r="M25" s="6"/>
      <c r="N25" s="6"/>
      <c r="O25" s="6"/>
    </row>
    <row r="26" spans="1:15" ht="14.25" hidden="1">
      <c r="A26" s="74">
        <v>2</v>
      </c>
      <c r="B26" s="74"/>
      <c r="C26" s="79" t="str">
        <f>IFERROR(VLOOKUP($A26,GanttChart!$A:$JD,2,FALSE),"خطا")</f>
        <v>استقرار زيرساخت  وآماده سازی  زیر ساخت نرم افزاری سامان سوئیت</v>
      </c>
      <c r="D26" s="80">
        <f>IFERROR(VLOOKUP($A26,GanttChart!$A:$JD,261,FALSE),0)</f>
        <v>0</v>
      </c>
      <c r="E26" s="80">
        <f>IFERROR(VLOOKUP($A26,GanttChart!$A:$JD,262,FALSE),0)</f>
        <v>0</v>
      </c>
      <c r="F26" s="80">
        <f>IFERROR(VLOOKUP($A26,GanttChart!$A:$JD,263,FALSE),0)</f>
        <v>0</v>
      </c>
      <c r="G26" s="81">
        <f>IFERROR(VLOOKUP($A26,GanttChart!$A:$JD,264,FALSE),0)</f>
        <v>0</v>
      </c>
      <c r="H26" s="203"/>
      <c r="I26" s="81">
        <f t="shared" si="0"/>
        <v>0</v>
      </c>
      <c r="J26" s="6"/>
      <c r="K26" s="6"/>
      <c r="L26" s="6"/>
      <c r="M26" s="6"/>
      <c r="N26" s="6"/>
      <c r="O26" s="6"/>
    </row>
    <row r="27" spans="1:15" ht="22.5">
      <c r="A27" s="74">
        <v>2.1</v>
      </c>
      <c r="B27" s="74"/>
      <c r="C27" s="79" t="str">
        <f>IFERROR(VLOOKUP($A27,GanttChart!$A:$JD,2,FALSE),"خطا")</f>
        <v xml:space="preserve">ارائه سند نيازمنديهاي شبکه و سخت افزار سرور و نرم افزار های مورد نیاز به کارفرما </v>
      </c>
      <c r="D27" s="80">
        <f>IFERROR(VLOOKUP($A27,GanttChart!$A:$JD,261,FALSE),0)</f>
        <v>0</v>
      </c>
      <c r="E27" s="80">
        <f>IFERROR(VLOOKUP($A27,GanttChart!$A:$JD,262,FALSE),0)</f>
        <v>0</v>
      </c>
      <c r="F27" s="80">
        <f>IFERROR(VLOOKUP($A27,GanttChart!$A:$JD,263,FALSE),0)</f>
        <v>0</v>
      </c>
      <c r="G27" s="81">
        <f>IFERROR(VLOOKUP($A27,GanttChart!$A:$JD,264,FALSE),0)</f>
        <v>0</v>
      </c>
      <c r="H27" s="203"/>
      <c r="I27" s="81">
        <f t="shared" si="0"/>
        <v>0</v>
      </c>
      <c r="J27" s="6"/>
      <c r="K27" s="6"/>
      <c r="L27" s="6"/>
      <c r="M27" s="6"/>
      <c r="N27" s="6"/>
      <c r="O27" s="6"/>
    </row>
    <row r="28" spans="1:15" ht="22.5">
      <c r="A28" s="74">
        <v>2.2000000000000002</v>
      </c>
      <c r="B28" s="74"/>
      <c r="C28" s="79" t="str">
        <f>IFERROR(VLOOKUP($A28,GanttChart!$A:$JD,2,FALSE),"خطا")</f>
        <v xml:space="preserve">تامين و آماده سازي شبکه و زيرساخت سخت افزاری و نرم افزاری مورد نياز (سرور  اصلی و میرور) توسط کارفرما </v>
      </c>
      <c r="D28" s="80">
        <f>IFERROR(VLOOKUP($A28,GanttChart!$A:$JD,261,FALSE),0)</f>
        <v>0</v>
      </c>
      <c r="E28" s="80">
        <f>IFERROR(VLOOKUP($A28,GanttChart!$A:$JD,262,FALSE),0)</f>
        <v>0</v>
      </c>
      <c r="F28" s="80">
        <f>IFERROR(VLOOKUP($A28,GanttChart!$A:$JD,263,FALSE),0)</f>
        <v>0</v>
      </c>
      <c r="G28" s="81">
        <f>IFERROR(VLOOKUP($A28,GanttChart!$A:$JD,264,FALSE),0)</f>
        <v>0</v>
      </c>
      <c r="H28" s="203"/>
      <c r="I28" s="81">
        <f t="shared" si="0"/>
        <v>0</v>
      </c>
      <c r="J28" s="6"/>
      <c r="K28" s="6"/>
      <c r="L28" s="6"/>
      <c r="M28" s="6"/>
      <c r="N28" s="6"/>
      <c r="O28" s="6"/>
    </row>
    <row r="29" spans="1:15" ht="14.25">
      <c r="A29" s="74">
        <v>2.2999999999999998</v>
      </c>
      <c r="B29" s="74"/>
      <c r="C29" s="79" t="str">
        <f>IFERROR(VLOOKUP($A29,GanttChart!$A:$JD,2,FALSE),"خطا")</f>
        <v>ارائه دسترسی راه دور به سرور از طریق (ssh) با حق دسترسی مدیریت</v>
      </c>
      <c r="D29" s="80">
        <f>IFERROR(VLOOKUP($A29,GanttChart!$A:$JD,261,FALSE),0)</f>
        <v>0</v>
      </c>
      <c r="E29" s="80">
        <f>IFERROR(VLOOKUP($A29,GanttChart!$A:$JD,262,FALSE),0)</f>
        <v>0</v>
      </c>
      <c r="F29" s="80">
        <f>IFERROR(VLOOKUP($A29,GanttChart!$A:$JD,263,FALSE),0)</f>
        <v>0</v>
      </c>
      <c r="G29" s="81">
        <f>IFERROR(VLOOKUP($A29,GanttChart!$A:$JD,264,FALSE),0)</f>
        <v>0</v>
      </c>
      <c r="H29" s="203"/>
      <c r="I29" s="81">
        <f t="shared" si="0"/>
        <v>0</v>
      </c>
      <c r="J29" s="6"/>
      <c r="K29" s="6"/>
      <c r="L29" s="6"/>
      <c r="M29" s="6"/>
      <c r="N29" s="6"/>
      <c r="O29" s="6"/>
    </row>
    <row r="30" spans="1:15" ht="14.25">
      <c r="A30" s="74">
        <v>2.4</v>
      </c>
      <c r="B30" s="74"/>
      <c r="C30" s="79" t="str">
        <f>IFERROR(VLOOKUP($A30,GanttChart!$A:$JD,2,FALSE),"خطا")</f>
        <v>نصب و پیکربندی سرور پورتال و زیر ساخت نرم افزاری پایه آن</v>
      </c>
      <c r="D30" s="80">
        <f>IFERROR(VLOOKUP($A30,GanttChart!$A:$JD,261,FALSE),0)</f>
        <v>0</v>
      </c>
      <c r="E30" s="80">
        <f>IFERROR(VLOOKUP($A30,GanttChart!$A:$JD,262,FALSE),0)</f>
        <v>0</v>
      </c>
      <c r="F30" s="80">
        <f>IFERROR(VLOOKUP($A30,GanttChart!$A:$JD,263,FALSE),0)</f>
        <v>0</v>
      </c>
      <c r="G30" s="81">
        <f>IFERROR(VLOOKUP($A30,GanttChart!$A:$JD,264,FALSE),0)</f>
        <v>0</v>
      </c>
      <c r="H30" s="203"/>
      <c r="I30" s="81">
        <f t="shared" si="0"/>
        <v>0</v>
      </c>
      <c r="J30" s="6"/>
      <c r="K30" s="6"/>
      <c r="L30" s="6"/>
      <c r="M30" s="6"/>
      <c r="N30" s="6"/>
      <c r="O30" s="6"/>
    </row>
    <row r="31" spans="1:15" ht="22.5" hidden="1">
      <c r="A31" s="74">
        <v>2.5</v>
      </c>
      <c r="B31" s="74"/>
      <c r="C31" s="79" t="str">
        <f>IFERROR(VLOOKUP($A31,GanttChart!$A:$JD,2,FALSE),"خطا")</f>
        <v>نصب و پیکربندی نرم افزار سامان سوئیت و سایر نرم افزاری های موضوع قرارداد بر روی سرور</v>
      </c>
      <c r="D31" s="80">
        <f>IFERROR(VLOOKUP($A31,GanttChart!$A:$JD,261,FALSE),0)</f>
        <v>0</v>
      </c>
      <c r="E31" s="80">
        <f>IFERROR(VLOOKUP($A31,GanttChart!$A:$JD,262,FALSE),0)</f>
        <v>0</v>
      </c>
      <c r="F31" s="80">
        <f>IFERROR(VLOOKUP($A31,GanttChart!$A:$JD,263,FALSE),0)</f>
        <v>0</v>
      </c>
      <c r="G31" s="81">
        <f>IFERROR(VLOOKUP($A31,GanttChart!$A:$JD,264,FALSE),0)</f>
        <v>0</v>
      </c>
      <c r="H31" s="203"/>
      <c r="I31" s="81">
        <f t="shared" si="0"/>
        <v>0</v>
      </c>
      <c r="J31" s="6"/>
      <c r="K31" s="6"/>
      <c r="L31" s="6"/>
      <c r="M31" s="6"/>
      <c r="N31" s="6"/>
      <c r="O31" s="6"/>
    </row>
    <row r="32" spans="1:15" ht="14.25">
      <c r="A32" s="74">
        <v>2.6</v>
      </c>
      <c r="B32" s="74"/>
      <c r="C32" s="79" t="str">
        <f>IFERROR(VLOOKUP($A32,GanttChart!$A:$JD,2,FALSE),"خطا")</f>
        <v>تنظیم روال های تهیه نسخه پشتیبان دوره ای از نرم افزار سامان سوئیت</v>
      </c>
      <c r="D32" s="80">
        <f>IFERROR(VLOOKUP($A32,GanttChart!$A:$JD,261,FALSE),0)</f>
        <v>0</v>
      </c>
      <c r="E32" s="80">
        <f>IFERROR(VLOOKUP($A32,GanttChart!$A:$JD,262,FALSE),0)</f>
        <v>0</v>
      </c>
      <c r="F32" s="80">
        <f>IFERROR(VLOOKUP($A32,GanttChart!$A:$JD,263,FALSE),0)</f>
        <v>0</v>
      </c>
      <c r="G32" s="81">
        <f>IFERROR(VLOOKUP($A32,GanttChart!$A:$JD,264,FALSE),0)</f>
        <v>0</v>
      </c>
      <c r="H32" s="203"/>
      <c r="I32" s="81">
        <f t="shared" si="0"/>
        <v>0</v>
      </c>
      <c r="J32" s="6"/>
      <c r="K32" s="6"/>
      <c r="L32" s="6"/>
      <c r="M32" s="6"/>
      <c r="N32" s="6"/>
      <c r="O32" s="6"/>
    </row>
    <row r="33" spans="1:15" ht="22.5" hidden="1">
      <c r="A33" s="74">
        <v>2.7</v>
      </c>
      <c r="B33" s="74"/>
      <c r="C33" s="79" t="str">
        <f>IFERROR(VLOOKUP($A33,GanttChart!$A:$JD,2,FALSE),"خطا")</f>
        <v>تحویل نرم افزار نصب شده مطابق با مجوزهای جدول الف و ب پیوست 8 قرارداد بر روی سرور کارفرما به کارفرما</v>
      </c>
      <c r="D33" s="80">
        <f>IFERROR(VLOOKUP($A33,GanttChart!$A:$JD,261,FALSE),0)</f>
        <v>0</v>
      </c>
      <c r="E33" s="80">
        <f>IFERROR(VLOOKUP($A33,GanttChart!$A:$JD,262,FALSE),0)</f>
        <v>0</v>
      </c>
      <c r="F33" s="80">
        <f>IFERROR(VLOOKUP($A33,GanttChart!$A:$JD,263,FALSE),0)</f>
        <v>0</v>
      </c>
      <c r="G33" s="81">
        <f>IFERROR(VLOOKUP($A33,GanttChart!$A:$JD,264,FALSE),0)</f>
        <v>0</v>
      </c>
      <c r="H33" s="203"/>
      <c r="I33" s="81">
        <f t="shared" si="0"/>
        <v>0</v>
      </c>
      <c r="J33" s="6"/>
      <c r="K33" s="6"/>
      <c r="L33" s="6"/>
      <c r="M33" s="6"/>
      <c r="N33" s="6"/>
      <c r="O33" s="6"/>
    </row>
    <row r="34" spans="1:15" ht="14.25" hidden="1">
      <c r="A34" s="74">
        <v>2.8</v>
      </c>
      <c r="B34" s="74"/>
      <c r="C34" s="79" t="str">
        <f>IFERROR(VLOOKUP($A34,GanttChart!$A:$JD,2,FALSE),"خطا")</f>
        <v>تهیه و نگهداری نسخه های پشتیبان نرم افزار سامان سوئیت</v>
      </c>
      <c r="D34" s="80">
        <f>IFERROR(VLOOKUP($A34,GanttChart!$A:$JD,261,FALSE),0)</f>
        <v>0</v>
      </c>
      <c r="E34" s="80">
        <f>IFERROR(VLOOKUP($A34,GanttChart!$A:$JD,262,FALSE),0)</f>
        <v>0</v>
      </c>
      <c r="F34" s="80">
        <f>IFERROR(VLOOKUP($A34,GanttChart!$A:$JD,263,FALSE),0)</f>
        <v>0</v>
      </c>
      <c r="G34" s="81">
        <f>IFERROR(VLOOKUP($A34,GanttChart!$A:$JD,264,FALSE),0)</f>
        <v>0</v>
      </c>
      <c r="H34" s="203"/>
      <c r="I34" s="81">
        <f t="shared" si="0"/>
        <v>0</v>
      </c>
      <c r="J34" s="6"/>
      <c r="K34" s="6"/>
      <c r="L34" s="6"/>
      <c r="M34" s="6"/>
      <c r="N34" s="6"/>
      <c r="O34" s="6"/>
    </row>
    <row r="35" spans="1:15" ht="14.25" hidden="1">
      <c r="A35" s="74">
        <v>2.9</v>
      </c>
      <c r="B35" s="74"/>
      <c r="C35" s="79" t="str">
        <f>IFERROR(VLOOKUP($A35,GanttChart!$A:$JD,2,FALSE),"خطا")</f>
        <v>تحویل سرور اصلی  به کارفرما</v>
      </c>
      <c r="D35" s="80">
        <f>IFERROR(VLOOKUP($A35,GanttChart!$A:$JD,261,FALSE),0)</f>
        <v>0</v>
      </c>
      <c r="E35" s="80">
        <f>IFERROR(VLOOKUP($A35,GanttChart!$A:$JD,262,FALSE),0)</f>
        <v>0</v>
      </c>
      <c r="F35" s="80">
        <f>IFERROR(VLOOKUP($A35,GanttChart!$A:$JD,263,FALSE),0)</f>
        <v>0</v>
      </c>
      <c r="G35" s="81">
        <f>IFERROR(VLOOKUP($A35,GanttChart!$A:$JD,264,FALSE),0)</f>
        <v>0</v>
      </c>
      <c r="H35" s="203"/>
      <c r="I35" s="81">
        <f t="shared" si="0"/>
        <v>0</v>
      </c>
      <c r="J35" s="6"/>
      <c r="K35" s="6"/>
      <c r="L35" s="6"/>
      <c r="M35" s="6"/>
      <c r="N35" s="6"/>
      <c r="O35" s="6"/>
    </row>
    <row r="36" spans="1:15" ht="14.25" hidden="1">
      <c r="A36" s="74">
        <v>2.11</v>
      </c>
      <c r="B36" s="74"/>
      <c r="C36" s="79">
        <f>IFERROR(VLOOKUP($A36,GanttChart!$A:$JD,2,FALSE),"خطا")</f>
        <v>0</v>
      </c>
      <c r="D36" s="80">
        <f>IFERROR(VLOOKUP($A36,GanttChart!$A:$JD,261,FALSE),0)</f>
        <v>0</v>
      </c>
      <c r="E36" s="80">
        <f>IFERROR(VLOOKUP($A36,GanttChart!$A:$JD,262,FALSE),0)</f>
        <v>0</v>
      </c>
      <c r="F36" s="80">
        <f>IFERROR(VLOOKUP($A36,GanttChart!$A:$JD,263,FALSE),0)</f>
        <v>0</v>
      </c>
      <c r="G36" s="81">
        <f>IFERROR(VLOOKUP($A36,GanttChart!$A:$JD,264,FALSE),0)</f>
        <v>0</v>
      </c>
      <c r="H36" s="203"/>
      <c r="I36" s="81">
        <f t="shared" si="0"/>
        <v>0</v>
      </c>
      <c r="J36" s="6"/>
      <c r="K36" s="6"/>
      <c r="L36" s="6"/>
      <c r="M36" s="6"/>
      <c r="N36" s="6"/>
      <c r="O36" s="6"/>
    </row>
    <row r="37" spans="1:15" ht="14.25" hidden="1">
      <c r="A37" s="74">
        <v>2.12</v>
      </c>
      <c r="B37" s="74"/>
      <c r="C37" s="79">
        <f>IFERROR(VLOOKUP($A37,GanttChart!$A:$JD,2,FALSE),"خطا")</f>
        <v>0</v>
      </c>
      <c r="D37" s="80">
        <f>IFERROR(VLOOKUP($A37,GanttChart!$A:$JD,261,FALSE),0)</f>
        <v>0</v>
      </c>
      <c r="E37" s="80">
        <f>IFERROR(VLOOKUP($A37,GanttChart!$A:$JD,262,FALSE),0)</f>
        <v>0</v>
      </c>
      <c r="F37" s="80">
        <f>IFERROR(VLOOKUP($A37,GanttChart!$A:$JD,263,FALSE),0)</f>
        <v>0</v>
      </c>
      <c r="G37" s="81">
        <f>IFERROR(VLOOKUP($A37,GanttChart!$A:$JD,264,FALSE),0)</f>
        <v>0</v>
      </c>
      <c r="H37" s="203"/>
      <c r="I37" s="81">
        <f t="shared" si="0"/>
        <v>0</v>
      </c>
      <c r="J37" s="6"/>
      <c r="K37" s="6"/>
      <c r="L37" s="6"/>
      <c r="M37" s="6"/>
      <c r="N37" s="6"/>
      <c r="O37" s="6"/>
    </row>
    <row r="38" spans="1:15" ht="14.25" hidden="1">
      <c r="A38" s="74">
        <v>2.13</v>
      </c>
      <c r="B38" s="74"/>
      <c r="C38" s="79">
        <f>IFERROR(VLOOKUP($A38,GanttChart!$A:$JD,2,FALSE),"خطا")</f>
        <v>0</v>
      </c>
      <c r="D38" s="80">
        <f>IFERROR(VLOOKUP($A38,GanttChart!$A:$JD,261,FALSE),0)</f>
        <v>0</v>
      </c>
      <c r="E38" s="80">
        <f>IFERROR(VLOOKUP($A38,GanttChart!$A:$JD,262,FALSE),0)</f>
        <v>0</v>
      </c>
      <c r="F38" s="80">
        <f>IFERROR(VLOOKUP($A38,GanttChart!$A:$JD,263,FALSE),0)</f>
        <v>0</v>
      </c>
      <c r="G38" s="81">
        <f>IFERROR(VLOOKUP($A38,GanttChart!$A:$JD,264,FALSE),0)</f>
        <v>0</v>
      </c>
      <c r="H38" s="203"/>
      <c r="I38" s="81">
        <f t="shared" si="0"/>
        <v>0</v>
      </c>
      <c r="J38" s="6"/>
      <c r="K38" s="6"/>
      <c r="L38" s="6"/>
      <c r="M38" s="6"/>
      <c r="N38" s="6"/>
      <c r="O38" s="6"/>
    </row>
    <row r="39" spans="1:15" ht="14.25" hidden="1">
      <c r="A39" s="74">
        <v>2.14</v>
      </c>
      <c r="B39" s="74"/>
      <c r="C39" s="79">
        <f>IFERROR(VLOOKUP($A39,GanttChart!$A:$JD,2,FALSE),"خطا")</f>
        <v>0</v>
      </c>
      <c r="D39" s="80">
        <f>IFERROR(VLOOKUP($A39,GanttChart!$A:$JD,261,FALSE),0)</f>
        <v>0</v>
      </c>
      <c r="E39" s="80">
        <f>IFERROR(VLOOKUP($A39,GanttChart!$A:$JD,262,FALSE),0)</f>
        <v>0</v>
      </c>
      <c r="F39" s="80">
        <f>IFERROR(VLOOKUP($A39,GanttChart!$A:$JD,263,FALSE),0)</f>
        <v>0</v>
      </c>
      <c r="G39" s="81">
        <f>IFERROR(VLOOKUP($A39,GanttChart!$A:$JD,264,FALSE),0)</f>
        <v>0</v>
      </c>
      <c r="H39" s="203"/>
      <c r="I39" s="81">
        <f t="shared" si="0"/>
        <v>0</v>
      </c>
      <c r="J39" s="6"/>
      <c r="K39" s="6"/>
      <c r="L39" s="6"/>
      <c r="M39" s="6"/>
      <c r="N39" s="6"/>
      <c r="O39" s="6"/>
    </row>
    <row r="40" spans="1:15" ht="14.25" hidden="1">
      <c r="A40" s="74">
        <v>2.15</v>
      </c>
      <c r="B40" s="74"/>
      <c r="C40" s="79">
        <f>IFERROR(VLOOKUP($A40,GanttChart!$A:$JD,2,FALSE),"خطا")</f>
        <v>0</v>
      </c>
      <c r="D40" s="80">
        <f>IFERROR(VLOOKUP($A40,GanttChart!$A:$JD,261,FALSE),0)</f>
        <v>0</v>
      </c>
      <c r="E40" s="80">
        <f>IFERROR(VLOOKUP($A40,GanttChart!$A:$JD,262,FALSE),0)</f>
        <v>0</v>
      </c>
      <c r="F40" s="80">
        <f>IFERROR(VLOOKUP($A40,GanttChart!$A:$JD,263,FALSE),0)</f>
        <v>0</v>
      </c>
      <c r="G40" s="81">
        <f>IFERROR(VLOOKUP($A40,GanttChart!$A:$JD,264,FALSE),0)</f>
        <v>0</v>
      </c>
      <c r="H40" s="203"/>
      <c r="I40" s="81">
        <f t="shared" si="0"/>
        <v>0</v>
      </c>
      <c r="J40" s="6"/>
      <c r="K40" s="6"/>
      <c r="L40" s="6"/>
      <c r="M40" s="6"/>
      <c r="N40" s="6"/>
      <c r="O40" s="6"/>
    </row>
    <row r="41" spans="1:15" ht="14.25" hidden="1">
      <c r="A41" s="74">
        <v>2.16</v>
      </c>
      <c r="B41" s="74"/>
      <c r="C41" s="79">
        <f>IFERROR(VLOOKUP($A41,GanttChart!$A:$JD,2,FALSE),"خطا")</f>
        <v>0</v>
      </c>
      <c r="D41" s="80">
        <f>IFERROR(VLOOKUP($A41,GanttChart!$A:$JD,261,FALSE),0)</f>
        <v>0</v>
      </c>
      <c r="E41" s="80">
        <f>IFERROR(VLOOKUP($A41,GanttChart!$A:$JD,262,FALSE),0)</f>
        <v>0</v>
      </c>
      <c r="F41" s="80">
        <f>IFERROR(VLOOKUP($A41,GanttChart!$A:$JD,263,FALSE),0)</f>
        <v>0</v>
      </c>
      <c r="G41" s="81">
        <f>IFERROR(VLOOKUP($A41,GanttChart!$A:$JD,264,FALSE),0)</f>
        <v>0</v>
      </c>
      <c r="H41" s="203"/>
      <c r="I41" s="81">
        <f t="shared" si="0"/>
        <v>0</v>
      </c>
      <c r="J41" s="6"/>
      <c r="K41" s="6"/>
      <c r="L41" s="6"/>
      <c r="M41" s="6"/>
      <c r="N41" s="6"/>
      <c r="O41" s="6"/>
    </row>
    <row r="42" spans="1:15" ht="14.25" hidden="1">
      <c r="A42" s="74">
        <v>2.17</v>
      </c>
      <c r="B42" s="74"/>
      <c r="C42" s="79">
        <f>IFERROR(VLOOKUP($A42,GanttChart!$A:$JD,2,FALSE),"خطا")</f>
        <v>0</v>
      </c>
      <c r="D42" s="80">
        <f>IFERROR(VLOOKUP($A42,GanttChart!$A:$JD,261,FALSE),0)</f>
        <v>0</v>
      </c>
      <c r="E42" s="80">
        <f>IFERROR(VLOOKUP($A42,GanttChart!$A:$JD,262,FALSE),0)</f>
        <v>0</v>
      </c>
      <c r="F42" s="80">
        <f>IFERROR(VLOOKUP($A42,GanttChart!$A:$JD,263,FALSE),0)</f>
        <v>0</v>
      </c>
      <c r="G42" s="81">
        <f>IFERROR(VLOOKUP($A42,GanttChart!$A:$JD,264,FALSE),0)</f>
        <v>0</v>
      </c>
      <c r="H42" s="203"/>
      <c r="I42" s="81">
        <f t="shared" si="0"/>
        <v>0</v>
      </c>
      <c r="J42" s="6"/>
      <c r="K42" s="6"/>
      <c r="L42" s="6"/>
      <c r="M42" s="6"/>
      <c r="N42" s="6"/>
      <c r="O42" s="6"/>
    </row>
    <row r="43" spans="1:15" ht="14.25" hidden="1">
      <c r="A43" s="74">
        <v>2.1800000000000002</v>
      </c>
      <c r="B43" s="74"/>
      <c r="C43" s="79">
        <f>IFERROR(VLOOKUP($A43,GanttChart!$A:$JD,2,FALSE),"خطا")</f>
        <v>0</v>
      </c>
      <c r="D43" s="80">
        <f>IFERROR(VLOOKUP($A43,GanttChart!$A:$JD,261,FALSE),0)</f>
        <v>0</v>
      </c>
      <c r="E43" s="80">
        <f>IFERROR(VLOOKUP($A43,GanttChart!$A:$JD,262,FALSE),0)</f>
        <v>0</v>
      </c>
      <c r="F43" s="80">
        <f>IFERROR(VLOOKUP($A43,GanttChart!$A:$JD,263,FALSE),0)</f>
        <v>0</v>
      </c>
      <c r="G43" s="81">
        <f>IFERROR(VLOOKUP($A43,GanttChart!$A:$JD,264,FALSE),0)</f>
        <v>0</v>
      </c>
      <c r="H43" s="203"/>
      <c r="I43" s="81">
        <f t="shared" si="0"/>
        <v>0</v>
      </c>
      <c r="J43" s="6"/>
      <c r="K43" s="6"/>
      <c r="L43" s="6"/>
      <c r="M43" s="6"/>
      <c r="N43" s="6"/>
      <c r="O43" s="6"/>
    </row>
    <row r="44" spans="1:15" ht="14.25" hidden="1">
      <c r="A44" s="74">
        <v>2.19</v>
      </c>
      <c r="B44" s="74"/>
      <c r="C44" s="79">
        <f>IFERROR(VLOOKUP($A44,GanttChart!$A:$JD,2,FALSE),"خطا")</f>
        <v>0</v>
      </c>
      <c r="D44" s="80">
        <f>IFERROR(VLOOKUP($A44,GanttChart!$A:$JD,261,FALSE),0)</f>
        <v>0</v>
      </c>
      <c r="E44" s="80">
        <f>IFERROR(VLOOKUP($A44,GanttChart!$A:$JD,262,FALSE),0)</f>
        <v>0</v>
      </c>
      <c r="F44" s="80">
        <f>IFERROR(VLOOKUP($A44,GanttChart!$A:$JD,263,FALSE),0)</f>
        <v>0</v>
      </c>
      <c r="G44" s="81">
        <f>IFERROR(VLOOKUP($A44,GanttChart!$A:$JD,264,FALSE),0)</f>
        <v>0</v>
      </c>
      <c r="H44" s="203"/>
      <c r="I44" s="81">
        <f t="shared" si="0"/>
        <v>0</v>
      </c>
      <c r="J44" s="6"/>
      <c r="K44" s="6"/>
      <c r="L44" s="6"/>
      <c r="M44" s="6"/>
      <c r="N44" s="6"/>
      <c r="O44" s="6"/>
    </row>
    <row r="45" spans="1:15" ht="14.25" hidden="1">
      <c r="A45" s="74">
        <v>2.21</v>
      </c>
      <c r="B45" s="74"/>
      <c r="C45" s="79" t="str">
        <f>IFERROR(VLOOKUP($A45,GanttChart!$A:$JD,2,FALSE),"خطا")</f>
        <v>خطا</v>
      </c>
      <c r="D45" s="80">
        <f>IFERROR(VLOOKUP($A45,GanttChart!$A:$JD,261,FALSE),0)</f>
        <v>0</v>
      </c>
      <c r="E45" s="80">
        <f>IFERROR(VLOOKUP($A45,GanttChart!$A:$JD,262,FALSE),0)</f>
        <v>0</v>
      </c>
      <c r="F45" s="80">
        <f>IFERROR(VLOOKUP($A45,GanttChart!$A:$JD,263,FALSE),0)</f>
        <v>0</v>
      </c>
      <c r="G45" s="81">
        <f>IFERROR(VLOOKUP($A45,GanttChart!$A:$JD,264,FALSE),0)</f>
        <v>0</v>
      </c>
      <c r="H45" s="203"/>
      <c r="I45" s="81">
        <f t="shared" si="0"/>
        <v>0</v>
      </c>
      <c r="J45" s="6"/>
      <c r="K45" s="6"/>
      <c r="L45" s="6"/>
      <c r="M45" s="6"/>
      <c r="N45" s="6"/>
      <c r="O45" s="6"/>
    </row>
    <row r="46" spans="1:15" ht="14.25" hidden="1">
      <c r="A46" s="74">
        <v>2.2200000000000002</v>
      </c>
      <c r="B46" s="74"/>
      <c r="C46" s="79" t="str">
        <f>IFERROR(VLOOKUP($A46,GanttChart!$A:$JD,2,FALSE),"خطا")</f>
        <v>خطا</v>
      </c>
      <c r="D46" s="80">
        <f>IFERROR(VLOOKUP($A46,GanttChart!$A:$JD,261,FALSE),0)</f>
        <v>0</v>
      </c>
      <c r="E46" s="80">
        <f>IFERROR(VLOOKUP($A46,GanttChart!$A:$JD,262,FALSE),0)</f>
        <v>0</v>
      </c>
      <c r="F46" s="80">
        <f>IFERROR(VLOOKUP($A46,GanttChart!$A:$JD,263,FALSE),0)</f>
        <v>0</v>
      </c>
      <c r="G46" s="81">
        <f>IFERROR(VLOOKUP($A46,GanttChart!$A:$JD,264,FALSE),0)</f>
        <v>0</v>
      </c>
      <c r="H46" s="203"/>
      <c r="I46" s="81">
        <f t="shared" si="0"/>
        <v>0</v>
      </c>
      <c r="J46" s="6"/>
      <c r="K46" s="6"/>
      <c r="L46" s="6"/>
      <c r="M46" s="6"/>
      <c r="N46" s="6"/>
      <c r="O46" s="6"/>
    </row>
    <row r="47" spans="1:15" ht="14.25" hidden="1">
      <c r="A47" s="74">
        <v>2.23</v>
      </c>
      <c r="B47" s="74"/>
      <c r="C47" s="79" t="str">
        <f>IFERROR(VLOOKUP($A47,GanttChart!$A:$JD,2,FALSE),"خطا")</f>
        <v>خطا</v>
      </c>
      <c r="D47" s="80">
        <f>IFERROR(VLOOKUP($A47,GanttChart!$A:$JD,261,FALSE),0)</f>
        <v>0</v>
      </c>
      <c r="E47" s="80">
        <f>IFERROR(VLOOKUP($A47,GanttChart!$A:$JD,262,FALSE),0)</f>
        <v>0</v>
      </c>
      <c r="F47" s="80">
        <f>IFERROR(VLOOKUP($A47,GanttChart!$A:$JD,263,FALSE),0)</f>
        <v>0</v>
      </c>
      <c r="G47" s="81">
        <f>IFERROR(VLOOKUP($A47,GanttChart!$A:$JD,264,FALSE),0)</f>
        <v>0</v>
      </c>
      <c r="H47" s="203"/>
      <c r="I47" s="81">
        <f t="shared" si="0"/>
        <v>0</v>
      </c>
      <c r="J47" s="6"/>
      <c r="K47" s="6"/>
      <c r="L47" s="6"/>
      <c r="M47" s="6"/>
      <c r="N47" s="6"/>
      <c r="O47" s="6"/>
    </row>
    <row r="48" spans="1:15" ht="14.25" hidden="1">
      <c r="A48" s="74">
        <v>3</v>
      </c>
      <c r="B48" s="74"/>
      <c r="C48" s="79" t="str">
        <f>IFERROR(VLOOKUP($A48,GanttChart!$A:$JD,2,FALSE),"خطا")</f>
        <v>ارائه خدمات اجرایی موضوع قرارداد</v>
      </c>
      <c r="D48" s="80">
        <f>IFERROR(VLOOKUP($A48,GanttChart!$A:$JD,261,FALSE),0)</f>
        <v>0</v>
      </c>
      <c r="E48" s="80">
        <f>IFERROR(VLOOKUP($A48,GanttChart!$A:$JD,262,FALSE),0)</f>
        <v>0</v>
      </c>
      <c r="F48" s="80">
        <f>IFERROR(VLOOKUP($A48,GanttChart!$A:$JD,263,FALSE),0)</f>
        <v>0</v>
      </c>
      <c r="G48" s="81">
        <f>IFERROR(VLOOKUP($A48,GanttChart!$A:$JD,264,FALSE),0)</f>
        <v>0</v>
      </c>
      <c r="H48" s="203"/>
      <c r="I48" s="81">
        <f t="shared" si="0"/>
        <v>0</v>
      </c>
      <c r="J48" s="6"/>
      <c r="K48" s="6"/>
      <c r="L48" s="6"/>
      <c r="M48" s="6"/>
      <c r="N48" s="6"/>
      <c r="O48" s="6"/>
    </row>
    <row r="49" spans="1:15" ht="14.25">
      <c r="A49" s="74">
        <v>3.1</v>
      </c>
      <c r="B49" s="74"/>
      <c r="C49" s="79" t="str">
        <f>IFERROR(VLOOKUP($A49,GanttChart!$A:$JD,2,FALSE),"خطا")</f>
        <v xml:space="preserve">ارائه پرسش نامه های نیازسنجی محتوایی و گرافیکی </v>
      </c>
      <c r="D49" s="80">
        <f>IFERROR(VLOOKUP($A49,GanttChart!$A:$JD,261,FALSE),0)</f>
        <v>0</v>
      </c>
      <c r="E49" s="80">
        <f>IFERROR(VLOOKUP($A49,GanttChart!$A:$JD,262,FALSE),0)</f>
        <v>0</v>
      </c>
      <c r="F49" s="80">
        <f>IFERROR(VLOOKUP($A49,GanttChart!$A:$JD,263,FALSE),0)</f>
        <v>0</v>
      </c>
      <c r="G49" s="81">
        <f>IFERROR(VLOOKUP($A49,GanttChart!$A:$JD,264,FALSE),0)</f>
        <v>0</v>
      </c>
      <c r="H49" s="203"/>
      <c r="I49" s="81">
        <f t="shared" si="0"/>
        <v>0</v>
      </c>
      <c r="J49" s="6"/>
      <c r="K49" s="6"/>
      <c r="L49" s="6"/>
      <c r="M49" s="6"/>
      <c r="N49" s="6"/>
      <c r="O49" s="6"/>
    </row>
    <row r="50" spans="1:15" ht="14.25" hidden="1">
      <c r="A50" s="74">
        <v>3.2</v>
      </c>
      <c r="B50" s="74"/>
      <c r="C50" s="79" t="str">
        <f>IFERROR(VLOOKUP($A50,GanttChart!$A:$JD,2,FALSE),"خطا")</f>
        <v>تدوین سند شناخت وضع جاری</v>
      </c>
      <c r="D50" s="80">
        <f>IFERROR(VLOOKUP($A50,GanttChart!$A:$JD,261,FALSE),0)</f>
        <v>0</v>
      </c>
      <c r="E50" s="80">
        <f>IFERROR(VLOOKUP($A50,GanttChart!$A:$JD,262,FALSE),0)</f>
        <v>0</v>
      </c>
      <c r="F50" s="80">
        <f>IFERROR(VLOOKUP($A50,GanttChart!$A:$JD,263,FALSE),0)</f>
        <v>0</v>
      </c>
      <c r="G50" s="81">
        <f>IFERROR(VLOOKUP($A50,GanttChart!$A:$JD,264,FALSE),0)</f>
        <v>0</v>
      </c>
      <c r="H50" s="203"/>
      <c r="I50" s="81">
        <f t="shared" si="0"/>
        <v>0</v>
      </c>
    </row>
    <row r="51" spans="1:15" ht="22.5">
      <c r="A51" s="74">
        <v>3.3</v>
      </c>
      <c r="B51" s="74"/>
      <c r="C51" s="79" t="str">
        <f>IFERROR(VLOOKUP($A51,GanttChart!$A:$JD,2,FALSE),"خطا")</f>
        <v>تکمیل پرسش نامه های نیاز سنجی محتوایی و گرافیکی  پورتال اصلی (فارسی)</v>
      </c>
      <c r="D51" s="80">
        <f>IFERROR(VLOOKUP($A51,GanttChart!$A:$JD,261,FALSE),0)</f>
        <v>0</v>
      </c>
      <c r="E51" s="80">
        <f>IFERROR(VLOOKUP($A51,GanttChart!$A:$JD,262,FALSE),0)</f>
        <v>0</v>
      </c>
      <c r="F51" s="80">
        <f>IFERROR(VLOOKUP($A51,GanttChart!$A:$JD,263,FALSE),0)</f>
        <v>0</v>
      </c>
      <c r="G51" s="81">
        <f>IFERROR(VLOOKUP($A51,GanttChart!$A:$JD,264,FALSE),0)</f>
        <v>0</v>
      </c>
      <c r="H51" s="203"/>
      <c r="I51" s="81">
        <f t="shared" si="0"/>
        <v>0</v>
      </c>
    </row>
    <row r="52" spans="1:15" ht="14.25" hidden="1">
      <c r="A52" s="74">
        <v>3.4</v>
      </c>
      <c r="B52" s="74"/>
      <c r="C52" s="79" t="str">
        <f>IFERROR(VLOOKUP($A52,GanttChart!$A:$JD,2,FALSE),"خطا")</f>
        <v>تکمیل پرسش نامه های نیاز سنجی محتوایی پورتال نمایندگان</v>
      </c>
      <c r="D52" s="80">
        <f>IFERROR(VLOOKUP($A52,GanttChart!$A:$JD,261,FALSE),0)</f>
        <v>0</v>
      </c>
      <c r="E52" s="80">
        <f>IFERROR(VLOOKUP($A52,GanttChart!$A:$JD,262,FALSE),0)</f>
        <v>0</v>
      </c>
      <c r="F52" s="80">
        <f>IFERROR(VLOOKUP($A52,GanttChart!$A:$JD,263,FALSE),0)</f>
        <v>0</v>
      </c>
      <c r="G52" s="81">
        <f>IFERROR(VLOOKUP($A52,GanttChart!$A:$JD,264,FALSE),0)</f>
        <v>0</v>
      </c>
      <c r="H52" s="203"/>
      <c r="I52" s="81">
        <f t="shared" si="0"/>
        <v>0</v>
      </c>
    </row>
    <row r="53" spans="1:15" ht="22.5">
      <c r="A53" s="74">
        <v>3.5</v>
      </c>
      <c r="B53" s="74"/>
      <c r="C53" s="79" t="str">
        <f>IFERROR(VLOOKUP($A53,GanttChart!$A:$JD,2,FALSE),"خطا")</f>
        <v>تکمیل پرسش نامه های نیاز سنجی محتوایی پورتال بیمه عمر و سرمایه گزاری</v>
      </c>
      <c r="D53" s="80">
        <f>IFERROR(VLOOKUP($A53,GanttChart!$A:$JD,261,FALSE),0)</f>
        <v>0</v>
      </c>
      <c r="E53" s="80">
        <f>IFERROR(VLOOKUP($A53,GanttChart!$A:$JD,262,FALSE),0)</f>
        <v>0</v>
      </c>
      <c r="F53" s="80">
        <f>IFERROR(VLOOKUP($A53,GanttChart!$A:$JD,263,FALSE),0)</f>
        <v>0</v>
      </c>
      <c r="G53" s="81">
        <f>IFERROR(VLOOKUP($A53,GanttChart!$A:$JD,264,FALSE),0)</f>
        <v>0</v>
      </c>
      <c r="H53" s="203"/>
      <c r="I53" s="81">
        <f t="shared" si="0"/>
        <v>0</v>
      </c>
    </row>
    <row r="54" spans="1:15" ht="14.25">
      <c r="A54" s="74">
        <v>3.6</v>
      </c>
      <c r="B54" s="74"/>
      <c r="C54" s="79" t="str">
        <f>IFERROR(VLOOKUP($A54,GanttChart!$A:$JD,2,FALSE),"خطا")</f>
        <v>تکمیل پرسش نامه های نیاز سنجی محتوایی پورتال  بیمه مسافرتی</v>
      </c>
      <c r="D54" s="80">
        <f>IFERROR(VLOOKUP($A54,GanttChart!$A:$JD,261,FALSE),0)</f>
        <v>0</v>
      </c>
      <c r="E54" s="80">
        <f>IFERROR(VLOOKUP($A54,GanttChart!$A:$JD,262,FALSE),0)</f>
        <v>0</v>
      </c>
      <c r="F54" s="80">
        <f>IFERROR(VLOOKUP($A54,GanttChart!$A:$JD,263,FALSE),0)</f>
        <v>0</v>
      </c>
      <c r="G54" s="81">
        <f>IFERROR(VLOOKUP($A54,GanttChart!$A:$JD,264,FALSE),0)</f>
        <v>0</v>
      </c>
      <c r="H54" s="203"/>
      <c r="I54" s="81">
        <f t="shared" si="0"/>
        <v>0</v>
      </c>
    </row>
    <row r="55" spans="1:15" ht="14.25" hidden="1">
      <c r="A55" s="74">
        <v>3.7</v>
      </c>
      <c r="B55" s="74"/>
      <c r="C55" s="79" t="str">
        <f>IFERROR(VLOOKUP($A55,GanttChart!$A:$JD,2,FALSE),"خطا")</f>
        <v>تکمیل پرسش نامه های نیاز سنجی محتوایی پورتال سهامداران</v>
      </c>
      <c r="D55" s="80">
        <f>IFERROR(VLOOKUP($A55,GanttChart!$A:$JD,261,FALSE),0)</f>
        <v>0</v>
      </c>
      <c r="E55" s="80">
        <f>IFERROR(VLOOKUP($A55,GanttChart!$A:$JD,262,FALSE),0)</f>
        <v>0</v>
      </c>
      <c r="F55" s="80">
        <f>IFERROR(VLOOKUP($A55,GanttChart!$A:$JD,263,FALSE),0)</f>
        <v>0</v>
      </c>
      <c r="G55" s="81">
        <f>IFERROR(VLOOKUP($A55,GanttChart!$A:$JD,264,FALSE),0)</f>
        <v>0</v>
      </c>
      <c r="H55" s="203"/>
      <c r="I55" s="81">
        <f t="shared" si="0"/>
        <v>0</v>
      </c>
    </row>
    <row r="56" spans="1:15" ht="14.25" hidden="1">
      <c r="A56" s="74">
        <v>3.8</v>
      </c>
      <c r="B56" s="74"/>
      <c r="C56" s="79" t="str">
        <f>IFERROR(VLOOKUP($A56,GanttChart!$A:$JD,2,FALSE),"خطا")</f>
        <v>جمع بندی نيازمنديهای فرايند شناخت و تدوین سند معماری محتوا (تدریجی)</v>
      </c>
      <c r="D56" s="80">
        <f>IFERROR(VLOOKUP($A56,GanttChart!$A:$JD,261,FALSE),0)</f>
        <v>0</v>
      </c>
      <c r="E56" s="80">
        <f>IFERROR(VLOOKUP($A56,GanttChart!$A:$JD,262,FALSE),0)</f>
        <v>0</v>
      </c>
      <c r="F56" s="80">
        <f>IFERROR(VLOOKUP($A56,GanttChart!$A:$JD,263,FALSE),0)</f>
        <v>0</v>
      </c>
      <c r="G56" s="81">
        <f>IFERROR(VLOOKUP($A56,GanttChart!$A:$JD,264,FALSE),0)</f>
        <v>0</v>
      </c>
      <c r="H56" s="203"/>
      <c r="I56" s="81">
        <f t="shared" si="0"/>
        <v>0</v>
      </c>
    </row>
    <row r="57" spans="1:15" ht="14.25" hidden="1">
      <c r="A57" s="74">
        <v>3.9</v>
      </c>
      <c r="B57" s="74"/>
      <c r="C57" s="79" t="str">
        <f>IFERROR(VLOOKUP($A57,GanttChart!$A:$JD,2,FALSE),"خطا")</f>
        <v xml:space="preserve"> بررسی و تایید مستند معماری محتوا توسط کارفرما (تدریجی)</v>
      </c>
      <c r="D57" s="80">
        <f>IFERROR(VLOOKUP($A57,GanttChart!$A:$JD,261,FALSE),0)</f>
        <v>0</v>
      </c>
      <c r="E57" s="80">
        <f>IFERROR(VLOOKUP($A57,GanttChart!$A:$JD,262,FALSE),0)</f>
        <v>0</v>
      </c>
      <c r="F57" s="80">
        <f>IFERROR(VLOOKUP($A57,GanttChart!$A:$JD,263,FALSE),0)</f>
        <v>0</v>
      </c>
      <c r="G57" s="81">
        <f>IFERROR(VLOOKUP($A57,GanttChart!$A:$JD,264,FALSE),0)</f>
        <v>0</v>
      </c>
      <c r="H57" s="203"/>
      <c r="I57" s="81">
        <f t="shared" si="0"/>
        <v>0</v>
      </c>
    </row>
    <row r="58" spans="1:15" ht="14.25" hidden="1">
      <c r="A58" s="74">
        <v>3.11</v>
      </c>
      <c r="B58" s="74"/>
      <c r="C58" s="79" t="str">
        <f>IFERROR(VLOOKUP($A58,GanttChart!$A:$JD,2,FALSE),"خطا")</f>
        <v>ارائه یک قالب گرافیکی  فارسی  برای زیر پورتال اینترنتی(فارسی)</v>
      </c>
      <c r="D58" s="80">
        <f>IFERROR(VLOOKUP($A58,GanttChart!$A:$JD,261,FALSE),0)</f>
        <v>0</v>
      </c>
      <c r="E58" s="80">
        <f>IFERROR(VLOOKUP($A58,GanttChart!$A:$JD,262,FALSE),0)</f>
        <v>0</v>
      </c>
      <c r="F58" s="80">
        <f>IFERROR(VLOOKUP($A58,GanttChart!$A:$JD,263,FALSE),0)</f>
        <v>0</v>
      </c>
      <c r="G58" s="81">
        <f>IFERROR(VLOOKUP($A58,GanttChart!$A:$JD,264,FALSE),0)</f>
        <v>0</v>
      </c>
      <c r="H58" s="203"/>
      <c r="I58" s="81">
        <f t="shared" si="0"/>
        <v>0</v>
      </c>
    </row>
    <row r="59" spans="1:15" ht="22.5" hidden="1">
      <c r="A59" s="74">
        <v>3.12</v>
      </c>
      <c r="B59" s="74"/>
      <c r="C59" s="79" t="str">
        <f>IFERROR(VLOOKUP($A59,GanttChart!$A:$JD,2,FALSE),"خطا")</f>
        <v>نهایی سازی قالب گرافیکی  برای پورتال اینترنتی مطابق نظر کارفرما (اعلام نظر کارفرما: 3 روز کاری، نهایی سازی: 2 روزکاری)</v>
      </c>
      <c r="D59" s="80">
        <f>IFERROR(VLOOKUP($A59,GanttChart!$A:$JD,261,FALSE),0)</f>
        <v>0</v>
      </c>
      <c r="E59" s="80">
        <f>IFERROR(VLOOKUP($A59,GanttChart!$A:$JD,262,FALSE),0)</f>
        <v>0</v>
      </c>
      <c r="F59" s="80">
        <f>IFERROR(VLOOKUP($A59,GanttChart!$A:$JD,263,FALSE),0)</f>
        <v>0</v>
      </c>
      <c r="G59" s="81">
        <f>IFERROR(VLOOKUP($A59,GanttChart!$A:$JD,264,FALSE),0)</f>
        <v>0</v>
      </c>
      <c r="H59" s="203"/>
      <c r="I59" s="81">
        <f t="shared" si="0"/>
        <v>0</v>
      </c>
    </row>
    <row r="60" spans="1:15" ht="14.25" hidden="1">
      <c r="A60" s="74">
        <v>3.13</v>
      </c>
      <c r="B60" s="74"/>
      <c r="C60" s="79" t="str">
        <f>IFERROR(VLOOKUP($A60,GanttChart!$A:$JD,2,FALSE),"خطا")</f>
        <v>ارائه سر صفحه اختصاصی زیر پورتال نمایندگان</v>
      </c>
      <c r="D60" s="80">
        <f>IFERROR(VLOOKUP($A60,GanttChart!$A:$JD,261,FALSE),0)</f>
        <v>0</v>
      </c>
      <c r="E60" s="80">
        <f>IFERROR(VLOOKUP($A60,GanttChart!$A:$JD,262,FALSE),0)</f>
        <v>0</v>
      </c>
      <c r="F60" s="80">
        <f>IFERROR(VLOOKUP($A60,GanttChart!$A:$JD,263,FALSE),0)</f>
        <v>0</v>
      </c>
      <c r="G60" s="81">
        <f>IFERROR(VLOOKUP($A60,GanttChart!$A:$JD,264,FALSE),0)</f>
        <v>0</v>
      </c>
      <c r="H60" s="203"/>
      <c r="I60" s="81">
        <f t="shared" si="0"/>
        <v>0</v>
      </c>
    </row>
    <row r="61" spans="1:15" ht="22.5" hidden="1">
      <c r="A61" s="74">
        <v>3.14</v>
      </c>
      <c r="B61" s="74"/>
      <c r="C61" s="79" t="str">
        <f>IFERROR(VLOOKUP($A61,GanttChart!$A:$JD,2,FALSE),"خطا")</f>
        <v>نهایی سازی سر صفحه اختصاصی زیر پورتال نمایندگان مطابق نظر کارفرما (اعلام نظر کارفرما: 1 روز کاری  و نهایی سازی: 2 روزکاری)</v>
      </c>
      <c r="D61" s="80">
        <f>IFERROR(VLOOKUP($A61,GanttChart!$A:$JD,261,FALSE),0)</f>
        <v>0</v>
      </c>
      <c r="E61" s="80">
        <f>IFERROR(VLOOKUP($A61,GanttChart!$A:$JD,262,FALSE),0)</f>
        <v>0</v>
      </c>
      <c r="F61" s="80">
        <f>IFERROR(VLOOKUP($A61,GanttChart!$A:$JD,263,FALSE),0)</f>
        <v>0</v>
      </c>
      <c r="G61" s="81">
        <f>IFERROR(VLOOKUP($A61,GanttChart!$A:$JD,264,FALSE),0)</f>
        <v>0</v>
      </c>
      <c r="H61" s="203"/>
      <c r="I61" s="81">
        <f t="shared" si="0"/>
        <v>0</v>
      </c>
    </row>
    <row r="62" spans="1:15" ht="14.25" hidden="1">
      <c r="A62" s="74">
        <v>3.15</v>
      </c>
      <c r="B62" s="74"/>
      <c r="C62" s="79" t="str">
        <f>IFERROR(VLOOKUP($A62,GanttChart!$A:$JD,2,FALSE),"خطا")</f>
        <v>ارائه سر صفحه اختصاصی زیر پورتال بیمه عمر و سرمایه گزاری</v>
      </c>
      <c r="D62" s="80">
        <f>IFERROR(VLOOKUP($A62,GanttChart!$A:$JD,261,FALSE),0)</f>
        <v>0</v>
      </c>
      <c r="E62" s="80">
        <f>IFERROR(VLOOKUP($A62,GanttChart!$A:$JD,262,FALSE),0)</f>
        <v>0</v>
      </c>
      <c r="F62" s="80">
        <f>IFERROR(VLOOKUP($A62,GanttChart!$A:$JD,263,FALSE),0)</f>
        <v>0</v>
      </c>
      <c r="G62" s="81">
        <f>IFERROR(VLOOKUP($A62,GanttChart!$A:$JD,264,FALSE),0)</f>
        <v>0</v>
      </c>
      <c r="H62" s="203"/>
      <c r="I62" s="81">
        <f t="shared" si="0"/>
        <v>0</v>
      </c>
    </row>
    <row r="63" spans="1:15" ht="33.75" hidden="1">
      <c r="A63" s="74">
        <v>3.16</v>
      </c>
      <c r="B63" s="74"/>
      <c r="C63" s="79" t="str">
        <f>IFERROR(VLOOKUP($A63,GanttChart!$A:$JD,2,FALSE),"خطا")</f>
        <v>نهایی سازی سر صفحه اختصاصی زیر پورتال بیمه عمر و سرمایه گزاری مطابق نظر کارفرما (اعلام نظر کارفرما : 1 روز کاری و  نهایی سازی: 2 روزکاری)</v>
      </c>
      <c r="D63" s="80">
        <f>IFERROR(VLOOKUP($A63,GanttChart!$A:$JD,261,FALSE),0)</f>
        <v>0</v>
      </c>
      <c r="E63" s="80">
        <f>IFERROR(VLOOKUP($A63,GanttChart!$A:$JD,262,FALSE),0)</f>
        <v>0</v>
      </c>
      <c r="F63" s="80">
        <f>IFERROR(VLOOKUP($A63,GanttChart!$A:$JD,263,FALSE),0)</f>
        <v>0</v>
      </c>
      <c r="G63" s="81">
        <f>IFERROR(VLOOKUP($A63,GanttChart!$A:$JD,264,FALSE),0)</f>
        <v>0</v>
      </c>
      <c r="H63" s="203"/>
      <c r="I63" s="81">
        <f t="shared" si="0"/>
        <v>0</v>
      </c>
    </row>
    <row r="64" spans="1:15" ht="14.25" hidden="1">
      <c r="A64" s="74">
        <v>3.17</v>
      </c>
      <c r="B64" s="74"/>
      <c r="C64" s="79" t="str">
        <f>IFERROR(VLOOKUP($A64,GanttChart!$A:$JD,2,FALSE),"خطا")</f>
        <v>ارائه سر صفحه اختصاصی زیر پورتال بیمه مسافرتی</v>
      </c>
      <c r="D64" s="80">
        <f>IFERROR(VLOOKUP($A64,GanttChart!$A:$JD,261,FALSE),0)</f>
        <v>0</v>
      </c>
      <c r="E64" s="80">
        <f>IFERROR(VLOOKUP($A64,GanttChart!$A:$JD,262,FALSE),0)</f>
        <v>0</v>
      </c>
      <c r="F64" s="80">
        <f>IFERROR(VLOOKUP($A64,GanttChart!$A:$JD,263,FALSE),0)</f>
        <v>0</v>
      </c>
      <c r="G64" s="81">
        <f>IFERROR(VLOOKUP($A64,GanttChart!$A:$JD,264,FALSE),0)</f>
        <v>0</v>
      </c>
      <c r="H64" s="203"/>
      <c r="I64" s="81">
        <f t="shared" si="0"/>
        <v>0</v>
      </c>
    </row>
    <row r="65" spans="1:9" ht="22.5" hidden="1">
      <c r="A65" s="74">
        <v>3.18</v>
      </c>
      <c r="B65" s="74"/>
      <c r="C65" s="79" t="str">
        <f>IFERROR(VLOOKUP($A65,GanttChart!$A:$JD,2,FALSE),"خطا")</f>
        <v>نهایی سازی سر صفحه اختصاصی زیر پورتال بیمه مسافرتی مطابق نظر کارفرما (اعلام نظر کارفرما و نهایی سازی: 2 روزکاری)</v>
      </c>
      <c r="D65" s="80">
        <f>IFERROR(VLOOKUP($A65,GanttChart!$A:$JD,261,FALSE),0)</f>
        <v>0</v>
      </c>
      <c r="E65" s="80">
        <f>IFERROR(VLOOKUP($A65,GanttChart!$A:$JD,262,FALSE),0)</f>
        <v>0</v>
      </c>
      <c r="F65" s="80">
        <f>IFERROR(VLOOKUP($A65,GanttChart!$A:$JD,263,FALSE),0)</f>
        <v>0</v>
      </c>
      <c r="G65" s="81">
        <f>IFERROR(VLOOKUP($A65,GanttChart!$A:$JD,264,FALSE),0)</f>
        <v>0</v>
      </c>
      <c r="H65" s="203"/>
      <c r="I65" s="81">
        <f t="shared" si="0"/>
        <v>0</v>
      </c>
    </row>
    <row r="66" spans="1:9" ht="14.25" hidden="1">
      <c r="A66" s="74">
        <v>3.19</v>
      </c>
      <c r="B66" s="74"/>
      <c r="C66" s="79" t="str">
        <f>IFERROR(VLOOKUP($A66,GanttChart!$A:$JD,2,FALSE),"خطا")</f>
        <v xml:space="preserve">ارائه سر صفحه اختصاصی برای زیر پورتال سهامداران </v>
      </c>
      <c r="D66" s="80">
        <f>IFERROR(VLOOKUP($A66,GanttChart!$A:$JD,261,FALSE),0)</f>
        <v>0</v>
      </c>
      <c r="E66" s="80">
        <f>IFERROR(VLOOKUP($A66,GanttChart!$A:$JD,262,FALSE),0)</f>
        <v>0</v>
      </c>
      <c r="F66" s="80">
        <f>IFERROR(VLOOKUP($A66,GanttChart!$A:$JD,263,FALSE),0)</f>
        <v>0</v>
      </c>
      <c r="G66" s="81">
        <f>IFERROR(VLOOKUP($A66,GanttChart!$A:$JD,264,FALSE),0)</f>
        <v>0</v>
      </c>
      <c r="H66" s="203"/>
      <c r="I66" s="81">
        <f t="shared" si="0"/>
        <v>0</v>
      </c>
    </row>
    <row r="67" spans="1:9" ht="22.5" hidden="1">
      <c r="A67" s="74">
        <v>3.21</v>
      </c>
      <c r="B67" s="74"/>
      <c r="C67" s="79" t="str">
        <f>IFERROR(VLOOKUP($A67,GanttChart!$A:$JD,2,FALSE),"خطا")</f>
        <v>نهایی سازی سر صفحه اختصاصی  برای زیر پورتال سهامداران مطابق نظر کارفرما (اعلام نظر کارفرما : 1 روز کاری و نهایی سازی: 2 روزکاری)</v>
      </c>
      <c r="D67" s="80">
        <f>IFERROR(VLOOKUP($A67,GanttChart!$A:$JD,261,FALSE),0)</f>
        <v>0</v>
      </c>
      <c r="E67" s="80">
        <f>IFERROR(VLOOKUP($A67,GanttChart!$A:$JD,262,FALSE),0)</f>
        <v>0</v>
      </c>
      <c r="F67" s="80">
        <f>IFERROR(VLOOKUP($A67,GanttChart!$A:$JD,263,FALSE),0)</f>
        <v>0</v>
      </c>
      <c r="G67" s="81">
        <f>IFERROR(VLOOKUP($A67,GanttChart!$A:$JD,264,FALSE),0)</f>
        <v>0</v>
      </c>
      <c r="H67" s="203"/>
      <c r="I67" s="81">
        <f t="shared" si="0"/>
        <v>0</v>
      </c>
    </row>
    <row r="68" spans="1:9" ht="14.25" hidden="1">
      <c r="A68" s="74">
        <v>3.22</v>
      </c>
      <c r="B68" s="74"/>
      <c r="C68" s="79" t="str">
        <f>IFERROR(VLOOKUP($A68,GanttChart!$A:$JD,2,FALSE),"خطا")</f>
        <v>راه اندازی کامل زیرپورتال اینترنتی (نسخه فارسی)</v>
      </c>
      <c r="D68" s="80">
        <f>IFERROR(VLOOKUP($A68,GanttChart!$A:$JD,261,FALSE),0)</f>
        <v>0</v>
      </c>
      <c r="E68" s="80">
        <f>IFERROR(VLOOKUP($A68,GanttChart!$A:$JD,262,FALSE),0)</f>
        <v>0</v>
      </c>
      <c r="F68" s="80">
        <f>IFERROR(VLOOKUP($A68,GanttChart!$A:$JD,263,FALSE),0)</f>
        <v>0</v>
      </c>
      <c r="G68" s="81">
        <f>IFERROR(VLOOKUP($A68,GanttChart!$A:$JD,264,FALSE),0)</f>
        <v>0</v>
      </c>
      <c r="H68" s="203"/>
      <c r="I68" s="81">
        <f t="shared" si="0"/>
        <v>0</v>
      </c>
    </row>
    <row r="69" spans="1:9" ht="22.5" hidden="1">
      <c r="A69" s="74">
        <v>3.23</v>
      </c>
      <c r="B69" s="74"/>
      <c r="C69" s="79" t="str">
        <f>IFERROR(VLOOKUP($A69,GanttChart!$A:$JD,2,FALSE),"خطا")</f>
        <v>تحویل راه اندازی کامل زیر پورتال اینترنتی (نسخه فارسی)  (1 روز تست پیمانکار ، 2 روز تست  کارفرما)</v>
      </c>
      <c r="D69" s="80">
        <f>IFERROR(VLOOKUP($A69,GanttChart!$A:$JD,261,FALSE),0)</f>
        <v>0</v>
      </c>
      <c r="E69" s="80">
        <f>IFERROR(VLOOKUP($A69,GanttChart!$A:$JD,262,FALSE),0)</f>
        <v>0</v>
      </c>
      <c r="F69" s="80">
        <f>IFERROR(VLOOKUP($A69,GanttChart!$A:$JD,263,FALSE),0)</f>
        <v>0</v>
      </c>
      <c r="G69" s="81">
        <f>IFERROR(VLOOKUP($A69,GanttChart!$A:$JD,264,FALSE),0)</f>
        <v>0</v>
      </c>
      <c r="H69" s="203"/>
      <c r="I69" s="81">
        <f t="shared" si="0"/>
        <v>0</v>
      </c>
    </row>
    <row r="70" spans="1:9" ht="14.25" hidden="1">
      <c r="A70" s="74">
        <v>4</v>
      </c>
      <c r="B70" s="74"/>
      <c r="C70" s="79" t="str">
        <f>IFERROR(VLOOKUP($A70,GanttChart!$A:$JD,2,FALSE),"خطا")</f>
        <v>ارائه خدمات آموزش</v>
      </c>
      <c r="D70" s="80">
        <f>IFERROR(VLOOKUP($A70,GanttChart!$A:$JD,261,FALSE),0)</f>
        <v>0</v>
      </c>
      <c r="E70" s="80">
        <f>IFERROR(VLOOKUP($A70,GanttChart!$A:$JD,262,FALSE),0)</f>
        <v>0</v>
      </c>
      <c r="F70" s="80">
        <f>IFERROR(VLOOKUP($A70,GanttChart!$A:$JD,263,FALSE),0)</f>
        <v>0</v>
      </c>
      <c r="G70" s="81">
        <f>IFERROR(VLOOKUP($A70,GanttChart!$A:$JD,264,FALSE),0)</f>
        <v>0</v>
      </c>
      <c r="H70" s="203"/>
      <c r="I70" s="81">
        <f t="shared" si="0"/>
        <v>0</v>
      </c>
    </row>
    <row r="71" spans="1:9" ht="14.25">
      <c r="A71" s="74">
        <v>4.0999999999999996</v>
      </c>
      <c r="B71" s="74"/>
      <c r="C71" s="79" t="str">
        <f>IFERROR(VLOOKUP($A71,GanttChart!$A:$JD,2,FALSE),"خطا")</f>
        <v>ارائه طرح آموزش و برنامه زمانبندی و مکانی برگزاری جلسات آموزشی</v>
      </c>
      <c r="D71" s="80">
        <f>IFERROR(VLOOKUP($A71,GanttChart!$A:$JD,261,FALSE),0)</f>
        <v>0</v>
      </c>
      <c r="E71" s="80">
        <f>IFERROR(VLOOKUP($A71,GanttChart!$A:$JD,262,FALSE),0)</f>
        <v>0</v>
      </c>
      <c r="F71" s="80">
        <f>IFERROR(VLOOKUP($A71,GanttChart!$A:$JD,263,FALSE),0)</f>
        <v>0</v>
      </c>
      <c r="G71" s="81">
        <f>IFERROR(VLOOKUP($A71,GanttChart!$A:$JD,264,FALSE),0)</f>
        <v>0</v>
      </c>
      <c r="H71" s="203"/>
      <c r="I71" s="81">
        <f t="shared" si="0"/>
        <v>0</v>
      </c>
    </row>
    <row r="72" spans="1:9" ht="22.5" hidden="1">
      <c r="A72" s="74">
        <v>4.2</v>
      </c>
      <c r="B72" s="74"/>
      <c r="C72" s="79" t="str">
        <f>IFERROR(VLOOKUP($A72,GanttChart!$A:$JD,2,FALSE),"خطا")</f>
        <v>معرفی نمایندگان کارفرما به تفکیک سطوح کاربری دارای دانش و مهارت های پیش نیاز آموزش نرم افزار</v>
      </c>
      <c r="D72" s="80">
        <f>IFERROR(VLOOKUP($A72,GanttChart!$A:$JD,261,FALSE),0)</f>
        <v>0</v>
      </c>
      <c r="E72" s="80">
        <f>IFERROR(VLOOKUP($A72,GanttChart!$A:$JD,262,FALSE),0)</f>
        <v>0</v>
      </c>
      <c r="F72" s="80">
        <f>IFERROR(VLOOKUP($A72,GanttChart!$A:$JD,263,FALSE),0)</f>
        <v>0</v>
      </c>
      <c r="G72" s="81">
        <f>IFERROR(VLOOKUP($A72,GanttChart!$A:$JD,264,FALSE),0)</f>
        <v>0</v>
      </c>
      <c r="H72" s="203"/>
      <c r="I72" s="81">
        <f t="shared" si="0"/>
        <v>0</v>
      </c>
    </row>
    <row r="73" spans="1:9" ht="14.25">
      <c r="A73" s="74">
        <v>4.3</v>
      </c>
      <c r="B73" s="74"/>
      <c r="C73" s="79" t="str">
        <f>IFERROR(VLOOKUP($A73,GanttChart!$A:$JD,2,FALSE),"خطا")</f>
        <v>برگزاری جلسات آموزش کاربری(9 ساعت)</v>
      </c>
      <c r="D73" s="80">
        <f>IFERROR(VLOOKUP($A73,GanttChart!$A:$JD,261,FALSE),0)</f>
        <v>0</v>
      </c>
      <c r="E73" s="80">
        <f>IFERROR(VLOOKUP($A73,GanttChart!$A:$JD,262,FALSE),0)</f>
        <v>0</v>
      </c>
      <c r="F73" s="80">
        <f>IFERROR(VLOOKUP($A73,GanttChart!$A:$JD,263,FALSE),0)</f>
        <v>0</v>
      </c>
      <c r="G73" s="81">
        <f>IFERROR(VLOOKUP($A73,GanttChart!$A:$JD,264,FALSE),0)</f>
        <v>0</v>
      </c>
      <c r="H73" s="203"/>
      <c r="I73" s="81">
        <f t="shared" si="0"/>
        <v>0</v>
      </c>
    </row>
    <row r="74" spans="1:9" ht="14.25">
      <c r="A74" s="74">
        <v>4.4000000000000004</v>
      </c>
      <c r="B74" s="74"/>
      <c r="C74" s="79" t="str">
        <f>IFERROR(VLOOKUP($A74,GanttChart!$A:$JD,2,FALSE),"خطا")</f>
        <v>برگزاری جلسات آموزش  راهبری و مدیریتی  (9 ساعت)</v>
      </c>
      <c r="D74" s="80">
        <f>IFERROR(VLOOKUP($A74,GanttChart!$A:$JD,261,FALSE),0)</f>
        <v>0</v>
      </c>
      <c r="E74" s="80">
        <f>IFERROR(VLOOKUP($A74,GanttChart!$A:$JD,262,FALSE),0)</f>
        <v>0</v>
      </c>
      <c r="F74" s="80">
        <f>IFERROR(VLOOKUP($A74,GanttChart!$A:$JD,263,FALSE),0)</f>
        <v>0</v>
      </c>
      <c r="G74" s="81">
        <f>IFERROR(VLOOKUP($A74,GanttChart!$A:$JD,264,FALSE),0)</f>
        <v>0</v>
      </c>
      <c r="H74" s="203"/>
      <c r="I74" s="81">
        <f t="shared" si="0"/>
        <v>0</v>
      </c>
    </row>
    <row r="75" spans="1:9" ht="14.25" hidden="1">
      <c r="A75" s="74">
        <v>4.5</v>
      </c>
      <c r="B75" s="74"/>
      <c r="C75" s="79" t="str">
        <f>IFERROR(VLOOKUP($A75,GanttChart!$A:$JD,2,FALSE),"خطا")</f>
        <v>برگزاری جلسات آموزش راهبر زیر پورتال (4 ساعت)</v>
      </c>
      <c r="D75" s="80">
        <f>IFERROR(VLOOKUP($A75,GanttChart!$A:$JD,261,FALSE),0)</f>
        <v>0</v>
      </c>
      <c r="E75" s="80">
        <f>IFERROR(VLOOKUP($A75,GanttChart!$A:$JD,262,FALSE),0)</f>
        <v>0</v>
      </c>
      <c r="F75" s="80">
        <f>IFERROR(VLOOKUP($A75,GanttChart!$A:$JD,263,FALSE),0)</f>
        <v>0</v>
      </c>
      <c r="G75" s="81">
        <f>IFERROR(VLOOKUP($A75,GanttChart!$A:$JD,264,FALSE),0)</f>
        <v>0</v>
      </c>
      <c r="H75" s="203"/>
      <c r="I75" s="81">
        <f t="shared" si="0"/>
        <v>0</v>
      </c>
    </row>
    <row r="76" spans="1:9" ht="14.25" hidden="1">
      <c r="A76" s="74">
        <v>4.5999999999999996</v>
      </c>
      <c r="B76" s="74"/>
      <c r="C76" s="79" t="str">
        <f>IFERROR(VLOOKUP($A76,GanttChart!$A:$JD,2,FALSE),"خطا")</f>
        <v>برگزاری جلسات آموزش زیر ساخت توسعه پذیری نرم افزار (6 ساعت)</v>
      </c>
      <c r="D76" s="80">
        <f>IFERROR(VLOOKUP($A76,GanttChart!$A:$JD,261,FALSE),0)</f>
        <v>0</v>
      </c>
      <c r="E76" s="80">
        <f>IFERROR(VLOOKUP($A76,GanttChart!$A:$JD,262,FALSE),0)</f>
        <v>0</v>
      </c>
      <c r="F76" s="80">
        <f>IFERROR(VLOOKUP($A76,GanttChart!$A:$JD,263,FALSE),0)</f>
        <v>0</v>
      </c>
      <c r="G76" s="81">
        <f>IFERROR(VLOOKUP($A76,GanttChart!$A:$JD,264,FALSE),0)</f>
        <v>0</v>
      </c>
      <c r="H76" s="203"/>
      <c r="I76" s="81">
        <f t="shared" si="0"/>
        <v>0</v>
      </c>
    </row>
    <row r="77" spans="1:9" ht="14.25" hidden="1">
      <c r="A77" s="74">
        <v>4.7</v>
      </c>
      <c r="B77" s="74"/>
      <c r="C77" s="79">
        <f>IFERROR(VLOOKUP($A77,GanttChart!$A:$JD,2,FALSE),"خطا")</f>
        <v>0</v>
      </c>
      <c r="D77" s="80">
        <f>IFERROR(VLOOKUP($A77,GanttChart!$A:$JD,261,FALSE),0)</f>
        <v>0</v>
      </c>
      <c r="E77" s="80">
        <f>IFERROR(VLOOKUP($A77,GanttChart!$A:$JD,262,FALSE),0)</f>
        <v>0</v>
      </c>
      <c r="F77" s="80">
        <f>IFERROR(VLOOKUP($A77,GanttChart!$A:$JD,263,FALSE),0)</f>
        <v>0</v>
      </c>
      <c r="G77" s="81">
        <f>IFERROR(VLOOKUP($A77,GanttChart!$A:$JD,264,FALSE),0)</f>
        <v>0</v>
      </c>
      <c r="H77" s="203"/>
      <c r="I77" s="81">
        <f t="shared" si="0"/>
        <v>0</v>
      </c>
    </row>
    <row r="78" spans="1:9" ht="14.25" hidden="1">
      <c r="A78" s="74">
        <v>4.8</v>
      </c>
      <c r="B78" s="74"/>
      <c r="C78" s="79">
        <f>IFERROR(VLOOKUP($A78,GanttChart!$A:$JD,2,FALSE),"خطا")</f>
        <v>0</v>
      </c>
      <c r="D78" s="80">
        <f>IFERROR(VLOOKUP($A78,GanttChart!$A:$JD,261,FALSE),0)</f>
        <v>0</v>
      </c>
      <c r="E78" s="80">
        <f>IFERROR(VLOOKUP($A78,GanttChart!$A:$JD,262,FALSE),0)</f>
        <v>0</v>
      </c>
      <c r="F78" s="80">
        <f>IFERROR(VLOOKUP($A78,GanttChart!$A:$JD,263,FALSE),0)</f>
        <v>0</v>
      </c>
      <c r="G78" s="81">
        <f>IFERROR(VLOOKUP($A78,GanttChart!$A:$JD,264,FALSE),0)</f>
        <v>0</v>
      </c>
      <c r="H78" s="203"/>
      <c r="I78" s="81">
        <f t="shared" si="0"/>
        <v>0</v>
      </c>
    </row>
    <row r="79" spans="1:9" ht="14.25" hidden="1">
      <c r="A79" s="74">
        <v>4.9000000000000004</v>
      </c>
      <c r="B79" s="74"/>
      <c r="C79" s="79">
        <f>IFERROR(VLOOKUP($A79,GanttChart!$A:$JD,2,FALSE),"خطا")</f>
        <v>0</v>
      </c>
      <c r="D79" s="80">
        <f>IFERROR(VLOOKUP($A79,GanttChart!$A:$JD,261,FALSE),0)</f>
        <v>0</v>
      </c>
      <c r="E79" s="80">
        <f>IFERROR(VLOOKUP($A79,GanttChart!$A:$JD,262,FALSE),0)</f>
        <v>0</v>
      </c>
      <c r="F79" s="80">
        <f>IFERROR(VLOOKUP($A79,GanttChart!$A:$JD,263,FALSE),0)</f>
        <v>0</v>
      </c>
      <c r="G79" s="81">
        <f>IFERROR(VLOOKUP($A79,GanttChart!$A:$JD,264,FALSE),0)</f>
        <v>0</v>
      </c>
      <c r="H79" s="203"/>
      <c r="I79" s="81">
        <f t="shared" si="0"/>
        <v>0</v>
      </c>
    </row>
    <row r="80" spans="1:9" ht="14.25" hidden="1">
      <c r="A80" s="74">
        <v>4.1100000000000003</v>
      </c>
      <c r="B80" s="74"/>
      <c r="C80" s="79">
        <f>IFERROR(VLOOKUP($A80,GanttChart!$A:$JD,2,FALSE),"خطا")</f>
        <v>0</v>
      </c>
      <c r="D80" s="80">
        <f>IFERROR(VLOOKUP($A80,GanttChart!$A:$JD,261,FALSE),0)</f>
        <v>0</v>
      </c>
      <c r="E80" s="80">
        <f>IFERROR(VLOOKUP($A80,GanttChart!$A:$JD,262,FALSE),0)</f>
        <v>0</v>
      </c>
      <c r="F80" s="80">
        <f>IFERROR(VLOOKUP($A80,GanttChart!$A:$JD,263,FALSE),0)</f>
        <v>0</v>
      </c>
      <c r="G80" s="81">
        <f>IFERROR(VLOOKUP($A80,GanttChart!$A:$JD,264,FALSE),0)</f>
        <v>0</v>
      </c>
      <c r="H80" s="203"/>
      <c r="I80" s="81">
        <f t="shared" si="0"/>
        <v>0</v>
      </c>
    </row>
    <row r="81" spans="1:12" ht="14.25" hidden="1">
      <c r="A81" s="74">
        <v>4.12</v>
      </c>
      <c r="B81" s="74"/>
      <c r="C81" s="79">
        <f>IFERROR(VLOOKUP($A81,GanttChart!$A:$JD,2,FALSE),"خطا")</f>
        <v>0</v>
      </c>
      <c r="D81" s="80">
        <f>IFERROR(VLOOKUP($A81,GanttChart!$A:$JD,261,FALSE),0)</f>
        <v>0</v>
      </c>
      <c r="E81" s="80">
        <f>IFERROR(VLOOKUP($A81,GanttChart!$A:$JD,262,FALSE),0)</f>
        <v>0</v>
      </c>
      <c r="F81" s="80">
        <f>IFERROR(VLOOKUP($A81,GanttChart!$A:$JD,263,FALSE),0)</f>
        <v>0</v>
      </c>
      <c r="G81" s="81">
        <f>IFERROR(VLOOKUP($A81,GanttChart!$A:$JD,264,FALSE),0)</f>
        <v>0</v>
      </c>
      <c r="H81" s="203"/>
      <c r="I81" s="81">
        <f t="shared" si="0"/>
        <v>0</v>
      </c>
    </row>
    <row r="82" spans="1:12" ht="14.25" hidden="1">
      <c r="A82" s="74">
        <v>4.13</v>
      </c>
      <c r="B82" s="74"/>
      <c r="C82" s="79">
        <f>IFERROR(VLOOKUP($A82,GanttChart!$A:$JD,2,FALSE),"خطا")</f>
        <v>0</v>
      </c>
      <c r="D82" s="80">
        <f>IFERROR(VLOOKUP($A82,GanttChart!$A:$JD,261,FALSE),0)</f>
        <v>0</v>
      </c>
      <c r="E82" s="80">
        <f>IFERROR(VLOOKUP($A82,GanttChart!$A:$JD,262,FALSE),0)</f>
        <v>0</v>
      </c>
      <c r="F82" s="80">
        <f>IFERROR(VLOOKUP($A82,GanttChart!$A:$JD,263,FALSE),0)</f>
        <v>0</v>
      </c>
      <c r="G82" s="81">
        <f>IFERROR(VLOOKUP($A82,GanttChart!$A:$JD,264,FALSE),0)</f>
        <v>0</v>
      </c>
      <c r="H82" s="203"/>
      <c r="I82" s="81">
        <f t="shared" si="0"/>
        <v>0</v>
      </c>
    </row>
    <row r="83" spans="1:12" ht="14.25" hidden="1">
      <c r="A83" s="74">
        <v>4.1399999999999997</v>
      </c>
      <c r="B83" s="74"/>
      <c r="C83" s="79">
        <f>IFERROR(VLOOKUP($A83,GanttChart!$A:$JD,2,FALSE),"خطا")</f>
        <v>0</v>
      </c>
      <c r="D83" s="80">
        <f>IFERROR(VLOOKUP($A83,GanttChart!$A:$JD,261,FALSE),0)</f>
        <v>0</v>
      </c>
      <c r="E83" s="80">
        <f>IFERROR(VLOOKUP($A83,GanttChart!$A:$JD,262,FALSE),0)</f>
        <v>0</v>
      </c>
      <c r="F83" s="80">
        <f>IFERROR(VLOOKUP($A83,GanttChart!$A:$JD,263,FALSE),0)</f>
        <v>0</v>
      </c>
      <c r="G83" s="81">
        <f>IFERROR(VLOOKUP($A83,GanttChart!$A:$JD,264,FALSE),0)</f>
        <v>0</v>
      </c>
      <c r="H83" s="203"/>
      <c r="I83" s="81">
        <f t="shared" si="0"/>
        <v>0</v>
      </c>
    </row>
    <row r="84" spans="1:12" ht="14.25" hidden="1">
      <c r="A84" s="74">
        <v>4.1500000000000004</v>
      </c>
      <c r="B84" s="74"/>
      <c r="C84" s="79">
        <f>IFERROR(VLOOKUP($A84,GanttChart!$A:$JD,2,FALSE),"خطا")</f>
        <v>0</v>
      </c>
      <c r="D84" s="80">
        <f>IFERROR(VLOOKUP($A84,GanttChart!$A:$JD,261,FALSE),0)</f>
        <v>0</v>
      </c>
      <c r="E84" s="80">
        <f>IFERROR(VLOOKUP($A84,GanttChart!$A:$JD,262,FALSE),0)</f>
        <v>0</v>
      </c>
      <c r="F84" s="80">
        <f>IFERROR(VLOOKUP($A84,GanttChart!$A:$JD,263,FALSE),0)</f>
        <v>0</v>
      </c>
      <c r="G84" s="81">
        <f>IFERROR(VLOOKUP($A84,GanttChart!$A:$JD,264,FALSE),0)</f>
        <v>0</v>
      </c>
      <c r="H84" s="203"/>
      <c r="I84" s="81">
        <f t="shared" si="0"/>
        <v>0</v>
      </c>
    </row>
    <row r="85" spans="1:12" ht="14.25" hidden="1">
      <c r="A85" s="74">
        <v>4.16</v>
      </c>
      <c r="B85" s="74"/>
      <c r="C85" s="79">
        <f>IFERROR(VLOOKUP($A85,GanttChart!$A:$JD,2,FALSE),"خطا")</f>
        <v>0</v>
      </c>
      <c r="D85" s="80">
        <f>IFERROR(VLOOKUP($A85,GanttChart!$A:$JD,261,FALSE),0)</f>
        <v>0</v>
      </c>
      <c r="E85" s="80">
        <f>IFERROR(VLOOKUP($A85,GanttChart!$A:$JD,262,FALSE),0)</f>
        <v>0</v>
      </c>
      <c r="F85" s="80">
        <f>IFERROR(VLOOKUP($A85,GanttChart!$A:$JD,263,FALSE),0)</f>
        <v>0</v>
      </c>
      <c r="G85" s="81">
        <f>IFERROR(VLOOKUP($A85,GanttChart!$A:$JD,264,FALSE),0)</f>
        <v>0</v>
      </c>
      <c r="H85" s="203"/>
      <c r="I85" s="81">
        <f t="shared" si="0"/>
        <v>0</v>
      </c>
    </row>
    <row r="86" spans="1:12" ht="14.25" hidden="1">
      <c r="A86" s="74">
        <v>4.17</v>
      </c>
      <c r="B86" s="74"/>
      <c r="C86" s="79">
        <f>IFERROR(VLOOKUP($A86,GanttChart!$A:$JD,2,FALSE),"خطا")</f>
        <v>0</v>
      </c>
      <c r="D86" s="80">
        <f>IFERROR(VLOOKUP($A86,GanttChart!$A:$JD,261,FALSE),0)</f>
        <v>0</v>
      </c>
      <c r="E86" s="80">
        <f>IFERROR(VLOOKUP($A86,GanttChart!$A:$JD,262,FALSE),0)</f>
        <v>0</v>
      </c>
      <c r="F86" s="80">
        <f>IFERROR(VLOOKUP($A86,GanttChart!$A:$JD,263,FALSE),0)</f>
        <v>0</v>
      </c>
      <c r="G86" s="81">
        <f>IFERROR(VLOOKUP($A86,GanttChart!$A:$JD,264,FALSE),0)</f>
        <v>0</v>
      </c>
      <c r="H86" s="203"/>
      <c r="I86" s="81">
        <f t="shared" si="0"/>
        <v>0</v>
      </c>
    </row>
    <row r="87" spans="1:12" ht="14.25" hidden="1">
      <c r="A87" s="74">
        <v>4.18</v>
      </c>
      <c r="B87" s="74"/>
      <c r="C87" s="79">
        <f>IFERROR(VLOOKUP($A87,GanttChart!$A:$JD,2,FALSE),"خطا")</f>
        <v>0</v>
      </c>
      <c r="D87" s="80">
        <f>IFERROR(VLOOKUP($A87,GanttChart!$A:$JD,261,FALSE),0)</f>
        <v>0</v>
      </c>
      <c r="E87" s="80">
        <f>IFERROR(VLOOKUP($A87,GanttChart!$A:$JD,262,FALSE),0)</f>
        <v>0</v>
      </c>
      <c r="F87" s="80">
        <f>IFERROR(VLOOKUP($A87,GanttChart!$A:$JD,263,FALSE),0)</f>
        <v>0</v>
      </c>
      <c r="G87" s="81">
        <f>IFERROR(VLOOKUP($A87,GanttChart!$A:$JD,264,FALSE),0)</f>
        <v>0</v>
      </c>
      <c r="H87" s="203"/>
      <c r="I87" s="81">
        <f t="shared" si="0"/>
        <v>0</v>
      </c>
    </row>
    <row r="88" spans="1:12" ht="14.25" hidden="1">
      <c r="A88" s="74">
        <v>4.1900000000000004</v>
      </c>
      <c r="B88" s="74"/>
      <c r="C88" s="79">
        <f>IFERROR(VLOOKUP($A88,GanttChart!$A:$JD,2,FALSE),"خطا")</f>
        <v>0</v>
      </c>
      <c r="D88" s="80">
        <f>IFERROR(VLOOKUP($A88,GanttChart!$A:$JD,261,FALSE),0)</f>
        <v>0</v>
      </c>
      <c r="E88" s="80">
        <f>IFERROR(VLOOKUP($A88,GanttChart!$A:$JD,262,FALSE),0)</f>
        <v>0</v>
      </c>
      <c r="F88" s="80">
        <f>IFERROR(VLOOKUP($A88,GanttChart!$A:$JD,263,FALSE),0)</f>
        <v>0</v>
      </c>
      <c r="G88" s="81">
        <f>IFERROR(VLOOKUP($A88,GanttChart!$A:$JD,264,FALSE),0)</f>
        <v>0</v>
      </c>
      <c r="H88" s="203"/>
      <c r="I88" s="81">
        <f t="shared" si="0"/>
        <v>0</v>
      </c>
    </row>
    <row r="89" spans="1:12" ht="14.25" hidden="1">
      <c r="A89" s="74">
        <v>4.21</v>
      </c>
      <c r="B89" s="74"/>
      <c r="C89" s="79">
        <f>IFERROR(VLOOKUP($A89,GanttChart!$A:$JD,2,FALSE),"خطا")</f>
        <v>0</v>
      </c>
      <c r="D89" s="80">
        <f>IFERROR(VLOOKUP($A89,GanttChart!$A:$JD,261,FALSE),0)</f>
        <v>0</v>
      </c>
      <c r="E89" s="80">
        <f>IFERROR(VLOOKUP($A89,GanttChart!$A:$JD,262,FALSE),0)</f>
        <v>0</v>
      </c>
      <c r="F89" s="80">
        <f>IFERROR(VLOOKUP($A89,GanttChart!$A:$JD,263,FALSE),0)</f>
        <v>0</v>
      </c>
      <c r="G89" s="81">
        <f>IFERROR(VLOOKUP($A89,GanttChart!$A:$JD,264,FALSE),0)</f>
        <v>0</v>
      </c>
      <c r="H89" s="203"/>
      <c r="I89" s="81">
        <f t="shared" si="0"/>
        <v>0</v>
      </c>
    </row>
    <row r="90" spans="1:12" ht="14.25" hidden="1">
      <c r="A90" s="74">
        <v>4.22</v>
      </c>
      <c r="B90" s="74"/>
      <c r="C90" s="79">
        <f>IFERROR(VLOOKUP($A90,GanttChart!$A:$JD,2,FALSE),"خطا")</f>
        <v>0</v>
      </c>
      <c r="D90" s="80">
        <f>IFERROR(VLOOKUP($A90,GanttChart!$A:$JD,261,FALSE),0)</f>
        <v>0</v>
      </c>
      <c r="E90" s="80">
        <f>IFERROR(VLOOKUP($A90,GanttChart!$A:$JD,262,FALSE),0)</f>
        <v>0</v>
      </c>
      <c r="F90" s="80">
        <f>IFERROR(VLOOKUP($A90,GanttChart!$A:$JD,263,FALSE),0)</f>
        <v>0</v>
      </c>
      <c r="G90" s="81">
        <f>IFERROR(VLOOKUP($A90,GanttChart!$A:$JD,264,FALSE),0)</f>
        <v>0</v>
      </c>
      <c r="H90" s="203"/>
      <c r="I90" s="81">
        <f t="shared" si="0"/>
        <v>0</v>
      </c>
    </row>
    <row r="91" spans="1:12" ht="14.25" hidden="1">
      <c r="A91" s="74">
        <v>4.2300000000000004</v>
      </c>
      <c r="B91" s="74"/>
      <c r="C91" s="79">
        <f>IFERROR(VLOOKUP($A91,GanttChart!$A:$JD,2,FALSE),"خطا")</f>
        <v>0</v>
      </c>
      <c r="D91" s="80">
        <f>IFERROR(VLOOKUP($A91,GanttChart!$A:$JD,261,FALSE),0)</f>
        <v>0</v>
      </c>
      <c r="E91" s="80">
        <f>IFERROR(VLOOKUP($A91,GanttChart!$A:$JD,262,FALSE),0)</f>
        <v>0</v>
      </c>
      <c r="F91" s="80">
        <f>IFERROR(VLOOKUP($A91,GanttChart!$A:$JD,263,FALSE),0)</f>
        <v>0</v>
      </c>
      <c r="G91" s="81">
        <f>IFERROR(VLOOKUP($A91,GanttChart!$A:$JD,264,FALSE),0)</f>
        <v>0</v>
      </c>
      <c r="H91" s="203"/>
      <c r="I91" s="81">
        <f t="shared" si="0"/>
        <v>0</v>
      </c>
    </row>
    <row r="92" spans="1:12" ht="14.25" hidden="1">
      <c r="A92" s="74">
        <v>5</v>
      </c>
      <c r="B92" s="74"/>
      <c r="C92" s="79" t="str">
        <f>IFERROR(VLOOKUP($A92,GanttChart!$A:$JD,2,FALSE),"خطا")</f>
        <v>کانورت مکانیزه اطلاعات</v>
      </c>
      <c r="D92" s="80">
        <f>IFERROR(VLOOKUP($A92,GanttChart!$A:$JD,261,FALSE),0)</f>
        <v>0</v>
      </c>
      <c r="E92" s="80">
        <f>IFERROR(VLOOKUP($A92,GanttChart!$A:$JD,262,FALSE),0)</f>
        <v>0</v>
      </c>
      <c r="F92" s="80">
        <f>IFERROR(VLOOKUP($A92,GanttChart!$A:$JD,263,FALSE),0)</f>
        <v>0</v>
      </c>
      <c r="G92" s="81">
        <f>IFERROR(VLOOKUP($A92,GanttChart!$A:$JD,264,FALSE),0)</f>
        <v>0</v>
      </c>
      <c r="H92" s="203"/>
      <c r="I92" s="81">
        <f t="shared" si="0"/>
        <v>0</v>
      </c>
    </row>
    <row r="93" spans="1:12" ht="14.25">
      <c r="A93" s="74">
        <v>5.0999999999999996</v>
      </c>
      <c r="C93" s="79" t="str">
        <f>IFERROR(VLOOKUP($A93,GanttChart!$A:$JD,2,FALSE),"خطا")</f>
        <v>اعلام ماژول های محتوایی کارفرما</v>
      </c>
      <c r="D93" s="80">
        <f>IFERROR(VLOOKUP($A93,GanttChart!$A:$JD,261,FALSE),0)</f>
        <v>0</v>
      </c>
      <c r="E93" s="80">
        <f>IFERROR(VLOOKUP($A93,GanttChart!$A:$JD,262,FALSE),0)</f>
        <v>0</v>
      </c>
      <c r="F93" s="80">
        <f>IFERROR(VLOOKUP($A93,GanttChart!$A:$JD,263,FALSE),0)</f>
        <v>0</v>
      </c>
      <c r="G93" s="81">
        <f>IFERROR(VLOOKUP($A93,GanttChart!$A:$JD,264,FALSE),0)</f>
        <v>0</v>
      </c>
      <c r="H93" s="203"/>
      <c r="I93" s="81">
        <f t="shared" si="0"/>
        <v>0</v>
      </c>
      <c r="K93" s="78"/>
      <c r="L93" s="84"/>
    </row>
    <row r="94" spans="1:12" ht="14.25">
      <c r="A94" s="74">
        <v>5.2</v>
      </c>
      <c r="C94" s="79" t="str">
        <f>IFERROR(VLOOKUP($A94,GanttChart!$A:$JD,2,FALSE),"خطا")</f>
        <v>ارایه فایل های اکسل ماژول های محتوایی اعلام شده از طرف کارفرما</v>
      </c>
      <c r="D94" s="80">
        <f>IFERROR(VLOOKUP($A94,GanttChart!$A:$JD,261,FALSE),0)</f>
        <v>0</v>
      </c>
      <c r="E94" s="80">
        <f>IFERROR(VLOOKUP($A94,GanttChart!$A:$JD,262,FALSE),0)</f>
        <v>0</v>
      </c>
      <c r="F94" s="80">
        <f>IFERROR(VLOOKUP($A94,GanttChart!$A:$JD,263,FALSE),0)</f>
        <v>0</v>
      </c>
      <c r="G94" s="81">
        <f>IFERROR(VLOOKUP($A94,GanttChart!$A:$JD,264,FALSE),0)</f>
        <v>0</v>
      </c>
      <c r="H94" s="203"/>
      <c r="I94" s="81">
        <f t="shared" si="0"/>
        <v>0</v>
      </c>
    </row>
    <row r="95" spans="1:12" ht="14.25">
      <c r="A95" s="74">
        <v>5.3</v>
      </c>
      <c r="C95" s="79" t="str">
        <f>IFERROR(VLOOKUP($A95,GanttChart!$A:$JD,2,FALSE),"خطا")</f>
        <v>تکمیل و ارسال اطلاعات</v>
      </c>
      <c r="D95" s="80">
        <f>IFERROR(VLOOKUP($A95,GanttChart!$A:$JD,261,FALSE),0)</f>
        <v>0</v>
      </c>
      <c r="E95" s="80">
        <f>IFERROR(VLOOKUP($A95,GanttChart!$A:$JD,262,FALSE),0)</f>
        <v>0</v>
      </c>
      <c r="F95" s="80">
        <f>IFERROR(VLOOKUP($A95,GanttChart!$A:$JD,263,FALSE),0)</f>
        <v>0</v>
      </c>
      <c r="G95" s="81">
        <f>IFERROR(VLOOKUP($A95,GanttChart!$A:$JD,264,FALSE),0)</f>
        <v>0</v>
      </c>
      <c r="H95" s="203"/>
      <c r="I95" s="81">
        <f t="shared" si="0"/>
        <v>0</v>
      </c>
    </row>
    <row r="96" spans="1:12" ht="14.25" hidden="1">
      <c r="A96" s="74">
        <v>5.4</v>
      </c>
      <c r="C96" s="79" t="str">
        <f>IFERROR(VLOOKUP($A96,GanttChart!$A:$JD,2,FALSE),"خطا")</f>
        <v>کانورت مکانیزه اطلاعات</v>
      </c>
      <c r="D96" s="80">
        <f>IFERROR(VLOOKUP($A96,GanttChart!$A:$JD,261,FALSE),0)</f>
        <v>0</v>
      </c>
      <c r="E96" s="80">
        <f>IFERROR(VLOOKUP($A96,GanttChart!$A:$JD,262,FALSE),0)</f>
        <v>0</v>
      </c>
      <c r="F96" s="80">
        <f>IFERROR(VLOOKUP($A96,GanttChart!$A:$JD,263,FALSE),0)</f>
        <v>0</v>
      </c>
      <c r="G96" s="81">
        <f>IFERROR(VLOOKUP($A96,GanttChart!$A:$JD,264,FALSE),0)</f>
        <v>0</v>
      </c>
      <c r="H96" s="203"/>
      <c r="I96" s="81">
        <f t="shared" si="0"/>
        <v>0</v>
      </c>
    </row>
    <row r="97" spans="1:9" ht="14.25" hidden="1">
      <c r="A97" s="74">
        <v>5.5</v>
      </c>
      <c r="C97" s="79" t="str">
        <f>IFERROR(VLOOKUP($A97,GanttChart!$A:$JD,2,FALSE),"خطا")</f>
        <v>تصحیح محتوای درج شده به صورت مکانیزه در زیر ساخت جدید</v>
      </c>
      <c r="D97" s="80">
        <f>IFERROR(VLOOKUP($A97,GanttChart!$A:$JD,261,FALSE),0)</f>
        <v>0</v>
      </c>
      <c r="E97" s="80">
        <f>IFERROR(VLOOKUP($A97,GanttChart!$A:$JD,262,FALSE),0)</f>
        <v>0</v>
      </c>
      <c r="F97" s="80">
        <f>IFERROR(VLOOKUP($A97,GanttChart!$A:$JD,263,FALSE),0)</f>
        <v>0</v>
      </c>
      <c r="G97" s="81">
        <f>IFERROR(VLOOKUP($A97,GanttChart!$A:$JD,264,FALSE),0)</f>
        <v>0</v>
      </c>
      <c r="H97" s="203"/>
      <c r="I97" s="81">
        <f t="shared" si="0"/>
        <v>0</v>
      </c>
    </row>
    <row r="98" spans="1:9" ht="22.5" hidden="1">
      <c r="A98" s="74">
        <v>5.6</v>
      </c>
      <c r="C98" s="79" t="str">
        <f>IFERROR(VLOOKUP($A98,GanttChart!$A:$JD,2,FALSE),"خطا")</f>
        <v>تکمیل محتوای درج شده در وب سایت قبلی حد فاصل زمان انتقال اطلاعات در پورتال جدید</v>
      </c>
      <c r="D98" s="80">
        <f>IFERROR(VLOOKUP($A98,GanttChart!$A:$JD,261,FALSE),0)</f>
        <v>0</v>
      </c>
      <c r="E98" s="80">
        <f>IFERROR(VLOOKUP($A98,GanttChart!$A:$JD,262,FALSE),0)</f>
        <v>0</v>
      </c>
      <c r="F98" s="80">
        <f>IFERROR(VLOOKUP($A98,GanttChart!$A:$JD,263,FALSE),0)</f>
        <v>0</v>
      </c>
      <c r="G98" s="81">
        <f>IFERROR(VLOOKUP($A98,GanttChart!$A:$JD,264,FALSE),0)</f>
        <v>0</v>
      </c>
      <c r="H98" s="203"/>
      <c r="I98" s="81">
        <f t="shared" si="0"/>
        <v>0</v>
      </c>
    </row>
    <row r="99" spans="1:9" ht="14.25" hidden="1">
      <c r="A99" s="74">
        <v>5.7</v>
      </c>
      <c r="C99" s="79">
        <f>IFERROR(VLOOKUP($A99,GanttChart!$A:$JD,2,FALSE),"خطا")</f>
        <v>0</v>
      </c>
      <c r="D99" s="80">
        <f>IFERROR(VLOOKUP($A99,GanttChart!$A:$JD,261,FALSE),0)</f>
        <v>0</v>
      </c>
      <c r="E99" s="80">
        <f>IFERROR(VLOOKUP($A99,GanttChart!$A:$JD,262,FALSE),0)</f>
        <v>0</v>
      </c>
      <c r="F99" s="80">
        <f>IFERROR(VLOOKUP($A99,GanttChart!$A:$JD,263,FALSE),0)</f>
        <v>0</v>
      </c>
      <c r="G99" s="81">
        <f>IFERROR(VLOOKUP($A99,GanttChart!$A:$JD,264,FALSE),0)</f>
        <v>0</v>
      </c>
      <c r="H99" s="203"/>
      <c r="I99" s="81">
        <f t="shared" si="0"/>
        <v>0</v>
      </c>
    </row>
    <row r="100" spans="1:9" ht="14.25" hidden="1">
      <c r="A100" s="74">
        <v>5.8</v>
      </c>
      <c r="C100" s="79">
        <f>IFERROR(VLOOKUP($A100,GanttChart!$A:$JD,2,FALSE),"خطا")</f>
        <v>0</v>
      </c>
      <c r="D100" s="80">
        <f>IFERROR(VLOOKUP($A100,GanttChart!$A:$JD,261,FALSE),0)</f>
        <v>0</v>
      </c>
      <c r="E100" s="80">
        <f>IFERROR(VLOOKUP($A100,GanttChart!$A:$JD,262,FALSE),0)</f>
        <v>0</v>
      </c>
      <c r="F100" s="80">
        <f>IFERROR(VLOOKUP($A100,GanttChart!$A:$JD,263,FALSE),0)</f>
        <v>0</v>
      </c>
      <c r="G100" s="81">
        <f>IFERROR(VLOOKUP($A100,GanttChart!$A:$JD,264,FALSE),0)</f>
        <v>0</v>
      </c>
      <c r="H100" s="203"/>
      <c r="I100" s="81">
        <f t="shared" si="0"/>
        <v>0</v>
      </c>
    </row>
    <row r="101" spans="1:9" ht="14.25" hidden="1">
      <c r="A101" s="74">
        <v>5.9</v>
      </c>
      <c r="C101" s="79">
        <f>IFERROR(VLOOKUP($A101,GanttChart!$A:$JD,2,FALSE),"خطا")</f>
        <v>0</v>
      </c>
      <c r="D101" s="80">
        <f>IFERROR(VLOOKUP($A101,GanttChart!$A:$JD,261,FALSE),0)</f>
        <v>0</v>
      </c>
      <c r="E101" s="80">
        <f>IFERROR(VLOOKUP($A101,GanttChart!$A:$JD,262,FALSE),0)</f>
        <v>0</v>
      </c>
      <c r="F101" s="80">
        <f>IFERROR(VLOOKUP($A101,GanttChart!$A:$JD,263,FALSE),0)</f>
        <v>0</v>
      </c>
      <c r="G101" s="81">
        <f>IFERROR(VLOOKUP($A101,GanttChart!$A:$JD,264,FALSE),0)</f>
        <v>0</v>
      </c>
      <c r="H101" s="203"/>
      <c r="I101" s="81">
        <f t="shared" si="0"/>
        <v>0</v>
      </c>
    </row>
    <row r="102" spans="1:9" ht="14.25" hidden="1">
      <c r="A102" s="74">
        <v>5.1100000000000003</v>
      </c>
      <c r="C102" s="79">
        <f>IFERROR(VLOOKUP($A102,GanttChart!$A:$JD,2,FALSE),"خطا")</f>
        <v>0</v>
      </c>
      <c r="D102" s="80">
        <f>IFERROR(VLOOKUP($A102,GanttChart!$A:$JD,261,FALSE),0)</f>
        <v>0</v>
      </c>
      <c r="E102" s="80">
        <f>IFERROR(VLOOKUP($A102,GanttChart!$A:$JD,262,FALSE),0)</f>
        <v>0</v>
      </c>
      <c r="F102" s="80">
        <f>IFERROR(VLOOKUP($A102,GanttChart!$A:$JD,263,FALSE),0)</f>
        <v>0</v>
      </c>
      <c r="G102" s="81">
        <f>IFERROR(VLOOKUP($A102,GanttChart!$A:$JD,264,FALSE),0)</f>
        <v>0</v>
      </c>
      <c r="H102" s="203"/>
      <c r="I102" s="81">
        <f t="shared" si="0"/>
        <v>0</v>
      </c>
    </row>
    <row r="103" spans="1:9" ht="14.25" hidden="1">
      <c r="A103" s="74">
        <v>5.12</v>
      </c>
      <c r="C103" s="79">
        <f>IFERROR(VLOOKUP($A103,GanttChart!$A:$JD,2,FALSE),"خطا")</f>
        <v>0</v>
      </c>
      <c r="D103" s="80">
        <f>IFERROR(VLOOKUP($A103,GanttChart!$A:$JD,261,FALSE),0)</f>
        <v>0</v>
      </c>
      <c r="E103" s="80">
        <f>IFERROR(VLOOKUP($A103,GanttChart!$A:$JD,262,FALSE),0)</f>
        <v>0</v>
      </c>
      <c r="F103" s="80">
        <f>IFERROR(VLOOKUP($A103,GanttChart!$A:$JD,263,FALSE),0)</f>
        <v>0</v>
      </c>
      <c r="G103" s="81">
        <f>IFERROR(VLOOKUP($A103,GanttChart!$A:$JD,264,FALSE),0)</f>
        <v>0</v>
      </c>
      <c r="H103" s="203"/>
      <c r="I103" s="81">
        <f t="shared" si="0"/>
        <v>0</v>
      </c>
    </row>
    <row r="104" spans="1:9" ht="14.25" hidden="1">
      <c r="A104" s="74">
        <v>5.13</v>
      </c>
      <c r="C104" s="79">
        <f>IFERROR(VLOOKUP($A104,GanttChart!$A:$JD,2,FALSE),"خطا")</f>
        <v>0</v>
      </c>
      <c r="D104" s="80">
        <f>IFERROR(VLOOKUP($A104,GanttChart!$A:$JD,261,FALSE),0)</f>
        <v>0</v>
      </c>
      <c r="E104" s="80">
        <f>IFERROR(VLOOKUP($A104,GanttChart!$A:$JD,262,FALSE),0)</f>
        <v>0</v>
      </c>
      <c r="F104" s="80">
        <f>IFERROR(VLOOKUP($A104,GanttChart!$A:$JD,263,FALSE),0)</f>
        <v>0</v>
      </c>
      <c r="G104" s="81">
        <f>IFERROR(VLOOKUP($A104,GanttChart!$A:$JD,264,FALSE),0)</f>
        <v>0</v>
      </c>
      <c r="H104" s="203"/>
      <c r="I104" s="81">
        <f t="shared" si="0"/>
        <v>0</v>
      </c>
    </row>
    <row r="105" spans="1:9" ht="14.25" hidden="1">
      <c r="A105" s="74">
        <v>5.14</v>
      </c>
      <c r="C105" s="79">
        <f>IFERROR(VLOOKUP($A105,GanttChart!$A:$JD,2,FALSE),"خطا")</f>
        <v>0</v>
      </c>
      <c r="D105" s="80">
        <f>IFERROR(VLOOKUP($A105,GanttChart!$A:$JD,261,FALSE),0)</f>
        <v>0</v>
      </c>
      <c r="E105" s="80">
        <f>IFERROR(VLOOKUP($A105,GanttChart!$A:$JD,262,FALSE),0)</f>
        <v>0</v>
      </c>
      <c r="F105" s="80">
        <f>IFERROR(VLOOKUP($A105,GanttChart!$A:$JD,263,FALSE),0)</f>
        <v>0</v>
      </c>
      <c r="G105" s="81">
        <f>IFERROR(VLOOKUP($A105,GanttChart!$A:$JD,264,FALSE),0)</f>
        <v>0</v>
      </c>
      <c r="H105" s="203"/>
      <c r="I105" s="81">
        <f t="shared" si="0"/>
        <v>0</v>
      </c>
    </row>
    <row r="106" spans="1:9" ht="14.25" hidden="1">
      <c r="A106" s="74">
        <v>5.15</v>
      </c>
      <c r="C106" s="79">
        <f>IFERROR(VLOOKUP($A106,GanttChart!$A:$JD,2,FALSE),"خطا")</f>
        <v>0</v>
      </c>
      <c r="D106" s="80">
        <f>IFERROR(VLOOKUP($A106,GanttChart!$A:$JD,261,FALSE),0)</f>
        <v>0</v>
      </c>
      <c r="E106" s="80">
        <f>IFERROR(VLOOKUP($A106,GanttChart!$A:$JD,262,FALSE),0)</f>
        <v>0</v>
      </c>
      <c r="F106" s="80">
        <f>IFERROR(VLOOKUP($A106,GanttChart!$A:$JD,263,FALSE),0)</f>
        <v>0</v>
      </c>
      <c r="G106" s="81">
        <f>IFERROR(VLOOKUP($A106,GanttChart!$A:$JD,264,FALSE),0)</f>
        <v>0</v>
      </c>
      <c r="H106" s="203"/>
      <c r="I106" s="81">
        <f t="shared" si="0"/>
        <v>0</v>
      </c>
    </row>
    <row r="107" spans="1:9" ht="14.25" hidden="1">
      <c r="A107" s="74">
        <v>5.16</v>
      </c>
      <c r="C107" s="79">
        <f>IFERROR(VLOOKUP($A107,GanttChart!$A:$JD,2,FALSE),"خطا")</f>
        <v>0</v>
      </c>
      <c r="D107" s="80">
        <f>IFERROR(VLOOKUP($A107,GanttChart!$A:$JD,261,FALSE),0)</f>
        <v>0</v>
      </c>
      <c r="E107" s="80">
        <f>IFERROR(VLOOKUP($A107,GanttChart!$A:$JD,262,FALSE),0)</f>
        <v>0</v>
      </c>
      <c r="F107" s="80">
        <f>IFERROR(VLOOKUP($A107,GanttChart!$A:$JD,263,FALSE),0)</f>
        <v>0</v>
      </c>
      <c r="G107" s="81">
        <f>IFERROR(VLOOKUP($A107,GanttChart!$A:$JD,264,FALSE),0)</f>
        <v>0</v>
      </c>
      <c r="H107" s="203"/>
      <c r="I107" s="81">
        <f t="shared" si="0"/>
        <v>0</v>
      </c>
    </row>
    <row r="108" spans="1:9" ht="14.25" hidden="1">
      <c r="A108" s="74">
        <v>5.17</v>
      </c>
      <c r="C108" s="79">
        <f>IFERROR(VLOOKUP($A108,GanttChart!$A:$JD,2,FALSE),"خطا")</f>
        <v>0</v>
      </c>
      <c r="D108" s="80">
        <f>IFERROR(VLOOKUP($A108,GanttChart!$A:$JD,261,FALSE),0)</f>
        <v>0</v>
      </c>
      <c r="E108" s="80">
        <f>IFERROR(VLOOKUP($A108,GanttChart!$A:$JD,262,FALSE),0)</f>
        <v>0</v>
      </c>
      <c r="F108" s="80">
        <f>IFERROR(VLOOKUP($A108,GanttChart!$A:$JD,263,FALSE),0)</f>
        <v>0</v>
      </c>
      <c r="G108" s="81">
        <f>IFERROR(VLOOKUP($A108,GanttChart!$A:$JD,264,FALSE),0)</f>
        <v>0</v>
      </c>
      <c r="H108" s="203"/>
      <c r="I108" s="81">
        <f t="shared" si="0"/>
        <v>0</v>
      </c>
    </row>
    <row r="109" spans="1:9" ht="14.25" hidden="1">
      <c r="A109" s="74">
        <v>5.18</v>
      </c>
      <c r="C109" s="79">
        <f>IFERROR(VLOOKUP($A109,GanttChart!$A:$JD,2,FALSE),"خطا")</f>
        <v>0</v>
      </c>
      <c r="D109" s="80">
        <f>IFERROR(VLOOKUP($A109,GanttChart!$A:$JD,261,FALSE),0)</f>
        <v>0</v>
      </c>
      <c r="E109" s="80">
        <f>IFERROR(VLOOKUP($A109,GanttChart!$A:$JD,262,FALSE),0)</f>
        <v>0</v>
      </c>
      <c r="F109" s="80">
        <f>IFERROR(VLOOKUP($A109,GanttChart!$A:$JD,263,FALSE),0)</f>
        <v>0</v>
      </c>
      <c r="G109" s="81">
        <f>IFERROR(VLOOKUP($A109,GanttChart!$A:$JD,264,FALSE),0)</f>
        <v>0</v>
      </c>
      <c r="H109" s="203"/>
      <c r="I109" s="81">
        <f t="shared" si="0"/>
        <v>0</v>
      </c>
    </row>
    <row r="110" spans="1:9" ht="14.25" hidden="1">
      <c r="A110" s="74">
        <v>5.19</v>
      </c>
      <c r="C110" s="79">
        <f>IFERROR(VLOOKUP($A110,GanttChart!$A:$JD,2,FALSE),"خطا")</f>
        <v>0</v>
      </c>
      <c r="D110" s="80">
        <f>IFERROR(VLOOKUP($A110,GanttChart!$A:$JD,261,FALSE),0)</f>
        <v>0</v>
      </c>
      <c r="E110" s="80">
        <f>IFERROR(VLOOKUP($A110,GanttChart!$A:$JD,262,FALSE),0)</f>
        <v>0</v>
      </c>
      <c r="F110" s="80">
        <f>IFERROR(VLOOKUP($A110,GanttChart!$A:$JD,263,FALSE),0)</f>
        <v>0</v>
      </c>
      <c r="G110" s="81">
        <f>IFERROR(VLOOKUP($A110,GanttChart!$A:$JD,264,FALSE),0)</f>
        <v>0</v>
      </c>
      <c r="H110" s="203"/>
      <c r="I110" s="81">
        <f t="shared" si="0"/>
        <v>0</v>
      </c>
    </row>
    <row r="111" spans="1:9" ht="14.25" hidden="1">
      <c r="A111" s="74">
        <v>5.21</v>
      </c>
      <c r="C111" s="79">
        <f>IFERROR(VLOOKUP($A111,GanttChart!$A:$JD,2,FALSE),"خطا")</f>
        <v>0</v>
      </c>
      <c r="D111" s="80">
        <f>IFERROR(VLOOKUP($A111,GanttChart!$A:$JD,261,FALSE),0)</f>
        <v>0</v>
      </c>
      <c r="E111" s="80">
        <f>IFERROR(VLOOKUP($A111,GanttChart!$A:$JD,262,FALSE),0)</f>
        <v>0</v>
      </c>
      <c r="F111" s="80">
        <f>IFERROR(VLOOKUP($A111,GanttChart!$A:$JD,263,FALSE),0)</f>
        <v>0</v>
      </c>
      <c r="G111" s="81">
        <f>IFERROR(VLOOKUP($A111,GanttChart!$A:$JD,264,FALSE),0)</f>
        <v>0</v>
      </c>
      <c r="H111" s="203"/>
      <c r="I111" s="81">
        <f t="shared" si="0"/>
        <v>0</v>
      </c>
    </row>
    <row r="112" spans="1:9" ht="14.25" hidden="1">
      <c r="A112" s="74">
        <v>5.22</v>
      </c>
      <c r="C112" s="79">
        <f>IFERROR(VLOOKUP($A112,GanttChart!$A:$JD,2,FALSE),"خطا")</f>
        <v>0</v>
      </c>
      <c r="D112" s="80">
        <f>IFERROR(VLOOKUP($A112,GanttChart!$A:$JD,261,FALSE),0)</f>
        <v>0</v>
      </c>
      <c r="E112" s="80">
        <f>IFERROR(VLOOKUP($A112,GanttChart!$A:$JD,262,FALSE),0)</f>
        <v>0</v>
      </c>
      <c r="F112" s="80">
        <f>IFERROR(VLOOKUP($A112,GanttChart!$A:$JD,263,FALSE),0)</f>
        <v>0</v>
      </c>
      <c r="G112" s="81">
        <f>IFERROR(VLOOKUP($A112,GanttChart!$A:$JD,264,FALSE),0)</f>
        <v>0</v>
      </c>
      <c r="H112" s="203"/>
      <c r="I112" s="81">
        <f t="shared" si="0"/>
        <v>0</v>
      </c>
    </row>
    <row r="113" spans="1:9" ht="14.25" hidden="1">
      <c r="A113" s="74">
        <v>5.23</v>
      </c>
      <c r="C113" s="79">
        <f>IFERROR(VLOOKUP($A113,GanttChart!$A:$JD,2,FALSE),"خطا")</f>
        <v>0</v>
      </c>
      <c r="D113" s="80">
        <f>IFERROR(VLOOKUP($A113,GanttChart!$A:$JD,261,FALSE),0)</f>
        <v>0</v>
      </c>
      <c r="E113" s="80">
        <f>IFERROR(VLOOKUP($A113,GanttChart!$A:$JD,262,FALSE),0)</f>
        <v>0</v>
      </c>
      <c r="F113" s="80">
        <f>IFERROR(VLOOKUP($A113,GanttChart!$A:$JD,263,FALSE),0)</f>
        <v>0</v>
      </c>
      <c r="G113" s="81">
        <f>IFERROR(VLOOKUP($A113,GanttChart!$A:$JD,264,FALSE),0)</f>
        <v>0</v>
      </c>
      <c r="H113" s="203"/>
      <c r="I113" s="81">
        <f t="shared" si="0"/>
        <v>0</v>
      </c>
    </row>
    <row r="114" spans="1:9" ht="14.25" hidden="1">
      <c r="A114" s="74">
        <v>6</v>
      </c>
      <c r="C114" s="79" t="str">
        <f>IFERROR(VLOOKUP($A114,GanttChart!$A:$JD,2,FALSE),"خطا")</f>
        <v>اقدامات اجرایی پیکربندی، مدیریت و کاربرد نرم افزار</v>
      </c>
      <c r="D114" s="80">
        <f>IFERROR(VLOOKUP($A114,GanttChart!$A:$JD,261,FALSE),0)</f>
        <v>0</v>
      </c>
      <c r="E114" s="80">
        <f>IFERROR(VLOOKUP($A114,GanttChart!$A:$JD,262,FALSE),0)</f>
        <v>0</v>
      </c>
      <c r="F114" s="80">
        <f>IFERROR(VLOOKUP($A114,GanttChart!$A:$JD,263,FALSE),0)</f>
        <v>0</v>
      </c>
      <c r="G114" s="81">
        <f>IFERROR(VLOOKUP($A114,GanttChart!$A:$JD,264,FALSE),0)</f>
        <v>0</v>
      </c>
      <c r="H114" s="203"/>
      <c r="I114" s="81">
        <f t="shared" si="0"/>
        <v>0</v>
      </c>
    </row>
    <row r="115" spans="1:9" ht="22.5">
      <c r="A115" s="74">
        <v>6.1</v>
      </c>
      <c r="C115" s="79" t="str">
        <f>IFERROR(VLOOKUP($A115,GanttChart!$A:$JD,2,FALSE),"خطا")</f>
        <v>اعلام نام های کاربری و حقوق دسترسی مورد نیاز هر یک از کاربران و اطلاعات مورد نیاز جهت تنظیم</v>
      </c>
      <c r="D115" s="80">
        <f>IFERROR(VLOOKUP($A115,GanttChart!$A:$JD,261,FALSE),0)</f>
        <v>0</v>
      </c>
      <c r="E115" s="80">
        <f>IFERROR(VLOOKUP($A115,GanttChart!$A:$JD,262,FALSE),0)</f>
        <v>0</v>
      </c>
      <c r="F115" s="80">
        <f>IFERROR(VLOOKUP($A115,GanttChart!$A:$JD,263,FALSE),0)</f>
        <v>0</v>
      </c>
      <c r="G115" s="81">
        <f>IFERROR(VLOOKUP($A115,GanttChart!$A:$JD,264,FALSE),0)</f>
        <v>0</v>
      </c>
      <c r="H115" s="203"/>
      <c r="I115" s="81">
        <f t="shared" si="0"/>
        <v>0</v>
      </c>
    </row>
    <row r="116" spans="1:9" ht="14.25">
      <c r="A116" s="74">
        <v>6.2</v>
      </c>
      <c r="C116" s="79" t="str">
        <f>IFERROR(VLOOKUP($A116,GanttChart!$A:$JD,2,FALSE),"خطا")</f>
        <v>تعریف و اعطای حق دسترسی به کاربران و گروه های کاربری اعلام شده</v>
      </c>
      <c r="D116" s="80">
        <f>IFERROR(VLOOKUP($A116,GanttChart!$A:$JD,261,FALSE),0)</f>
        <v>0</v>
      </c>
      <c r="E116" s="80">
        <f>IFERROR(VLOOKUP($A116,GanttChart!$A:$JD,262,FALSE),0)</f>
        <v>0</v>
      </c>
      <c r="F116" s="80">
        <f>IFERROR(VLOOKUP($A116,GanttChart!$A:$JD,263,FALSE),0)</f>
        <v>0</v>
      </c>
      <c r="G116" s="81">
        <f>IFERROR(VLOOKUP($A116,GanttChart!$A:$JD,264,FALSE),0)</f>
        <v>0</v>
      </c>
      <c r="H116" s="203"/>
      <c r="I116" s="81">
        <f t="shared" si="0"/>
        <v>0</v>
      </c>
    </row>
    <row r="117" spans="1:9" ht="22.5" hidden="1">
      <c r="A117" s="74">
        <v>6.3</v>
      </c>
      <c r="C117" s="79" t="str">
        <f>IFERROR(VLOOKUP($A117,GanttChart!$A:$JD,2,FALSE),"خطا")</f>
        <v>پیکربندی ماژول های پست الکترونیک و پیام کوتاه  بر روی سرویس دهنده های پست الکترونیک و پیام کوتاه کارفرما</v>
      </c>
      <c r="D117" s="80">
        <f>IFERROR(VLOOKUP($A117,GanttChart!$A:$JD,261,FALSE),0)</f>
        <v>0</v>
      </c>
      <c r="E117" s="80">
        <f>IFERROR(VLOOKUP($A117,GanttChart!$A:$JD,262,FALSE),0)</f>
        <v>0</v>
      </c>
      <c r="F117" s="80">
        <f>IFERROR(VLOOKUP($A117,GanttChart!$A:$JD,263,FALSE),0)</f>
        <v>0</v>
      </c>
      <c r="G117" s="81">
        <f>IFERROR(VLOOKUP($A117,GanttChart!$A:$JD,264,FALSE),0)</f>
        <v>0</v>
      </c>
      <c r="H117" s="203"/>
      <c r="I117" s="81">
        <f t="shared" si="0"/>
        <v>0</v>
      </c>
    </row>
    <row r="118" spans="1:9" ht="14.25">
      <c r="A118" s="74">
        <v>6.4</v>
      </c>
      <c r="C118" s="79">
        <f>IFERROR(VLOOKUP($A118,GanttChart!$A:$JD,2,FALSE),"خطا")</f>
        <v>0</v>
      </c>
      <c r="D118" s="80">
        <f>IFERROR(VLOOKUP($A118,GanttChart!$A:$JD,261,FALSE),0)</f>
        <v>0</v>
      </c>
      <c r="E118" s="80">
        <f>IFERROR(VLOOKUP($A118,GanttChart!$A:$JD,262,FALSE),0)</f>
        <v>0</v>
      </c>
      <c r="F118" s="80">
        <f>IFERROR(VLOOKUP($A118,GanttChart!$A:$JD,263,FALSE),0)</f>
        <v>0</v>
      </c>
      <c r="G118" s="81">
        <f>IFERROR(VLOOKUP($A118,GanttChart!$A:$JD,264,FALSE),0)</f>
        <v>0</v>
      </c>
      <c r="H118" s="203"/>
      <c r="I118" s="81">
        <f t="shared" si="0"/>
        <v>0</v>
      </c>
    </row>
    <row r="119" spans="1:9" ht="14.25">
      <c r="A119" s="74">
        <v>6.5</v>
      </c>
      <c r="C119" s="79">
        <f>IFERROR(VLOOKUP($A119,GanttChart!$A:$JD,2,FALSE),"خطا")</f>
        <v>0</v>
      </c>
      <c r="D119" s="80">
        <f>IFERROR(VLOOKUP($A119,GanttChart!$A:$JD,261,FALSE),0)</f>
        <v>0</v>
      </c>
      <c r="E119" s="80">
        <f>IFERROR(VLOOKUP($A119,GanttChart!$A:$JD,262,FALSE),0)</f>
        <v>0</v>
      </c>
      <c r="F119" s="80">
        <f>IFERROR(VLOOKUP($A119,GanttChart!$A:$JD,263,FALSE),0)</f>
        <v>0</v>
      </c>
      <c r="G119" s="81">
        <f>IFERROR(VLOOKUP($A119,GanttChart!$A:$JD,264,FALSE),0)</f>
        <v>0</v>
      </c>
      <c r="H119" s="203"/>
      <c r="I119" s="81">
        <f t="shared" si="0"/>
        <v>0</v>
      </c>
    </row>
    <row r="120" spans="1:9" ht="14.25" hidden="1">
      <c r="A120" s="74">
        <v>6.6</v>
      </c>
      <c r="C120" s="79">
        <f>IFERROR(VLOOKUP($A120,GanttChart!$A:$JD,2,FALSE),"خطا")</f>
        <v>0</v>
      </c>
      <c r="D120" s="80">
        <f>IFERROR(VLOOKUP($A120,GanttChart!$A:$JD,261,FALSE),0)</f>
        <v>0</v>
      </c>
      <c r="E120" s="80">
        <f>IFERROR(VLOOKUP($A120,GanttChart!$A:$JD,262,FALSE),0)</f>
        <v>0</v>
      </c>
      <c r="F120" s="80">
        <f>IFERROR(VLOOKUP($A120,GanttChart!$A:$JD,263,FALSE),0)</f>
        <v>0</v>
      </c>
      <c r="G120" s="81">
        <f>IFERROR(VLOOKUP($A120,GanttChart!$A:$JD,264,FALSE),0)</f>
        <v>0</v>
      </c>
      <c r="H120" s="203"/>
      <c r="I120" s="81">
        <f t="shared" si="0"/>
        <v>0</v>
      </c>
    </row>
    <row r="121" spans="1:9" ht="14.25" hidden="1">
      <c r="A121" s="74">
        <v>6.7</v>
      </c>
      <c r="C121" s="79">
        <f>IFERROR(VLOOKUP($A121,GanttChart!$A:$JD,2,FALSE),"خطا")</f>
        <v>0</v>
      </c>
      <c r="D121" s="80">
        <f>IFERROR(VLOOKUP($A121,GanttChart!$A:$JD,261,FALSE),0)</f>
        <v>0</v>
      </c>
      <c r="E121" s="80">
        <f>IFERROR(VLOOKUP($A121,GanttChart!$A:$JD,262,FALSE),0)</f>
        <v>0</v>
      </c>
      <c r="F121" s="80">
        <f>IFERROR(VLOOKUP($A121,GanttChart!$A:$JD,263,FALSE),0)</f>
        <v>0</v>
      </c>
      <c r="G121" s="81">
        <f>IFERROR(VLOOKUP($A121,GanttChart!$A:$JD,264,FALSE),0)</f>
        <v>0</v>
      </c>
      <c r="H121" s="203"/>
      <c r="I121" s="81">
        <f t="shared" si="0"/>
        <v>0</v>
      </c>
    </row>
    <row r="122" spans="1:9" ht="14.25" hidden="1">
      <c r="A122" s="74">
        <v>6.8</v>
      </c>
      <c r="C122" s="79">
        <f>IFERROR(VLOOKUP($A122,GanttChart!$A:$JD,2,FALSE),"خطا")</f>
        <v>0</v>
      </c>
      <c r="D122" s="80">
        <f>IFERROR(VLOOKUP($A122,GanttChart!$A:$JD,261,FALSE),0)</f>
        <v>0</v>
      </c>
      <c r="E122" s="80">
        <f>IFERROR(VLOOKUP($A122,GanttChart!$A:$JD,262,FALSE),0)</f>
        <v>0</v>
      </c>
      <c r="F122" s="80">
        <f>IFERROR(VLOOKUP($A122,GanttChart!$A:$JD,263,FALSE),0)</f>
        <v>0</v>
      </c>
      <c r="G122" s="81">
        <f>IFERROR(VLOOKUP($A122,GanttChart!$A:$JD,264,FALSE),0)</f>
        <v>0</v>
      </c>
      <c r="H122" s="203"/>
      <c r="I122" s="81">
        <f t="shared" si="0"/>
        <v>0</v>
      </c>
    </row>
    <row r="123" spans="1:9" ht="14.25" hidden="1">
      <c r="A123" s="74">
        <v>6.9</v>
      </c>
      <c r="C123" s="79">
        <f>IFERROR(VLOOKUP($A123,GanttChart!$A:$JD,2,FALSE),"خطا")</f>
        <v>0</v>
      </c>
      <c r="D123" s="80">
        <f>IFERROR(VLOOKUP($A123,GanttChart!$A:$JD,261,FALSE),0)</f>
        <v>0</v>
      </c>
      <c r="E123" s="80">
        <f>IFERROR(VLOOKUP($A123,GanttChart!$A:$JD,262,FALSE),0)</f>
        <v>0</v>
      </c>
      <c r="F123" s="80">
        <f>IFERROR(VLOOKUP($A123,GanttChart!$A:$JD,263,FALSE),0)</f>
        <v>0</v>
      </c>
      <c r="G123" s="81">
        <f>IFERROR(VLOOKUP($A123,GanttChart!$A:$JD,264,FALSE),0)</f>
        <v>0</v>
      </c>
      <c r="H123" s="203"/>
      <c r="I123" s="81">
        <f t="shared" si="0"/>
        <v>0</v>
      </c>
    </row>
    <row r="124" spans="1:9" ht="14.25" hidden="1">
      <c r="A124" s="74">
        <v>6.11</v>
      </c>
      <c r="C124" s="79">
        <f>IFERROR(VLOOKUP($A124,GanttChart!$A:$JD,2,FALSE),"خطا")</f>
        <v>0</v>
      </c>
      <c r="D124" s="80">
        <f>IFERROR(VLOOKUP($A124,GanttChart!$A:$JD,261,FALSE),0)</f>
        <v>0</v>
      </c>
      <c r="E124" s="80">
        <f>IFERROR(VLOOKUP($A124,GanttChart!$A:$JD,262,FALSE),0)</f>
        <v>0</v>
      </c>
      <c r="F124" s="80">
        <f>IFERROR(VLOOKUP($A124,GanttChart!$A:$JD,263,FALSE),0)</f>
        <v>0</v>
      </c>
      <c r="G124" s="81">
        <f>IFERROR(VLOOKUP($A124,GanttChart!$A:$JD,264,FALSE),0)</f>
        <v>0</v>
      </c>
      <c r="H124" s="203"/>
      <c r="I124" s="81">
        <f t="shared" si="0"/>
        <v>0</v>
      </c>
    </row>
    <row r="125" spans="1:9" ht="14.25" hidden="1">
      <c r="A125" s="74">
        <v>6.12</v>
      </c>
      <c r="C125" s="79">
        <f>IFERROR(VLOOKUP($A125,GanttChart!$A:$JD,2,FALSE),"خطا")</f>
        <v>0</v>
      </c>
      <c r="D125" s="80">
        <f>IFERROR(VLOOKUP($A125,GanttChart!$A:$JD,261,FALSE),0)</f>
        <v>0</v>
      </c>
      <c r="E125" s="80">
        <f>IFERROR(VLOOKUP($A125,GanttChart!$A:$JD,262,FALSE),0)</f>
        <v>0</v>
      </c>
      <c r="F125" s="80">
        <f>IFERROR(VLOOKUP($A125,GanttChart!$A:$JD,263,FALSE),0)</f>
        <v>0</v>
      </c>
      <c r="G125" s="81">
        <f>IFERROR(VLOOKUP($A125,GanttChart!$A:$JD,264,FALSE),0)</f>
        <v>0</v>
      </c>
      <c r="H125" s="203"/>
      <c r="I125" s="81">
        <f t="shared" si="0"/>
        <v>0</v>
      </c>
    </row>
    <row r="126" spans="1:9" ht="14.25" hidden="1">
      <c r="A126" s="74">
        <v>6.13</v>
      </c>
      <c r="C126" s="79">
        <f>IFERROR(VLOOKUP($A126,GanttChart!$A:$JD,2,FALSE),"خطا")</f>
        <v>0</v>
      </c>
      <c r="D126" s="80">
        <f>IFERROR(VLOOKUP($A126,GanttChart!$A:$JD,261,FALSE),0)</f>
        <v>0</v>
      </c>
      <c r="E126" s="80">
        <f>IFERROR(VLOOKUP($A126,GanttChart!$A:$JD,262,FALSE),0)</f>
        <v>0</v>
      </c>
      <c r="F126" s="80">
        <f>IFERROR(VLOOKUP($A126,GanttChart!$A:$JD,263,FALSE),0)</f>
        <v>0</v>
      </c>
      <c r="G126" s="81">
        <f>IFERROR(VLOOKUP($A126,GanttChart!$A:$JD,264,FALSE),0)</f>
        <v>0</v>
      </c>
      <c r="H126" s="203"/>
      <c r="I126" s="81">
        <f t="shared" si="0"/>
        <v>0</v>
      </c>
    </row>
    <row r="127" spans="1:9" ht="14.25" hidden="1">
      <c r="A127" s="74">
        <v>6.14</v>
      </c>
      <c r="C127" s="79">
        <f>IFERROR(VLOOKUP($A127,GanttChart!$A:$JD,2,FALSE),"خطا")</f>
        <v>0</v>
      </c>
      <c r="D127" s="80">
        <f>IFERROR(VLOOKUP($A127,GanttChart!$A:$JD,261,FALSE),0)</f>
        <v>0</v>
      </c>
      <c r="E127" s="80">
        <f>IFERROR(VLOOKUP($A127,GanttChart!$A:$JD,262,FALSE),0)</f>
        <v>0</v>
      </c>
      <c r="F127" s="80">
        <f>IFERROR(VLOOKUP($A127,GanttChart!$A:$JD,263,FALSE),0)</f>
        <v>0</v>
      </c>
      <c r="G127" s="81">
        <f>IFERROR(VLOOKUP($A127,GanttChart!$A:$JD,264,FALSE),0)</f>
        <v>0</v>
      </c>
      <c r="H127" s="203"/>
      <c r="I127" s="81">
        <f t="shared" si="0"/>
        <v>0</v>
      </c>
    </row>
    <row r="128" spans="1:9" ht="14.25" hidden="1">
      <c r="A128" s="74">
        <v>6.15</v>
      </c>
      <c r="C128" s="79">
        <f>IFERROR(VLOOKUP($A128,GanttChart!$A:$JD,2,FALSE),"خطا")</f>
        <v>0</v>
      </c>
      <c r="D128" s="80">
        <f>IFERROR(VLOOKUP($A128,GanttChart!$A:$JD,261,FALSE),0)</f>
        <v>0</v>
      </c>
      <c r="E128" s="80">
        <f>IFERROR(VLOOKUP($A128,GanttChart!$A:$JD,262,FALSE),0)</f>
        <v>0</v>
      </c>
      <c r="F128" s="80">
        <f>IFERROR(VLOOKUP($A128,GanttChart!$A:$JD,263,FALSE),0)</f>
        <v>0</v>
      </c>
      <c r="G128" s="81">
        <f>IFERROR(VLOOKUP($A128,GanttChart!$A:$JD,264,FALSE),0)</f>
        <v>0</v>
      </c>
      <c r="H128" s="203"/>
      <c r="I128" s="81">
        <f t="shared" si="0"/>
        <v>0</v>
      </c>
    </row>
    <row r="129" spans="1:9" ht="14.25" hidden="1">
      <c r="A129" s="74">
        <v>6.16</v>
      </c>
      <c r="C129" s="79">
        <f>IFERROR(VLOOKUP($A129,GanttChart!$A:$JD,2,FALSE),"خطا")</f>
        <v>0</v>
      </c>
      <c r="D129" s="80">
        <f>IFERROR(VLOOKUP($A129,GanttChart!$A:$JD,261,FALSE),0)</f>
        <v>0</v>
      </c>
      <c r="E129" s="80">
        <f>IFERROR(VLOOKUP($A129,GanttChart!$A:$JD,262,FALSE),0)</f>
        <v>0</v>
      </c>
      <c r="F129" s="80">
        <f>IFERROR(VLOOKUP($A129,GanttChart!$A:$JD,263,FALSE),0)</f>
        <v>0</v>
      </c>
      <c r="G129" s="81">
        <f>IFERROR(VLOOKUP($A129,GanttChart!$A:$JD,264,FALSE),0)</f>
        <v>0</v>
      </c>
      <c r="H129" s="203"/>
      <c r="I129" s="81">
        <f t="shared" si="0"/>
        <v>0</v>
      </c>
    </row>
    <row r="130" spans="1:9" ht="14.25" hidden="1">
      <c r="A130" s="74">
        <v>6.17</v>
      </c>
      <c r="C130" s="79">
        <f>IFERROR(VLOOKUP($A130,GanttChart!$A:$JD,2,FALSE),"خطا")</f>
        <v>0</v>
      </c>
      <c r="D130" s="80">
        <f>IFERROR(VLOOKUP($A130,GanttChart!$A:$JD,261,FALSE),0)</f>
        <v>0</v>
      </c>
      <c r="E130" s="80">
        <f>IFERROR(VLOOKUP($A130,GanttChart!$A:$JD,262,FALSE),0)</f>
        <v>0</v>
      </c>
      <c r="F130" s="80">
        <f>IFERROR(VLOOKUP($A130,GanttChart!$A:$JD,263,FALSE),0)</f>
        <v>0</v>
      </c>
      <c r="G130" s="81">
        <f>IFERROR(VLOOKUP($A130,GanttChart!$A:$JD,264,FALSE),0)</f>
        <v>0</v>
      </c>
      <c r="H130" s="203"/>
      <c r="I130" s="81">
        <f t="shared" si="0"/>
        <v>0</v>
      </c>
    </row>
    <row r="131" spans="1:9" ht="14.25" hidden="1">
      <c r="A131" s="74">
        <v>6.18</v>
      </c>
      <c r="C131" s="79">
        <f>IFERROR(VLOOKUP($A131,GanttChart!$A:$JD,2,FALSE),"خطا")</f>
        <v>0</v>
      </c>
      <c r="D131" s="80">
        <f>IFERROR(VLOOKUP($A131,GanttChart!$A:$JD,261,FALSE),0)</f>
        <v>0</v>
      </c>
      <c r="E131" s="80">
        <f>IFERROR(VLOOKUP($A131,GanttChart!$A:$JD,262,FALSE),0)</f>
        <v>0</v>
      </c>
      <c r="F131" s="80">
        <f>IFERROR(VLOOKUP($A131,GanttChart!$A:$JD,263,FALSE),0)</f>
        <v>0</v>
      </c>
      <c r="G131" s="81">
        <f>IFERROR(VLOOKUP($A131,GanttChart!$A:$JD,264,FALSE),0)</f>
        <v>0</v>
      </c>
      <c r="H131" s="203"/>
      <c r="I131" s="81">
        <f t="shared" si="0"/>
        <v>0</v>
      </c>
    </row>
    <row r="132" spans="1:9" ht="14.25" hidden="1">
      <c r="A132" s="74">
        <v>6.19</v>
      </c>
      <c r="C132" s="79">
        <f>IFERROR(VLOOKUP($A132,GanttChart!$A:$JD,2,FALSE),"خطا")</f>
        <v>0</v>
      </c>
      <c r="D132" s="80">
        <f>IFERROR(VLOOKUP($A132,GanttChart!$A:$JD,261,FALSE),0)</f>
        <v>0</v>
      </c>
      <c r="E132" s="80">
        <f>IFERROR(VLOOKUP($A132,GanttChart!$A:$JD,262,FALSE),0)</f>
        <v>0</v>
      </c>
      <c r="F132" s="80">
        <f>IFERROR(VLOOKUP($A132,GanttChart!$A:$JD,263,FALSE),0)</f>
        <v>0</v>
      </c>
      <c r="G132" s="81">
        <f>IFERROR(VLOOKUP($A132,GanttChart!$A:$JD,264,FALSE),0)</f>
        <v>0</v>
      </c>
      <c r="H132" s="203"/>
      <c r="I132" s="81">
        <f t="shared" si="0"/>
        <v>0</v>
      </c>
    </row>
    <row r="133" spans="1:9" ht="14.25" hidden="1">
      <c r="A133" s="74">
        <v>6.21</v>
      </c>
      <c r="C133" s="79">
        <f>IFERROR(VLOOKUP($A133,GanttChart!$A:$JD,2,FALSE),"خطا")</f>
        <v>0</v>
      </c>
      <c r="D133" s="80">
        <f>IFERROR(VLOOKUP($A133,GanttChart!$A:$JD,261,FALSE),0)</f>
        <v>0</v>
      </c>
      <c r="E133" s="80">
        <f>IFERROR(VLOOKUP($A133,GanttChart!$A:$JD,262,FALSE),0)</f>
        <v>0</v>
      </c>
      <c r="F133" s="80">
        <f>IFERROR(VLOOKUP($A133,GanttChart!$A:$JD,263,FALSE),0)</f>
        <v>0</v>
      </c>
      <c r="G133" s="81">
        <f>IFERROR(VLOOKUP($A133,GanttChart!$A:$JD,264,FALSE),0)</f>
        <v>0</v>
      </c>
      <c r="H133" s="203"/>
      <c r="I133" s="81">
        <f t="shared" si="0"/>
        <v>0</v>
      </c>
    </row>
    <row r="134" spans="1:9" ht="14.25" hidden="1">
      <c r="A134" s="74">
        <v>6.22</v>
      </c>
      <c r="C134" s="79">
        <f>IFERROR(VLOOKUP($A134,GanttChart!$A:$JD,2,FALSE),"خطا")</f>
        <v>0</v>
      </c>
      <c r="D134" s="80">
        <f>IFERROR(VLOOKUP($A134,GanttChart!$A:$JD,261,FALSE),0)</f>
        <v>0</v>
      </c>
      <c r="E134" s="80">
        <f>IFERROR(VLOOKUP($A134,GanttChart!$A:$JD,262,FALSE),0)</f>
        <v>0</v>
      </c>
      <c r="F134" s="80">
        <f>IFERROR(VLOOKUP($A134,GanttChart!$A:$JD,263,FALSE),0)</f>
        <v>0</v>
      </c>
      <c r="G134" s="81">
        <f>IFERROR(VLOOKUP($A134,GanttChart!$A:$JD,264,FALSE),0)</f>
        <v>0</v>
      </c>
      <c r="H134" s="203"/>
      <c r="I134" s="81">
        <f t="shared" si="0"/>
        <v>0</v>
      </c>
    </row>
    <row r="135" spans="1:9" ht="14.25" hidden="1">
      <c r="A135" s="74">
        <v>6.23</v>
      </c>
      <c r="C135" s="79">
        <f>IFERROR(VLOOKUP($A135,GanttChart!$A:$JD,2,FALSE),"خطا")</f>
        <v>0</v>
      </c>
      <c r="D135" s="80">
        <f>IFERROR(VLOOKUP($A135,GanttChart!$A:$JD,261,FALSE),0)</f>
        <v>0</v>
      </c>
      <c r="E135" s="80">
        <f>IFERROR(VLOOKUP($A135,GanttChart!$A:$JD,262,FALSE),0)</f>
        <v>0</v>
      </c>
      <c r="F135" s="80">
        <f>IFERROR(VLOOKUP($A135,GanttChart!$A:$JD,263,FALSE),0)</f>
        <v>0</v>
      </c>
      <c r="G135" s="81">
        <f>IFERROR(VLOOKUP($A135,GanttChart!$A:$JD,264,FALSE),0)</f>
        <v>0</v>
      </c>
      <c r="H135" s="203"/>
      <c r="I135" s="81">
        <f t="shared" si="0"/>
        <v>0</v>
      </c>
    </row>
    <row r="136" spans="1:9" ht="14.25" hidden="1">
      <c r="A136" s="74">
        <v>7</v>
      </c>
      <c r="C136" s="79" t="str">
        <f>IFERROR(VLOOKUP($A136,GanttChart!$A:$JD,2,FALSE),"خطا")</f>
        <v>تحویل نهايي دستاوردهای پروژه</v>
      </c>
      <c r="D136" s="80">
        <f>IFERROR(VLOOKUP($A136,GanttChart!$A:$JD,261,FALSE),0)</f>
        <v>0</v>
      </c>
      <c r="E136" s="80">
        <f>IFERROR(VLOOKUP($A136,GanttChart!$A:$JD,262,FALSE),0)</f>
        <v>0</v>
      </c>
      <c r="F136" s="80">
        <f>IFERROR(VLOOKUP($A136,GanttChart!$A:$JD,263,FALSE),0)</f>
        <v>0</v>
      </c>
      <c r="G136" s="81">
        <f>IFERROR(VLOOKUP($A136,GanttChart!$A:$JD,264,FALSE),0)</f>
        <v>0</v>
      </c>
      <c r="H136" s="203"/>
      <c r="I136" s="81">
        <f t="shared" si="0"/>
        <v>0</v>
      </c>
    </row>
    <row r="137" spans="1:9" ht="14.25">
      <c r="A137" s="74">
        <v>7.1</v>
      </c>
      <c r="C137" s="79" t="str">
        <f>IFERROR(VLOOKUP($A137,GanttChart!$A:$JD,2,FALSE),"خطا")</f>
        <v>تنظیم و امضاء صورت جلسه تحویل پروژه</v>
      </c>
      <c r="D137" s="80">
        <f>IFERROR(VLOOKUP($A137,GanttChart!$A:$JD,261,FALSE),0)</f>
        <v>0</v>
      </c>
      <c r="E137" s="80">
        <f>IFERROR(VLOOKUP($A137,GanttChart!$A:$JD,262,FALSE),0)</f>
        <v>0</v>
      </c>
      <c r="F137" s="80">
        <f>IFERROR(VLOOKUP($A137,GanttChart!$A:$JD,263,FALSE),0)</f>
        <v>0</v>
      </c>
      <c r="G137" s="81">
        <f>IFERROR(VLOOKUP($A137,GanttChart!$A:$JD,264,FALSE),0)</f>
        <v>0</v>
      </c>
      <c r="H137" s="203"/>
      <c r="I137" s="81">
        <f t="shared" si="0"/>
        <v>0</v>
      </c>
    </row>
    <row r="138" spans="1:9" ht="14.25">
      <c r="A138" s="74">
        <v>7.2</v>
      </c>
      <c r="C138" s="79" t="str">
        <f>IFERROR(VLOOKUP($A138,GanttChart!$A:$JD,2,FALSE),"خطا")</f>
        <v>انتقال پورتال به دامنه اصلی کارفرما</v>
      </c>
      <c r="D138" s="80">
        <f>IFERROR(VLOOKUP($A138,GanttChart!$A:$JD,261,FALSE),0)</f>
        <v>0</v>
      </c>
      <c r="E138" s="80">
        <f>IFERROR(VLOOKUP($A138,GanttChart!$A:$JD,262,FALSE),0)</f>
        <v>0</v>
      </c>
      <c r="F138" s="80">
        <f>IFERROR(VLOOKUP($A138,GanttChart!$A:$JD,263,FALSE),0)</f>
        <v>0</v>
      </c>
      <c r="G138" s="81">
        <f>IFERROR(VLOOKUP($A138,GanttChart!$A:$JD,264,FALSE),0)</f>
        <v>0</v>
      </c>
      <c r="H138" s="203"/>
      <c r="I138" s="81">
        <f t="shared" si="0"/>
        <v>0</v>
      </c>
    </row>
    <row r="139" spans="1:9" ht="14.25">
      <c r="A139" s="74">
        <v>7.3</v>
      </c>
      <c r="C139" s="79">
        <f>IFERROR(VLOOKUP($A139,GanttChart!$A:$JD,2,FALSE),"خطا")</f>
        <v>0</v>
      </c>
      <c r="D139" s="80">
        <f>IFERROR(VLOOKUP($A139,GanttChart!$A:$JD,261,FALSE),0)</f>
        <v>0</v>
      </c>
      <c r="E139" s="80">
        <f>IFERROR(VLOOKUP($A139,GanttChart!$A:$JD,262,FALSE),0)</f>
        <v>0</v>
      </c>
      <c r="F139" s="80">
        <f>IFERROR(VLOOKUP($A139,GanttChart!$A:$JD,263,FALSE),0)</f>
        <v>0</v>
      </c>
      <c r="G139" s="81">
        <f>IFERROR(VLOOKUP($A139,GanttChart!$A:$JD,264,FALSE),0)</f>
        <v>0</v>
      </c>
      <c r="H139" s="203"/>
      <c r="I139" s="81">
        <f t="shared" si="0"/>
        <v>0</v>
      </c>
    </row>
    <row r="140" spans="1:9" ht="14.25" hidden="1">
      <c r="A140" s="74">
        <v>7.4</v>
      </c>
      <c r="C140" s="79">
        <f>IFERROR(VLOOKUP($A140,GanttChart!$A:$JD,2,FALSE),"خطا")</f>
        <v>0</v>
      </c>
      <c r="D140" s="80">
        <f>IFERROR(VLOOKUP($A140,GanttChart!$A:$JD,261,FALSE),0)</f>
        <v>0</v>
      </c>
      <c r="E140" s="80">
        <f>IFERROR(VLOOKUP($A140,GanttChart!$A:$JD,262,FALSE),0)</f>
        <v>0</v>
      </c>
      <c r="F140" s="80">
        <f>IFERROR(VLOOKUP($A140,GanttChart!$A:$JD,263,FALSE),0)</f>
        <v>0</v>
      </c>
      <c r="G140" s="81">
        <f>IFERROR(VLOOKUP($A140,GanttChart!$A:$JD,264,FALSE),0)</f>
        <v>0</v>
      </c>
      <c r="H140" s="203"/>
      <c r="I140" s="81">
        <f t="shared" si="0"/>
        <v>0</v>
      </c>
    </row>
    <row r="141" spans="1:9" ht="14.25" hidden="1">
      <c r="A141" s="74">
        <v>7.5</v>
      </c>
      <c r="C141" s="79">
        <f>IFERROR(VLOOKUP($A141,GanttChart!$A:$JD,2,FALSE),"خطا")</f>
        <v>0</v>
      </c>
      <c r="D141" s="80">
        <f>IFERROR(VLOOKUP($A141,GanttChart!$A:$JD,261,FALSE),0)</f>
        <v>0</v>
      </c>
      <c r="E141" s="80">
        <f>IFERROR(VLOOKUP($A141,GanttChart!$A:$JD,262,FALSE),0)</f>
        <v>0</v>
      </c>
      <c r="F141" s="80">
        <f>IFERROR(VLOOKUP($A141,GanttChart!$A:$JD,263,FALSE),0)</f>
        <v>0</v>
      </c>
      <c r="G141" s="81">
        <f>IFERROR(VLOOKUP($A141,GanttChart!$A:$JD,264,FALSE),0)</f>
        <v>0</v>
      </c>
      <c r="H141" s="203"/>
      <c r="I141" s="81">
        <f t="shared" si="0"/>
        <v>0</v>
      </c>
    </row>
    <row r="142" spans="1:9" ht="14.25" hidden="1">
      <c r="A142" s="74">
        <v>7.6</v>
      </c>
      <c r="C142" s="79">
        <f>IFERROR(VLOOKUP($A142,GanttChart!$A:$JD,2,FALSE),"خطا")</f>
        <v>0</v>
      </c>
      <c r="D142" s="80">
        <f>IFERROR(VLOOKUP($A142,GanttChart!$A:$JD,261,FALSE),0)</f>
        <v>0</v>
      </c>
      <c r="E142" s="80">
        <f>IFERROR(VLOOKUP($A142,GanttChart!$A:$JD,262,FALSE),0)</f>
        <v>0</v>
      </c>
      <c r="F142" s="80">
        <f>IFERROR(VLOOKUP($A142,GanttChart!$A:$JD,263,FALSE),0)</f>
        <v>0</v>
      </c>
      <c r="G142" s="81">
        <f>IFERROR(VLOOKUP($A142,GanttChart!$A:$JD,264,FALSE),0)</f>
        <v>0</v>
      </c>
      <c r="H142" s="203"/>
      <c r="I142" s="81">
        <f t="shared" si="0"/>
        <v>0</v>
      </c>
    </row>
    <row r="143" spans="1:9" ht="14.25" hidden="1">
      <c r="A143" s="74">
        <v>7.7</v>
      </c>
      <c r="C143" s="79">
        <f>IFERROR(VLOOKUP($A143,GanttChart!$A:$JD,2,FALSE),"خطا")</f>
        <v>0</v>
      </c>
      <c r="D143" s="80">
        <f>IFERROR(VLOOKUP($A143,GanttChart!$A:$JD,261,FALSE),0)</f>
        <v>0</v>
      </c>
      <c r="E143" s="80">
        <f>IFERROR(VLOOKUP($A143,GanttChart!$A:$JD,262,FALSE),0)</f>
        <v>0</v>
      </c>
      <c r="F143" s="80">
        <f>IFERROR(VLOOKUP($A143,GanttChart!$A:$JD,263,FALSE),0)</f>
        <v>0</v>
      </c>
      <c r="G143" s="81">
        <f>IFERROR(VLOOKUP($A143,GanttChart!$A:$JD,264,FALSE),0)</f>
        <v>0</v>
      </c>
      <c r="H143" s="203"/>
      <c r="I143" s="81">
        <f t="shared" si="0"/>
        <v>0</v>
      </c>
    </row>
    <row r="144" spans="1:9" ht="14.25" hidden="1">
      <c r="A144" s="74">
        <v>7.8</v>
      </c>
      <c r="C144" s="79">
        <f>IFERROR(VLOOKUP($A144,GanttChart!$A:$JD,2,FALSE),"خطا")</f>
        <v>0</v>
      </c>
      <c r="D144" s="80">
        <f>IFERROR(VLOOKUP($A144,GanttChart!$A:$JD,261,FALSE),0)</f>
        <v>0</v>
      </c>
      <c r="E144" s="80">
        <f>IFERROR(VLOOKUP($A144,GanttChart!$A:$JD,262,FALSE),0)</f>
        <v>0</v>
      </c>
      <c r="F144" s="80">
        <f>IFERROR(VLOOKUP($A144,GanttChart!$A:$JD,263,FALSE),0)</f>
        <v>0</v>
      </c>
      <c r="G144" s="81">
        <f>IFERROR(VLOOKUP($A144,GanttChart!$A:$JD,264,FALSE),0)</f>
        <v>0</v>
      </c>
      <c r="H144" s="203"/>
      <c r="I144" s="81">
        <f t="shared" si="0"/>
        <v>0</v>
      </c>
    </row>
    <row r="145" spans="1:9" ht="14.25" hidden="1">
      <c r="A145" s="74">
        <v>7.9</v>
      </c>
      <c r="C145" s="79">
        <f>IFERROR(VLOOKUP($A145,GanttChart!$A:$JD,2,FALSE),"خطا")</f>
        <v>0</v>
      </c>
      <c r="D145" s="80">
        <f>IFERROR(VLOOKUP($A145,GanttChart!$A:$JD,261,FALSE),0)</f>
        <v>0</v>
      </c>
      <c r="E145" s="80">
        <f>IFERROR(VLOOKUP($A145,GanttChart!$A:$JD,262,FALSE),0)</f>
        <v>0</v>
      </c>
      <c r="F145" s="80">
        <f>IFERROR(VLOOKUP($A145,GanttChart!$A:$JD,263,FALSE),0)</f>
        <v>0</v>
      </c>
      <c r="G145" s="81">
        <f>IFERROR(VLOOKUP($A145,GanttChart!$A:$JD,264,FALSE),0)</f>
        <v>0</v>
      </c>
      <c r="H145" s="203"/>
      <c r="I145" s="81">
        <f t="shared" si="0"/>
        <v>0</v>
      </c>
    </row>
    <row r="146" spans="1:9" ht="14.25" hidden="1">
      <c r="A146" s="74">
        <v>7.11</v>
      </c>
      <c r="C146" s="79">
        <f>IFERROR(VLOOKUP($A146,GanttChart!$A:$JD,2,FALSE),"خطا")</f>
        <v>0</v>
      </c>
      <c r="D146" s="80">
        <f>IFERROR(VLOOKUP($A146,GanttChart!$A:$JD,261,FALSE),0)</f>
        <v>0</v>
      </c>
      <c r="E146" s="80">
        <f>IFERROR(VLOOKUP($A146,GanttChart!$A:$JD,262,FALSE),0)</f>
        <v>0</v>
      </c>
      <c r="F146" s="80">
        <f>IFERROR(VLOOKUP($A146,GanttChart!$A:$JD,263,FALSE),0)</f>
        <v>0</v>
      </c>
      <c r="G146" s="81">
        <f>IFERROR(VLOOKUP($A146,GanttChart!$A:$JD,264,FALSE),0)</f>
        <v>0</v>
      </c>
      <c r="H146" s="203"/>
      <c r="I146" s="81">
        <f t="shared" si="0"/>
        <v>0</v>
      </c>
    </row>
    <row r="147" spans="1:9" ht="14.25" hidden="1">
      <c r="A147" s="74">
        <v>7.12</v>
      </c>
      <c r="C147" s="79">
        <f>IFERROR(VLOOKUP($A147,GanttChart!$A:$JD,2,FALSE),"خطا")</f>
        <v>0</v>
      </c>
      <c r="D147" s="80">
        <f>IFERROR(VLOOKUP($A147,GanttChart!$A:$JD,261,FALSE),0)</f>
        <v>0</v>
      </c>
      <c r="E147" s="80">
        <f>IFERROR(VLOOKUP($A147,GanttChart!$A:$JD,262,FALSE),0)</f>
        <v>0</v>
      </c>
      <c r="F147" s="80">
        <f>IFERROR(VLOOKUP($A147,GanttChart!$A:$JD,263,FALSE),0)</f>
        <v>0</v>
      </c>
      <c r="G147" s="81">
        <f>IFERROR(VLOOKUP($A147,GanttChart!$A:$JD,264,FALSE),0)</f>
        <v>0</v>
      </c>
      <c r="H147" s="203"/>
      <c r="I147" s="81">
        <f t="shared" si="0"/>
        <v>0</v>
      </c>
    </row>
    <row r="148" spans="1:9" ht="14.25" hidden="1">
      <c r="A148" s="74">
        <v>7.13</v>
      </c>
      <c r="C148" s="79">
        <f>IFERROR(VLOOKUP($A148,GanttChart!$A:$JD,2,FALSE),"خطا")</f>
        <v>0</v>
      </c>
      <c r="D148" s="80">
        <f>IFERROR(VLOOKUP($A148,GanttChart!$A:$JD,261,FALSE),0)</f>
        <v>0</v>
      </c>
      <c r="E148" s="80">
        <f>IFERROR(VLOOKUP($A148,GanttChart!$A:$JD,262,FALSE),0)</f>
        <v>0</v>
      </c>
      <c r="F148" s="80">
        <f>IFERROR(VLOOKUP($A148,GanttChart!$A:$JD,263,FALSE),0)</f>
        <v>0</v>
      </c>
      <c r="G148" s="81">
        <f>IFERROR(VLOOKUP($A148,GanttChart!$A:$JD,264,FALSE),0)</f>
        <v>0</v>
      </c>
      <c r="H148" s="203"/>
      <c r="I148" s="81">
        <f t="shared" si="0"/>
        <v>0</v>
      </c>
    </row>
    <row r="149" spans="1:9" ht="14.25" hidden="1">
      <c r="A149" s="74">
        <v>7.14</v>
      </c>
      <c r="C149" s="79">
        <f>IFERROR(VLOOKUP($A149,GanttChart!$A:$JD,2,FALSE),"خطا")</f>
        <v>0</v>
      </c>
      <c r="D149" s="80">
        <f>IFERROR(VLOOKUP($A149,GanttChart!$A:$JD,261,FALSE),0)</f>
        <v>0</v>
      </c>
      <c r="E149" s="80">
        <f>IFERROR(VLOOKUP($A149,GanttChart!$A:$JD,262,FALSE),0)</f>
        <v>0</v>
      </c>
      <c r="F149" s="80">
        <f>IFERROR(VLOOKUP($A149,GanttChart!$A:$JD,263,FALSE),0)</f>
        <v>0</v>
      </c>
      <c r="G149" s="81">
        <f>IFERROR(VLOOKUP($A149,GanttChart!$A:$JD,264,FALSE),0)</f>
        <v>0</v>
      </c>
      <c r="H149" s="203"/>
      <c r="I149" s="81">
        <f t="shared" si="0"/>
        <v>0</v>
      </c>
    </row>
    <row r="150" spans="1:9" ht="14.25" hidden="1">
      <c r="A150" s="74">
        <v>7.15</v>
      </c>
      <c r="C150" s="79">
        <f>IFERROR(VLOOKUP($A150,GanttChart!$A:$JD,2,FALSE),"خطا")</f>
        <v>0</v>
      </c>
      <c r="D150" s="80">
        <f>IFERROR(VLOOKUP($A150,GanttChart!$A:$JD,261,FALSE),0)</f>
        <v>0</v>
      </c>
      <c r="E150" s="80">
        <f>IFERROR(VLOOKUP($A150,GanttChart!$A:$JD,262,FALSE),0)</f>
        <v>0</v>
      </c>
      <c r="F150" s="80">
        <f>IFERROR(VLOOKUP($A150,GanttChart!$A:$JD,263,FALSE),0)</f>
        <v>0</v>
      </c>
      <c r="G150" s="81">
        <f>IFERROR(VLOOKUP($A150,GanttChart!$A:$JD,264,FALSE),0)</f>
        <v>0</v>
      </c>
      <c r="H150" s="203"/>
      <c r="I150" s="81">
        <f t="shared" si="0"/>
        <v>0</v>
      </c>
    </row>
    <row r="151" spans="1:9" ht="14.25" hidden="1">
      <c r="A151" s="74">
        <v>7.16</v>
      </c>
      <c r="C151" s="79">
        <f>IFERROR(VLOOKUP($A151,GanttChart!$A:$JD,2,FALSE),"خطا")</f>
        <v>0</v>
      </c>
      <c r="D151" s="80">
        <f>IFERROR(VLOOKUP($A151,GanttChart!$A:$JD,261,FALSE),0)</f>
        <v>0</v>
      </c>
      <c r="E151" s="80">
        <f>IFERROR(VLOOKUP($A151,GanttChart!$A:$JD,262,FALSE),0)</f>
        <v>0</v>
      </c>
      <c r="F151" s="80">
        <f>IFERROR(VLOOKUP($A151,GanttChart!$A:$JD,263,FALSE),0)</f>
        <v>0</v>
      </c>
      <c r="G151" s="81">
        <f>IFERROR(VLOOKUP($A151,GanttChart!$A:$JD,264,FALSE),0)</f>
        <v>0</v>
      </c>
      <c r="H151" s="203"/>
      <c r="I151" s="81">
        <f t="shared" si="0"/>
        <v>0</v>
      </c>
    </row>
    <row r="152" spans="1:9" ht="14.25" hidden="1">
      <c r="A152" s="74">
        <v>7.17</v>
      </c>
      <c r="C152" s="79">
        <f>IFERROR(VLOOKUP($A152,GanttChart!$A:$JD,2,FALSE),"خطا")</f>
        <v>0</v>
      </c>
      <c r="D152" s="80">
        <f>IFERROR(VLOOKUP($A152,GanttChart!$A:$JD,261,FALSE),0)</f>
        <v>0</v>
      </c>
      <c r="E152" s="80">
        <f>IFERROR(VLOOKUP($A152,GanttChart!$A:$JD,262,FALSE),0)</f>
        <v>0</v>
      </c>
      <c r="F152" s="80">
        <f>IFERROR(VLOOKUP($A152,GanttChart!$A:$JD,263,FALSE),0)</f>
        <v>0</v>
      </c>
      <c r="G152" s="81">
        <f>IFERROR(VLOOKUP($A152,GanttChart!$A:$JD,264,FALSE),0)</f>
        <v>0</v>
      </c>
      <c r="H152" s="203"/>
      <c r="I152" s="81">
        <f t="shared" si="0"/>
        <v>0</v>
      </c>
    </row>
    <row r="153" spans="1:9" ht="14.25" hidden="1">
      <c r="A153" s="74">
        <v>7.18</v>
      </c>
      <c r="C153" s="79">
        <f>IFERROR(VLOOKUP($A153,GanttChart!$A:$JD,2,FALSE),"خطا")</f>
        <v>0</v>
      </c>
      <c r="D153" s="80">
        <f>IFERROR(VLOOKUP($A153,GanttChart!$A:$JD,261,FALSE),0)</f>
        <v>0</v>
      </c>
      <c r="E153" s="80">
        <f>IFERROR(VLOOKUP($A153,GanttChart!$A:$JD,262,FALSE),0)</f>
        <v>0</v>
      </c>
      <c r="F153" s="80">
        <f>IFERROR(VLOOKUP($A153,GanttChart!$A:$JD,263,FALSE),0)</f>
        <v>0</v>
      </c>
      <c r="G153" s="81">
        <f>IFERROR(VLOOKUP($A153,GanttChart!$A:$JD,264,FALSE),0)</f>
        <v>0</v>
      </c>
      <c r="H153" s="203"/>
      <c r="I153" s="81">
        <f t="shared" si="0"/>
        <v>0</v>
      </c>
    </row>
    <row r="154" spans="1:9" ht="14.25" hidden="1">
      <c r="A154" s="74">
        <v>7.19</v>
      </c>
      <c r="C154" s="79">
        <f>IFERROR(VLOOKUP($A154,GanttChart!$A:$JD,2,FALSE),"خطا")</f>
        <v>0</v>
      </c>
      <c r="D154" s="80">
        <f>IFERROR(VLOOKUP($A154,GanttChart!$A:$JD,261,FALSE),0)</f>
        <v>0</v>
      </c>
      <c r="E154" s="80">
        <f>IFERROR(VLOOKUP($A154,GanttChart!$A:$JD,262,FALSE),0)</f>
        <v>0</v>
      </c>
      <c r="F154" s="80">
        <f>IFERROR(VLOOKUP($A154,GanttChart!$A:$JD,263,FALSE),0)</f>
        <v>0</v>
      </c>
      <c r="G154" s="81">
        <f>IFERROR(VLOOKUP($A154,GanttChart!$A:$JD,264,FALSE),0)</f>
        <v>0</v>
      </c>
      <c r="H154" s="203"/>
      <c r="I154" s="81">
        <f t="shared" si="0"/>
        <v>0</v>
      </c>
    </row>
    <row r="155" spans="1:9" ht="14.25" hidden="1">
      <c r="A155" s="74">
        <v>7.21</v>
      </c>
      <c r="C155" s="79">
        <f>IFERROR(VLOOKUP($A155,GanttChart!$A:$JD,2,FALSE),"خطا")</f>
        <v>0</v>
      </c>
      <c r="D155" s="80">
        <f>IFERROR(VLOOKUP($A155,GanttChart!$A:$JD,261,FALSE),0)</f>
        <v>0</v>
      </c>
      <c r="E155" s="80">
        <f>IFERROR(VLOOKUP($A155,GanttChart!$A:$JD,262,FALSE),0)</f>
        <v>0</v>
      </c>
      <c r="F155" s="80">
        <f>IFERROR(VLOOKUP($A155,GanttChart!$A:$JD,263,FALSE),0)</f>
        <v>0</v>
      </c>
      <c r="G155" s="81">
        <f>IFERROR(VLOOKUP($A155,GanttChart!$A:$JD,264,FALSE),0)</f>
        <v>0</v>
      </c>
      <c r="H155" s="203"/>
      <c r="I155" s="81">
        <f t="shared" si="0"/>
        <v>0</v>
      </c>
    </row>
    <row r="156" spans="1:9" ht="14.25" hidden="1">
      <c r="A156" s="74">
        <v>7.22</v>
      </c>
      <c r="C156" s="79">
        <f>IFERROR(VLOOKUP($A156,GanttChart!$A:$JD,2,FALSE),"خطا")</f>
        <v>0</v>
      </c>
      <c r="D156" s="80">
        <f>IFERROR(VLOOKUP($A156,GanttChart!$A:$JD,261,FALSE),0)</f>
        <v>0</v>
      </c>
      <c r="E156" s="80">
        <f>IFERROR(VLOOKUP($A156,GanttChart!$A:$JD,262,FALSE),0)</f>
        <v>0</v>
      </c>
      <c r="F156" s="80">
        <f>IFERROR(VLOOKUP($A156,GanttChart!$A:$JD,263,FALSE),0)</f>
        <v>0</v>
      </c>
      <c r="G156" s="81">
        <f>IFERROR(VLOOKUP($A156,GanttChart!$A:$JD,264,FALSE),0)</f>
        <v>0</v>
      </c>
      <c r="H156" s="203"/>
      <c r="I156" s="81">
        <f t="shared" si="0"/>
        <v>0</v>
      </c>
    </row>
    <row r="157" spans="1:9" ht="14.25" hidden="1">
      <c r="A157" s="74">
        <v>7.23</v>
      </c>
      <c r="C157" s="79">
        <f>IFERROR(VLOOKUP($A157,GanttChart!$A:$JD,2,FALSE),"خطا")</f>
        <v>0</v>
      </c>
      <c r="D157" s="80">
        <f>IFERROR(VLOOKUP($A157,GanttChart!$A:$JD,261,FALSE),0)</f>
        <v>0</v>
      </c>
      <c r="E157" s="80">
        <f>IFERROR(VLOOKUP($A157,GanttChart!$A:$JD,262,FALSE),0)</f>
        <v>0</v>
      </c>
      <c r="F157" s="80">
        <f>IFERROR(VLOOKUP($A157,GanttChart!$A:$JD,263,FALSE),0)</f>
        <v>0</v>
      </c>
      <c r="G157" s="81">
        <f>IFERROR(VLOOKUP($A157,GanttChart!$A:$JD,264,FALSE),0)</f>
        <v>0</v>
      </c>
      <c r="H157" s="203"/>
      <c r="I157" s="81">
        <f t="shared" si="0"/>
        <v>0</v>
      </c>
    </row>
    <row r="158" spans="1:9" ht="14.25" hidden="1">
      <c r="A158" s="74">
        <v>8</v>
      </c>
      <c r="C158" s="79">
        <f>IFERROR(VLOOKUP($A158,GanttChart!$A:$JD,2,FALSE),"خطا")</f>
        <v>0</v>
      </c>
      <c r="D158" s="80">
        <f>IFERROR(VLOOKUP($A158,GanttChart!$A:$JD,261,FALSE),0)</f>
        <v>0</v>
      </c>
      <c r="E158" s="80">
        <f>IFERROR(VLOOKUP($A158,GanttChart!$A:$JD,262,FALSE),0)</f>
        <v>0</v>
      </c>
      <c r="F158" s="80">
        <f>IFERROR(VLOOKUP($A158,GanttChart!$A:$JD,263,FALSE),0)</f>
        <v>0</v>
      </c>
      <c r="G158" s="81">
        <f>IFERROR(VLOOKUP($A158,GanttChart!$A:$JD,264,FALSE),0)</f>
        <v>0</v>
      </c>
      <c r="H158" s="203"/>
      <c r="I158" s="81">
        <f t="shared" si="0"/>
        <v>0</v>
      </c>
    </row>
    <row r="159" spans="1:9" ht="14.25">
      <c r="A159" s="74">
        <v>8.1</v>
      </c>
      <c r="C159" s="79">
        <f>IFERROR(VLOOKUP($A159,GanttChart!$A:$JD,2,FALSE),"خطا")</f>
        <v>0</v>
      </c>
      <c r="D159" s="80">
        <f>IFERROR(VLOOKUP($A159,GanttChart!$A:$JD,261,FALSE),0)</f>
        <v>0</v>
      </c>
      <c r="E159" s="80">
        <f>IFERROR(VLOOKUP($A159,GanttChart!$A:$JD,262,FALSE),0)</f>
        <v>0</v>
      </c>
      <c r="F159" s="80">
        <f>IFERROR(VLOOKUP($A159,GanttChart!$A:$JD,263,FALSE),0)</f>
        <v>0</v>
      </c>
      <c r="G159" s="81">
        <f>IFERROR(VLOOKUP($A159,GanttChart!$A:$JD,264,FALSE),0)</f>
        <v>0</v>
      </c>
      <c r="H159" s="203"/>
      <c r="I159" s="81">
        <f t="shared" si="0"/>
        <v>0</v>
      </c>
    </row>
    <row r="160" spans="1:9" ht="14.25" hidden="1">
      <c r="A160" s="74">
        <v>8.1999999999999993</v>
      </c>
      <c r="C160" s="79">
        <f>IFERROR(VLOOKUP($A160,GanttChart!$A:$JD,2,FALSE),"خطا")</f>
        <v>0</v>
      </c>
      <c r="D160" s="80">
        <f>IFERROR(VLOOKUP($A160,GanttChart!$A:$JD,261,FALSE),0)</f>
        <v>0</v>
      </c>
      <c r="E160" s="80">
        <f>IFERROR(VLOOKUP($A160,GanttChart!$A:$JD,262,FALSE),0)</f>
        <v>0</v>
      </c>
      <c r="F160" s="80">
        <f>IFERROR(VLOOKUP($A160,GanttChart!$A:$JD,263,FALSE),0)</f>
        <v>0</v>
      </c>
      <c r="G160" s="81">
        <f>IFERROR(VLOOKUP($A160,GanttChart!$A:$JD,264,FALSE),0)</f>
        <v>0</v>
      </c>
      <c r="H160" s="203"/>
      <c r="I160" s="81">
        <f t="shared" si="0"/>
        <v>0</v>
      </c>
    </row>
    <row r="161" spans="1:9" ht="14.25" hidden="1">
      <c r="A161" s="85">
        <v>8.3000000000000007</v>
      </c>
      <c r="C161" s="79">
        <f>IFERROR(VLOOKUP($A161,GanttChart!$A:$JD,2,FALSE),"خطا")</f>
        <v>0</v>
      </c>
      <c r="D161" s="80">
        <f>IFERROR(VLOOKUP($A161,GanttChart!$A:$JD,261,FALSE),0)</f>
        <v>0</v>
      </c>
      <c r="E161" s="80">
        <f>IFERROR(VLOOKUP($A161,GanttChart!$A:$JD,262,FALSE),0)</f>
        <v>0</v>
      </c>
      <c r="F161" s="80">
        <f>IFERROR(VLOOKUP($A161,GanttChart!$A:$JD,263,FALSE),0)</f>
        <v>0</v>
      </c>
      <c r="G161" s="81">
        <f>IFERROR(VLOOKUP($A161,GanttChart!$A:$JD,264,FALSE),0)</f>
        <v>0</v>
      </c>
      <c r="H161" s="203"/>
      <c r="I161" s="81">
        <f t="shared" ref="I161:I179" si="1">G161-(H161*G161)</f>
        <v>0</v>
      </c>
    </row>
    <row r="162" spans="1:9" ht="14.25">
      <c r="A162" s="85">
        <v>8.4</v>
      </c>
      <c r="C162" s="79">
        <f>IFERROR(VLOOKUP($A162,GanttChart!$A:$JD,2,FALSE),"خطا")</f>
        <v>0</v>
      </c>
      <c r="D162" s="80">
        <f>IFERROR(VLOOKUP($A162,GanttChart!$A:$JD,261,FALSE),0)</f>
        <v>0</v>
      </c>
      <c r="E162" s="80">
        <f>IFERROR(VLOOKUP($A162,GanttChart!$A:$JD,262,FALSE),0)</f>
        <v>0</v>
      </c>
      <c r="F162" s="80">
        <f>IFERROR(VLOOKUP($A162,GanttChart!$A:$JD,263,FALSE),0)</f>
        <v>0</v>
      </c>
      <c r="G162" s="81">
        <f>IFERROR(VLOOKUP($A162,GanttChart!$A:$JD,264,FALSE),0)</f>
        <v>0</v>
      </c>
      <c r="H162" s="203"/>
      <c r="I162" s="81">
        <f t="shared" si="1"/>
        <v>0</v>
      </c>
    </row>
    <row r="163" spans="1:9" ht="14.25" hidden="1">
      <c r="A163" s="74">
        <v>8.5</v>
      </c>
      <c r="C163" s="79">
        <f>IFERROR(VLOOKUP($A163,GanttChart!$A:$JD,2,FALSE),"خطا")</f>
        <v>0</v>
      </c>
      <c r="D163" s="80">
        <f>IFERROR(VLOOKUP($A163,GanttChart!$A:$JD,261,FALSE),0)</f>
        <v>0</v>
      </c>
      <c r="E163" s="80">
        <f>IFERROR(VLOOKUP($A163,GanttChart!$A:$JD,262,FALSE),0)</f>
        <v>0</v>
      </c>
      <c r="F163" s="80">
        <f>IFERROR(VLOOKUP($A163,GanttChart!$A:$JD,263,FALSE),0)</f>
        <v>0</v>
      </c>
      <c r="G163" s="81">
        <f>IFERROR(VLOOKUP($A163,GanttChart!$A:$JD,264,FALSE),0)</f>
        <v>0</v>
      </c>
      <c r="H163" s="203"/>
      <c r="I163" s="81">
        <f t="shared" si="1"/>
        <v>0</v>
      </c>
    </row>
    <row r="164" spans="1:9" ht="14.25" hidden="1">
      <c r="A164" s="85">
        <v>8.6</v>
      </c>
      <c r="C164" s="79">
        <f>IFERROR(VLOOKUP($A164,GanttChart!$A:$JD,2,FALSE),"خطا")</f>
        <v>0</v>
      </c>
      <c r="D164" s="80">
        <f>IFERROR(VLOOKUP($A164,GanttChart!$A:$JD,261,FALSE),0)</f>
        <v>0</v>
      </c>
      <c r="E164" s="80">
        <f>IFERROR(VLOOKUP($A164,GanttChart!$A:$JD,262,FALSE),0)</f>
        <v>0</v>
      </c>
      <c r="F164" s="80">
        <f>IFERROR(VLOOKUP($A164,GanttChart!$A:$JD,263,FALSE),0)</f>
        <v>0</v>
      </c>
      <c r="G164" s="81">
        <f>IFERROR(VLOOKUP($A164,GanttChart!$A:$JD,264,FALSE),0)</f>
        <v>0</v>
      </c>
      <c r="H164" s="203"/>
      <c r="I164" s="81">
        <f t="shared" si="1"/>
        <v>0</v>
      </c>
    </row>
    <row r="165" spans="1:9" ht="14.25" hidden="1">
      <c r="A165" s="85">
        <v>8.7000000000000099</v>
      </c>
      <c r="C165" s="79" t="str">
        <f>IFERROR(VLOOKUP($A165,GanttChart!$A:$JD,2,FALSE),"خطا")</f>
        <v>خطا</v>
      </c>
      <c r="D165" s="80">
        <f>IFERROR(VLOOKUP($A165,GanttChart!$A:$JD,261,FALSE),0)</f>
        <v>0</v>
      </c>
      <c r="E165" s="80">
        <f>IFERROR(VLOOKUP($A165,GanttChart!$A:$JD,262,FALSE),0)</f>
        <v>0</v>
      </c>
      <c r="F165" s="80">
        <f>IFERROR(VLOOKUP($A165,GanttChart!$A:$JD,263,FALSE),0)</f>
        <v>0</v>
      </c>
      <c r="G165" s="81">
        <f>IFERROR(VLOOKUP($A165,GanttChart!$A:$JD,264,FALSE),0)</f>
        <v>0</v>
      </c>
      <c r="H165" s="203"/>
      <c r="I165" s="81">
        <f t="shared" si="1"/>
        <v>0</v>
      </c>
    </row>
    <row r="166" spans="1:9" ht="14.25" hidden="1">
      <c r="A166" s="74">
        <v>8.8000000000000096</v>
      </c>
      <c r="C166" s="79" t="str">
        <f>IFERROR(VLOOKUP($A166,GanttChart!$A:$JD,2,FALSE),"خطا")</f>
        <v>خطا</v>
      </c>
      <c r="D166" s="80">
        <f>IFERROR(VLOOKUP($A166,GanttChart!$A:$JD,261,FALSE),0)</f>
        <v>0</v>
      </c>
      <c r="E166" s="80">
        <f>IFERROR(VLOOKUP($A166,GanttChart!$A:$JD,262,FALSE),0)</f>
        <v>0</v>
      </c>
      <c r="F166" s="80">
        <f>IFERROR(VLOOKUP($A166,GanttChart!$A:$JD,263,FALSE),0)</f>
        <v>0</v>
      </c>
      <c r="G166" s="81">
        <f>IFERROR(VLOOKUP($A166,GanttChart!$A:$JD,264,FALSE),0)</f>
        <v>0</v>
      </c>
      <c r="H166" s="203"/>
      <c r="I166" s="81">
        <f t="shared" si="1"/>
        <v>0</v>
      </c>
    </row>
    <row r="167" spans="1:9" ht="14.25" hidden="1">
      <c r="A167" s="85">
        <v>8.9000000000000092</v>
      </c>
      <c r="C167" s="79" t="str">
        <f>IFERROR(VLOOKUP($A167,GanttChart!$A:$JD,2,FALSE),"خطا")</f>
        <v>خطا</v>
      </c>
      <c r="D167" s="80">
        <f>IFERROR(VLOOKUP($A167,GanttChart!$A:$JD,261,FALSE),0)</f>
        <v>0</v>
      </c>
      <c r="E167" s="80">
        <f>IFERROR(VLOOKUP($A167,GanttChart!$A:$JD,262,FALSE),0)</f>
        <v>0</v>
      </c>
      <c r="F167" s="80">
        <f>IFERROR(VLOOKUP($A167,GanttChart!$A:$JD,263,FALSE),0)</f>
        <v>0</v>
      </c>
      <c r="G167" s="81">
        <f>IFERROR(VLOOKUP($A167,GanttChart!$A:$JD,264,FALSE),0)</f>
        <v>0</v>
      </c>
      <c r="H167" s="203"/>
      <c r="I167" s="81">
        <f t="shared" si="1"/>
        <v>0</v>
      </c>
    </row>
    <row r="168" spans="1:9" ht="14.25" hidden="1">
      <c r="A168" s="85">
        <v>8.11</v>
      </c>
      <c r="C168" s="79">
        <f>IFERROR(VLOOKUP($A168,GanttChart!$A:$JD,2,FALSE),"خطا")</f>
        <v>0</v>
      </c>
      <c r="D168" s="80">
        <f>IFERROR(VLOOKUP($A168,GanttChart!$A:$JD,261,FALSE),0)</f>
        <v>0</v>
      </c>
      <c r="E168" s="80">
        <f>IFERROR(VLOOKUP($A168,GanttChart!$A:$JD,262,FALSE),0)</f>
        <v>0</v>
      </c>
      <c r="F168" s="80">
        <f>IFERROR(VLOOKUP($A168,GanttChart!$A:$JD,263,FALSE),0)</f>
        <v>0</v>
      </c>
      <c r="G168" s="81">
        <f>IFERROR(VLOOKUP($A168,GanttChart!$A:$JD,264,FALSE),0)</f>
        <v>0</v>
      </c>
      <c r="H168" s="203"/>
      <c r="I168" s="81">
        <f t="shared" si="1"/>
        <v>0</v>
      </c>
    </row>
    <row r="169" spans="1:9" ht="14.25" hidden="1">
      <c r="A169" s="85">
        <v>8.1199999999999992</v>
      </c>
      <c r="C169" s="79">
        <f>IFERROR(VLOOKUP($A169,GanttChart!$A:$JD,2,FALSE),"خطا")</f>
        <v>0</v>
      </c>
      <c r="D169" s="80">
        <f>IFERROR(VLOOKUP($A169,GanttChart!$A:$JD,261,FALSE),0)</f>
        <v>0</v>
      </c>
      <c r="E169" s="80">
        <f>IFERROR(VLOOKUP($A169,GanttChart!$A:$JD,262,FALSE),0)</f>
        <v>0</v>
      </c>
      <c r="F169" s="80">
        <f>IFERROR(VLOOKUP($A169,GanttChart!$A:$JD,263,FALSE),0)</f>
        <v>0</v>
      </c>
      <c r="G169" s="81">
        <f>IFERROR(VLOOKUP($A169,GanttChart!$A:$JD,264,FALSE),0)</f>
        <v>0</v>
      </c>
      <c r="H169" s="203"/>
      <c r="I169" s="81">
        <f t="shared" si="1"/>
        <v>0</v>
      </c>
    </row>
    <row r="170" spans="1:9" ht="14.25" hidden="1">
      <c r="A170" s="85">
        <v>8.1300000000000008</v>
      </c>
      <c r="C170" s="79">
        <f>IFERROR(VLOOKUP($A170,GanttChart!$A:$JD,2,FALSE),"خطا")</f>
        <v>0</v>
      </c>
      <c r="D170" s="80">
        <f>IFERROR(VLOOKUP($A170,GanttChart!$A:$JD,261,FALSE),0)</f>
        <v>0</v>
      </c>
      <c r="E170" s="80">
        <f>IFERROR(VLOOKUP($A170,GanttChart!$A:$JD,262,FALSE),0)</f>
        <v>0</v>
      </c>
      <c r="F170" s="80">
        <f>IFERROR(VLOOKUP($A170,GanttChart!$A:$JD,263,FALSE),0)</f>
        <v>0</v>
      </c>
      <c r="G170" s="81">
        <f>IFERROR(VLOOKUP($A170,GanttChart!$A:$JD,264,FALSE),0)</f>
        <v>0</v>
      </c>
      <c r="H170" s="203"/>
      <c r="I170" s="81">
        <f t="shared" si="1"/>
        <v>0</v>
      </c>
    </row>
    <row r="171" spans="1:9" ht="14.25" hidden="1">
      <c r="A171" s="85">
        <v>8.14</v>
      </c>
      <c r="C171" s="79">
        <f>IFERROR(VLOOKUP($A171,GanttChart!$A:$JD,2,FALSE),"خطا")</f>
        <v>0</v>
      </c>
      <c r="D171" s="80">
        <f>IFERROR(VLOOKUP($A171,GanttChart!$A:$JD,261,FALSE),0)</f>
        <v>0</v>
      </c>
      <c r="E171" s="80">
        <f>IFERROR(VLOOKUP($A171,GanttChart!$A:$JD,262,FALSE),0)</f>
        <v>0</v>
      </c>
      <c r="F171" s="80">
        <f>IFERROR(VLOOKUP($A171,GanttChart!$A:$JD,263,FALSE),0)</f>
        <v>0</v>
      </c>
      <c r="G171" s="81">
        <f>IFERROR(VLOOKUP($A171,GanttChart!$A:$JD,264,FALSE),0)</f>
        <v>0</v>
      </c>
      <c r="H171" s="203"/>
      <c r="I171" s="81">
        <f t="shared" si="1"/>
        <v>0</v>
      </c>
    </row>
    <row r="172" spans="1:9" ht="14.25" hidden="1">
      <c r="A172" s="85">
        <v>8.15</v>
      </c>
      <c r="C172" s="79">
        <f>IFERROR(VLOOKUP($A172,GanttChart!$A:$JD,2,FALSE),"خطا")</f>
        <v>0</v>
      </c>
      <c r="D172" s="80">
        <f>IFERROR(VLOOKUP($A172,GanttChart!$A:$JD,261,FALSE),0)</f>
        <v>0</v>
      </c>
      <c r="E172" s="80">
        <f>IFERROR(VLOOKUP($A172,GanttChart!$A:$JD,262,FALSE),0)</f>
        <v>0</v>
      </c>
      <c r="F172" s="80">
        <f>IFERROR(VLOOKUP($A172,GanttChart!$A:$JD,263,FALSE),0)</f>
        <v>0</v>
      </c>
      <c r="G172" s="81">
        <f>IFERROR(VLOOKUP($A172,GanttChart!$A:$JD,264,FALSE),0)</f>
        <v>0</v>
      </c>
      <c r="H172" s="203"/>
      <c r="I172" s="81">
        <f t="shared" si="1"/>
        <v>0</v>
      </c>
    </row>
    <row r="173" spans="1:9" ht="14.25" hidden="1">
      <c r="A173" s="85">
        <v>8.16</v>
      </c>
      <c r="C173" s="79">
        <f>IFERROR(VLOOKUP($A173,GanttChart!$A:$JD,2,FALSE),"خطا")</f>
        <v>0</v>
      </c>
      <c r="D173" s="80">
        <f>IFERROR(VLOOKUP($A173,GanttChart!$A:$JD,261,FALSE),0)</f>
        <v>0</v>
      </c>
      <c r="E173" s="80">
        <f>IFERROR(VLOOKUP($A173,GanttChart!$A:$JD,262,FALSE),0)</f>
        <v>0</v>
      </c>
      <c r="F173" s="80">
        <f>IFERROR(VLOOKUP($A173,GanttChart!$A:$JD,263,FALSE),0)</f>
        <v>0</v>
      </c>
      <c r="G173" s="81">
        <f>IFERROR(VLOOKUP($A173,GanttChart!$A:$JD,264,FALSE),0)</f>
        <v>0</v>
      </c>
      <c r="H173" s="203"/>
      <c r="I173" s="81">
        <f t="shared" si="1"/>
        <v>0</v>
      </c>
    </row>
    <row r="174" spans="1:9" ht="14.25" hidden="1">
      <c r="A174" s="85">
        <v>8.17</v>
      </c>
      <c r="C174" s="79">
        <f>IFERROR(VLOOKUP($A174,GanttChart!$A:$JD,2,FALSE),"خطا")</f>
        <v>0</v>
      </c>
      <c r="D174" s="80">
        <f>IFERROR(VLOOKUP($A174,GanttChart!$A:$JD,261,FALSE),0)</f>
        <v>0</v>
      </c>
      <c r="E174" s="80">
        <f>IFERROR(VLOOKUP($A174,GanttChart!$A:$JD,262,FALSE),0)</f>
        <v>0</v>
      </c>
      <c r="F174" s="80">
        <f>IFERROR(VLOOKUP($A174,GanttChart!$A:$JD,263,FALSE),0)</f>
        <v>0</v>
      </c>
      <c r="G174" s="81">
        <f>IFERROR(VLOOKUP($A174,GanttChart!$A:$JD,264,FALSE),0)</f>
        <v>0</v>
      </c>
      <c r="H174" s="203"/>
      <c r="I174" s="81">
        <f t="shared" si="1"/>
        <v>0</v>
      </c>
    </row>
    <row r="175" spans="1:9" ht="14.25" hidden="1">
      <c r="A175" s="85">
        <v>8.18</v>
      </c>
      <c r="C175" s="79">
        <f>IFERROR(VLOOKUP($A175,GanttChart!$A:$JD,2,FALSE),"خطا")</f>
        <v>0</v>
      </c>
      <c r="D175" s="80">
        <f>IFERROR(VLOOKUP($A175,GanttChart!$A:$JD,261,FALSE),0)</f>
        <v>0</v>
      </c>
      <c r="E175" s="80">
        <f>IFERROR(VLOOKUP($A175,GanttChart!$A:$JD,262,FALSE),0)</f>
        <v>0</v>
      </c>
      <c r="F175" s="80">
        <f>IFERROR(VLOOKUP($A175,GanttChart!$A:$JD,263,FALSE),0)</f>
        <v>0</v>
      </c>
      <c r="G175" s="81">
        <f>IFERROR(VLOOKUP($A175,GanttChart!$A:$JD,264,FALSE),0)</f>
        <v>0</v>
      </c>
      <c r="H175" s="203"/>
      <c r="I175" s="81">
        <f t="shared" si="1"/>
        <v>0</v>
      </c>
    </row>
    <row r="176" spans="1:9" ht="14.25" hidden="1">
      <c r="A176" s="85">
        <v>8.19</v>
      </c>
      <c r="C176" s="79">
        <f>IFERROR(VLOOKUP($A176,GanttChart!$A:$JD,2,FALSE),"خطا")</f>
        <v>0</v>
      </c>
      <c r="D176" s="80">
        <f>IFERROR(VLOOKUP($A176,GanttChart!$A:$JD,261,FALSE),0)</f>
        <v>0</v>
      </c>
      <c r="E176" s="80">
        <f>IFERROR(VLOOKUP($A176,GanttChart!$A:$JD,262,FALSE),0)</f>
        <v>0</v>
      </c>
      <c r="F176" s="80">
        <f>IFERROR(VLOOKUP($A176,GanttChart!$A:$JD,263,FALSE),0)</f>
        <v>0</v>
      </c>
      <c r="G176" s="81">
        <f>IFERROR(VLOOKUP($A176,GanttChart!$A:$JD,264,FALSE),0)</f>
        <v>0</v>
      </c>
      <c r="H176" s="203"/>
      <c r="I176" s="81">
        <f t="shared" si="1"/>
        <v>0</v>
      </c>
    </row>
    <row r="177" spans="1:9" ht="14.25" hidden="1">
      <c r="A177" s="85">
        <v>8.2100000000000009</v>
      </c>
      <c r="C177" s="79">
        <f>IFERROR(VLOOKUP($A177,GanttChart!$A:$JD,2,FALSE),"خطا")</f>
        <v>0</v>
      </c>
      <c r="D177" s="80">
        <f>IFERROR(VLOOKUP($A177,GanttChart!$A:$JD,261,FALSE),0)</f>
        <v>0</v>
      </c>
      <c r="E177" s="80">
        <f>IFERROR(VLOOKUP($A177,GanttChart!$A:$JD,262,FALSE),0)</f>
        <v>0</v>
      </c>
      <c r="F177" s="80">
        <f>IFERROR(VLOOKUP($A177,GanttChart!$A:$JD,263,FALSE),0)</f>
        <v>0</v>
      </c>
      <c r="G177" s="81">
        <f>IFERROR(VLOOKUP($A177,GanttChart!$A:$JD,264,FALSE),0)</f>
        <v>0</v>
      </c>
      <c r="H177" s="203"/>
      <c r="I177" s="81">
        <f t="shared" si="1"/>
        <v>0</v>
      </c>
    </row>
    <row r="178" spans="1:9" ht="14.25" hidden="1">
      <c r="A178" s="85">
        <v>8.2200000000000006</v>
      </c>
      <c r="C178" s="79">
        <f>IFERROR(VLOOKUP($A178,GanttChart!$A:$JD,2,FALSE),"خطا")</f>
        <v>0</v>
      </c>
      <c r="D178" s="80">
        <f>IFERROR(VLOOKUP($A178,GanttChart!$A:$JD,261,FALSE),0)</f>
        <v>0</v>
      </c>
      <c r="E178" s="80">
        <f>IFERROR(VLOOKUP($A178,GanttChart!$A:$JD,262,FALSE),0)</f>
        <v>0</v>
      </c>
      <c r="F178" s="80">
        <f>IFERROR(VLOOKUP($A178,GanttChart!$A:$JD,263,FALSE),0)</f>
        <v>0</v>
      </c>
      <c r="G178" s="81">
        <f>IFERROR(VLOOKUP($A178,GanttChart!$A:$JD,264,FALSE),0)</f>
        <v>0</v>
      </c>
      <c r="H178" s="203"/>
      <c r="I178" s="81">
        <f t="shared" si="1"/>
        <v>0</v>
      </c>
    </row>
    <row r="179" spans="1:9" ht="14.25" hidden="1">
      <c r="A179" s="85">
        <v>8.23</v>
      </c>
      <c r="C179" s="79">
        <f>IFERROR(VLOOKUP($A179,GanttChart!$A:$JD,2,FALSE),"خطا")</f>
        <v>0</v>
      </c>
      <c r="D179" s="80">
        <f>IFERROR(VLOOKUP($A179,GanttChart!$A:$JD,261,FALSE),0)</f>
        <v>0</v>
      </c>
      <c r="E179" s="80">
        <f>IFERROR(VLOOKUP($A179,GanttChart!$A:$JD,262,FALSE),0)</f>
        <v>0</v>
      </c>
      <c r="F179" s="80">
        <f>IFERROR(VLOOKUP($A179,GanttChart!$A:$JD,263,FALSE),0)</f>
        <v>0</v>
      </c>
      <c r="G179" s="81">
        <f>IFERROR(VLOOKUP($A179,GanttChart!$A:$JD,264,FALSE),0)</f>
        <v>0</v>
      </c>
      <c r="H179" s="203"/>
      <c r="I179" s="87">
        <f t="shared" si="1"/>
        <v>0</v>
      </c>
    </row>
    <row r="180" spans="1:9" ht="15">
      <c r="A180" s="94">
        <v>10</v>
      </c>
      <c r="C180" s="91" t="s">
        <v>51</v>
      </c>
      <c r="D180" s="92">
        <f>SUM(D4:D179)</f>
        <v>0</v>
      </c>
      <c r="E180" s="92">
        <f t="shared" ref="E180:I180" si="2">SUM(E4:E179)</f>
        <v>0</v>
      </c>
      <c r="F180" s="92">
        <f t="shared" si="2"/>
        <v>0</v>
      </c>
      <c r="G180" s="88">
        <f t="shared" si="2"/>
        <v>0</v>
      </c>
      <c r="H180" s="93"/>
      <c r="I180" s="88">
        <f t="shared" si="2"/>
        <v>0</v>
      </c>
    </row>
  </sheetData>
  <sheetProtection algorithmName="SHA-512" hashValue="UfI5pE8Tb814Dmk7lTvcdUC3Lpdjp8VsOI4shtFRRbx4iXEqFf+OCqem3tuXIlbN2O7MK2myf78pxzUeTgUcBw==" saltValue="WtI7XEzCkNNrWq2t5bNQgQ==" spinCount="100000" sheet="1" objects="1" scenarios="1" selectLockedCells="1"/>
  <autoFilter ref="A2:I180">
    <filterColumn colId="3" showButton="0"/>
    <filterColumn colId="4" showButton="0"/>
    <filterColumn colId="6">
      <filters blank="1">
        <filter val="ريال1,832,000"/>
        <filter val="ريال10,712,000"/>
        <filter val="ريال10,864,000"/>
        <filter val="ريال11,100,000"/>
        <filter val="ريال12,544,000"/>
        <filter val="ريال12,724,000"/>
        <filter val="ريال14,944,000"/>
        <filter val="ريال188,224,000"/>
        <filter val="ريال2,220,000"/>
        <filter val="ريال2,775,000"/>
        <filter val="ريال2,942,000"/>
        <filter val="ريال3,664,000"/>
        <filter val="ريال4,052,000"/>
        <filter val="ريال4,800,000"/>
        <filter val="ريال5,550,000"/>
        <filter val="ريال5,884,000"/>
        <filter val="ريال555,000"/>
        <filter val="ريال6,272,000"/>
        <filter val="ريال7,328,000"/>
        <filter val="ريال8,284,000"/>
        <filter val="ريال8,880,000"/>
        <filter val="ريال9,600,000"/>
      </filters>
    </filterColumn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horizontalDpi="0" verticalDpi="0" r:id="rId1"/>
  <headerFooter>
    <oddHeader>&amp;C&amp;"B Mitra,پررنگ"&amp;12پیوست شماره 1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4" filterMode="1"/>
  <dimension ref="A1:O180"/>
  <sheetViews>
    <sheetView rightToLeft="1" zoomScaleNormal="100" workbookViewId="0">
      <selection activeCell="H158" activeCellId="7" sqref="H4 H26 H48 H70 H92 H114 H136 H158"/>
    </sheetView>
  </sheetViews>
  <sheetFormatPr defaultRowHeight="12.75"/>
  <cols>
    <col min="2" max="2" width="1.42578125" customWidth="1"/>
    <col min="3" max="3" width="41.7109375" style="75" customWidth="1"/>
    <col min="4" max="4" width="6.42578125" style="76" customWidth="1"/>
    <col min="5" max="5" width="7" style="76" customWidth="1"/>
    <col min="6" max="6" width="6.85546875" style="76" customWidth="1"/>
    <col min="7" max="7" width="19.28515625" style="77" customWidth="1"/>
    <col min="8" max="8" width="6" style="78" customWidth="1"/>
    <col min="9" max="9" width="19.28515625" customWidth="1"/>
    <col min="12" max="12" width="15.140625" bestFit="1" customWidth="1"/>
  </cols>
  <sheetData>
    <row r="1" spans="1:15" ht="15">
      <c r="B1" s="379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و زیر پورتال های بیمه سامان</v>
      </c>
      <c r="C1" s="379"/>
      <c r="D1" s="380"/>
      <c r="E1" s="380"/>
      <c r="F1" s="380"/>
      <c r="G1" s="379"/>
      <c r="H1" s="379"/>
      <c r="I1" s="379"/>
    </row>
    <row r="2" spans="1:15">
      <c r="A2" s="381" t="s">
        <v>0</v>
      </c>
      <c r="B2" s="382"/>
      <c r="C2" s="384" t="s">
        <v>64</v>
      </c>
      <c r="D2" s="386" t="s">
        <v>65</v>
      </c>
      <c r="E2" s="386"/>
      <c r="F2" s="386"/>
      <c r="G2" s="393" t="s">
        <v>66</v>
      </c>
      <c r="H2" s="389" t="s">
        <v>70</v>
      </c>
      <c r="I2" s="391" t="s">
        <v>67</v>
      </c>
      <c r="J2" s="6"/>
      <c r="K2" s="6"/>
      <c r="L2" s="6"/>
      <c r="M2" s="6"/>
      <c r="N2" s="6"/>
      <c r="O2" s="6"/>
    </row>
    <row r="3" spans="1:15" ht="64.5">
      <c r="A3" s="381"/>
      <c r="B3" s="383"/>
      <c r="C3" s="385"/>
      <c r="D3" s="83" t="s">
        <v>7</v>
      </c>
      <c r="E3" s="83" t="s">
        <v>55</v>
      </c>
      <c r="F3" s="83" t="s">
        <v>56</v>
      </c>
      <c r="G3" s="394"/>
      <c r="H3" s="390"/>
      <c r="I3" s="392"/>
      <c r="J3" s="6"/>
      <c r="K3" s="6"/>
      <c r="L3" s="6"/>
      <c r="M3" s="6"/>
      <c r="N3" s="6"/>
      <c r="O3" s="6"/>
    </row>
    <row r="4" spans="1:15" ht="14.25">
      <c r="A4" s="74">
        <v>1</v>
      </c>
      <c r="B4" s="74"/>
      <c r="C4" s="79" t="str">
        <f>IFERROR(VLOOKUP($A4,GanttChart!$A:$JD,2,FALSE),"خطا")</f>
        <v>مدیریت، برنامه ریزی مالی و کنترل پیشرفت پروژه</v>
      </c>
      <c r="D4" s="80">
        <f>SUM(D5:D25)</f>
        <v>0</v>
      </c>
      <c r="E4" s="80">
        <f>SUM(E5:E25)</f>
        <v>0</v>
      </c>
      <c r="F4" s="80">
        <f>SUM(F5:F25)</f>
        <v>0</v>
      </c>
      <c r="G4" s="81">
        <f>SUM(G5:G25)</f>
        <v>0</v>
      </c>
      <c r="H4" s="203">
        <v>1</v>
      </c>
      <c r="I4" s="81">
        <f>G4-(H4*G4)</f>
        <v>0</v>
      </c>
      <c r="J4" s="6"/>
      <c r="K4" s="6"/>
      <c r="L4" s="6"/>
      <c r="M4" s="6"/>
      <c r="N4" s="6"/>
      <c r="O4" s="6"/>
    </row>
    <row r="5" spans="1:15" ht="14.25" hidden="1">
      <c r="A5" s="74">
        <v>1.1000000000000001</v>
      </c>
      <c r="B5" s="74"/>
      <c r="C5" s="79" t="str">
        <f>IFERROR(VLOOKUP($A5,GanttChart!$A:$JD,2,FALSE),"خطا")</f>
        <v>تهيه برنامه زمانبندي msp  و گانت چارت اجرايي پروژه</v>
      </c>
      <c r="D5" s="80">
        <f>IFERROR(VLOOKUP($A5,GanttChart!$A:$JD,261,FALSE),0)</f>
        <v>0</v>
      </c>
      <c r="E5" s="80">
        <f>IFERROR(VLOOKUP($A5,GanttChart!$A:$JD,262,FALSE),0)</f>
        <v>0</v>
      </c>
      <c r="F5" s="80">
        <f>IFERROR(VLOOKUP($A5,GanttChart!$A:$JD,263,FALSE),0)</f>
        <v>0</v>
      </c>
      <c r="G5" s="81">
        <f>IFERROR(VLOOKUP($A5,GanttChart!$A:$JD,264,FALSE),0)</f>
        <v>0</v>
      </c>
      <c r="H5" s="82"/>
      <c r="I5" s="81">
        <f t="shared" ref="I5:I160" si="0">G5-(H5*G5)</f>
        <v>0</v>
      </c>
      <c r="J5" s="6"/>
      <c r="K5" s="6"/>
      <c r="L5" s="6"/>
      <c r="M5" s="6"/>
      <c r="N5" s="6"/>
      <c r="O5" s="6"/>
    </row>
    <row r="6" spans="1:15" ht="14.25" hidden="1">
      <c r="A6" s="74">
        <v>1.2</v>
      </c>
      <c r="B6" s="74"/>
      <c r="C6" s="79" t="str">
        <f>IFERROR(VLOOKUP($A6,GanttChart!$A:$JD,2,FALSE),"خطا")</f>
        <v>معرفی مدیر پروژه پیمانکار به کارفرما پس از ابلاغ قرارداد</v>
      </c>
      <c r="D6" s="80">
        <f>IFERROR(VLOOKUP($A6,GanttChart!$A:$JD,261,FALSE),0)</f>
        <v>0</v>
      </c>
      <c r="E6" s="80">
        <f>IFERROR(VLOOKUP($A6,GanttChart!$A:$JD,262,FALSE),0)</f>
        <v>0</v>
      </c>
      <c r="F6" s="80">
        <f>IFERROR(VLOOKUP($A6,GanttChart!$A:$JD,263,FALSE),0)</f>
        <v>0</v>
      </c>
      <c r="G6" s="81">
        <f>IFERROR(VLOOKUP($A6,GanttChart!$A:$JD,264,FALSE),0)</f>
        <v>0</v>
      </c>
      <c r="H6" s="82"/>
      <c r="I6" s="81">
        <f t="shared" si="0"/>
        <v>0</v>
      </c>
      <c r="J6" s="6"/>
      <c r="K6" s="6"/>
      <c r="L6" s="6"/>
      <c r="M6" s="6"/>
      <c r="N6" s="6"/>
      <c r="O6" s="6"/>
    </row>
    <row r="7" spans="1:15" ht="14.25" hidden="1">
      <c r="A7" s="74">
        <v>1.3</v>
      </c>
      <c r="B7" s="74"/>
      <c r="C7" s="79" t="str">
        <f>IFERROR(VLOOKUP($A7,GanttChart!$A:$JD,2,FALSE),"خطا")</f>
        <v>معرفی مدیر پروژه کارفرما به پیمانکار</v>
      </c>
      <c r="D7" s="80">
        <f>IFERROR(VLOOKUP($A7,GanttChart!$A:$JD,261,FALSE),0)</f>
        <v>0</v>
      </c>
      <c r="E7" s="80">
        <f>IFERROR(VLOOKUP($A7,GanttChart!$A:$JD,262,FALSE),0)</f>
        <v>0</v>
      </c>
      <c r="F7" s="80">
        <f>IFERROR(VLOOKUP($A7,GanttChart!$A:$JD,263,FALSE),0)</f>
        <v>0</v>
      </c>
      <c r="G7" s="81">
        <f>IFERROR(VLOOKUP($A7,GanttChart!$A:$JD,264,FALSE),0)</f>
        <v>0</v>
      </c>
      <c r="H7" s="82"/>
      <c r="I7" s="81">
        <f t="shared" si="0"/>
        <v>0</v>
      </c>
      <c r="J7" s="6"/>
      <c r="K7" s="6"/>
      <c r="L7" s="6"/>
      <c r="M7" s="6"/>
      <c r="N7" s="6"/>
      <c r="O7" s="6"/>
    </row>
    <row r="8" spans="1:15" ht="14.25" hidden="1">
      <c r="A8" s="74">
        <v>1.4</v>
      </c>
      <c r="B8" s="74"/>
      <c r="C8" s="79" t="str">
        <f>IFERROR(VLOOKUP($A8,GanttChart!$A:$JD,2,FALSE),"خطا")</f>
        <v>جلسه اول پروژه (معارفه و تحویل زیر ساخت نرم افزاری)</v>
      </c>
      <c r="D8" s="80">
        <f>IFERROR(VLOOKUP($A8,GanttChart!$A:$JD,261,FALSE),0)</f>
        <v>0</v>
      </c>
      <c r="E8" s="80">
        <f>IFERROR(VLOOKUP($A8,GanttChart!$A:$JD,262,FALSE),0)</f>
        <v>0</v>
      </c>
      <c r="F8" s="80">
        <f>IFERROR(VLOOKUP($A8,GanttChart!$A:$JD,263,FALSE),0)</f>
        <v>0</v>
      </c>
      <c r="G8" s="81">
        <f>IFERROR(VLOOKUP($A8,GanttChart!$A:$JD,264,FALSE),0)</f>
        <v>0</v>
      </c>
      <c r="H8" s="82"/>
      <c r="I8" s="81">
        <f t="shared" si="0"/>
        <v>0</v>
      </c>
      <c r="J8" s="6"/>
      <c r="K8" s="6"/>
      <c r="L8" s="6"/>
      <c r="M8" s="6"/>
      <c r="N8" s="6"/>
      <c r="O8" s="6"/>
    </row>
    <row r="9" spans="1:15" ht="14.25" hidden="1">
      <c r="A9" s="74">
        <v>1.5</v>
      </c>
      <c r="B9" s="74"/>
      <c r="C9" s="79" t="str">
        <f>IFERROR(VLOOKUP($A9,GanttChart!$A:$JD,2,FALSE),"خطا")</f>
        <v>جلسه دوم پروژه (بررسی واسط کاربری)</v>
      </c>
      <c r="D9" s="80">
        <f>IFERROR(VLOOKUP($A9,GanttChart!$A:$JD,261,FALSE),0)</f>
        <v>0</v>
      </c>
      <c r="E9" s="80">
        <f>IFERROR(VLOOKUP($A9,GanttChart!$A:$JD,262,FALSE),0)</f>
        <v>0</v>
      </c>
      <c r="F9" s="80">
        <f>IFERROR(VLOOKUP($A9,GanttChart!$A:$JD,263,FALSE),0)</f>
        <v>0</v>
      </c>
      <c r="G9" s="81">
        <f>IFERROR(VLOOKUP($A9,GanttChart!$A:$JD,264,FALSE),0)</f>
        <v>0</v>
      </c>
      <c r="H9" s="82"/>
      <c r="I9" s="81">
        <f t="shared" si="0"/>
        <v>0</v>
      </c>
      <c r="J9" s="6"/>
      <c r="K9" s="6"/>
      <c r="L9" s="6"/>
      <c r="M9" s="6"/>
      <c r="N9" s="6"/>
      <c r="O9" s="6"/>
    </row>
    <row r="10" spans="1:15" ht="14.25" hidden="1">
      <c r="A10" s="74">
        <v>1.6</v>
      </c>
      <c r="B10" s="74"/>
      <c r="C10" s="79" t="str">
        <f>IFERROR(VLOOKUP($A10,GanttChart!$A:$JD,2,FALSE),"خطا")</f>
        <v>جلسه سوم (نهایی سازی واسط کاربری)</v>
      </c>
      <c r="D10" s="80">
        <f>IFERROR(VLOOKUP($A10,GanttChart!$A:$JD,261,FALSE),0)</f>
        <v>0</v>
      </c>
      <c r="E10" s="80">
        <f>IFERROR(VLOOKUP($A10,GanttChart!$A:$JD,262,FALSE),0)</f>
        <v>0</v>
      </c>
      <c r="F10" s="80">
        <f>IFERROR(VLOOKUP($A10,GanttChart!$A:$JD,263,FALSE),0)</f>
        <v>0</v>
      </c>
      <c r="G10" s="81">
        <f>IFERROR(VLOOKUP($A10,GanttChart!$A:$JD,264,FALSE),0)</f>
        <v>0</v>
      </c>
      <c r="H10" s="82"/>
      <c r="I10" s="81">
        <f t="shared" si="0"/>
        <v>0</v>
      </c>
      <c r="J10" s="6"/>
      <c r="K10" s="6"/>
      <c r="L10" s="6"/>
      <c r="M10" s="6"/>
      <c r="N10" s="6"/>
      <c r="O10" s="6"/>
    </row>
    <row r="11" spans="1:15" ht="14.25" hidden="1">
      <c r="A11" s="74">
        <v>1.7</v>
      </c>
      <c r="B11" s="74"/>
      <c r="C11" s="79" t="str">
        <f>IFERROR(VLOOKUP($A11,GanttChart!$A:$JD,2,FALSE),"خطا")</f>
        <v>جلسه چهارم (بررسی سامانه سهامداران)</v>
      </c>
      <c r="D11" s="80">
        <f>IFERROR(VLOOKUP($A11,GanttChart!$A:$JD,261,FALSE),0)</f>
        <v>0</v>
      </c>
      <c r="E11" s="80">
        <f>IFERROR(VLOOKUP($A11,GanttChart!$A:$JD,262,FALSE),0)</f>
        <v>0</v>
      </c>
      <c r="F11" s="80">
        <f>IFERROR(VLOOKUP($A11,GanttChart!$A:$JD,263,FALSE),0)</f>
        <v>0</v>
      </c>
      <c r="G11" s="81">
        <f>IFERROR(VLOOKUP($A11,GanttChart!$A:$JD,264,FALSE),0)</f>
        <v>0</v>
      </c>
      <c r="H11" s="82"/>
      <c r="I11" s="81">
        <f t="shared" si="0"/>
        <v>0</v>
      </c>
      <c r="J11" s="6"/>
      <c r="K11" s="6"/>
      <c r="L11" s="6"/>
      <c r="M11" s="6"/>
      <c r="N11" s="6"/>
      <c r="O11" s="6"/>
    </row>
    <row r="12" spans="1:15" ht="14.25" hidden="1">
      <c r="A12" s="74">
        <v>1.8</v>
      </c>
      <c r="B12" s="74"/>
      <c r="C12" s="79" t="str">
        <f>IFERROR(VLOOKUP($A12,GanttChart!$A:$JD,2,FALSE),"خطا")</f>
        <v>پرداخت پیش پرداخت قرارداد</v>
      </c>
      <c r="D12" s="80">
        <f>IFERROR(VLOOKUP($A12,GanttChart!$A:$JD,261,FALSE),0)</f>
        <v>0</v>
      </c>
      <c r="E12" s="80">
        <f>IFERROR(VLOOKUP($A12,GanttChart!$A:$JD,262,FALSE),0)</f>
        <v>0</v>
      </c>
      <c r="F12" s="80">
        <f>IFERROR(VLOOKUP($A12,GanttChart!$A:$JD,263,FALSE),0)</f>
        <v>0</v>
      </c>
      <c r="G12" s="81">
        <f>IFERROR(VLOOKUP($A12,GanttChart!$A:$JD,264,FALSE),0)</f>
        <v>0</v>
      </c>
      <c r="H12" s="82"/>
      <c r="I12" s="81">
        <f t="shared" si="0"/>
        <v>0</v>
      </c>
      <c r="J12" s="6"/>
      <c r="K12" s="6"/>
      <c r="L12" s="6"/>
      <c r="M12" s="6"/>
      <c r="N12" s="6"/>
      <c r="O12" s="6"/>
    </row>
    <row r="13" spans="1:15" ht="14.25" hidden="1">
      <c r="A13" s="74">
        <v>1.9</v>
      </c>
      <c r="B13" s="74"/>
      <c r="C13" s="79">
        <f>IFERROR(VLOOKUP($A13,GanttChart!$A:$JD,2,FALSE),"خطا")</f>
        <v>0</v>
      </c>
      <c r="D13" s="80">
        <f>IFERROR(VLOOKUP($A13,GanttChart!$A:$JD,261,FALSE),0)</f>
        <v>0</v>
      </c>
      <c r="E13" s="80">
        <f>IFERROR(VLOOKUP($A13,GanttChart!$A:$JD,262,FALSE),0)</f>
        <v>0</v>
      </c>
      <c r="F13" s="80">
        <f>IFERROR(VLOOKUP($A13,GanttChart!$A:$JD,263,FALSE),0)</f>
        <v>0</v>
      </c>
      <c r="G13" s="81">
        <f>IFERROR(VLOOKUP($A13,GanttChart!$A:$JD,264,FALSE),0)</f>
        <v>0</v>
      </c>
      <c r="H13" s="82"/>
      <c r="I13" s="81">
        <f t="shared" si="0"/>
        <v>0</v>
      </c>
      <c r="J13" s="6"/>
      <c r="K13" s="6"/>
      <c r="L13" s="6"/>
      <c r="M13" s="6"/>
      <c r="N13" s="6"/>
      <c r="O13" s="6"/>
    </row>
    <row r="14" spans="1:15" ht="14.25" hidden="1">
      <c r="A14" s="74">
        <v>1.1100000000000001</v>
      </c>
      <c r="B14" s="74"/>
      <c r="C14" s="79">
        <f>IFERROR(VLOOKUP($A14,GanttChart!$A:$JD,2,FALSE),"خطا")</f>
        <v>0</v>
      </c>
      <c r="D14" s="80">
        <f>IFERROR(VLOOKUP($A14,GanttChart!$A:$JD,261,FALSE),0)</f>
        <v>0</v>
      </c>
      <c r="E14" s="80">
        <f>IFERROR(VLOOKUP($A14,GanttChart!$A:$JD,262,FALSE),0)</f>
        <v>0</v>
      </c>
      <c r="F14" s="80">
        <f>IFERROR(VLOOKUP($A14,GanttChart!$A:$JD,263,FALSE),0)</f>
        <v>0</v>
      </c>
      <c r="G14" s="81">
        <f>IFERROR(VLOOKUP($A14,GanttChart!$A:$JD,264,FALSE),0)</f>
        <v>0</v>
      </c>
      <c r="H14" s="82"/>
      <c r="I14" s="81">
        <f t="shared" si="0"/>
        <v>0</v>
      </c>
      <c r="J14" s="6"/>
      <c r="K14" s="6"/>
      <c r="L14" s="6"/>
      <c r="M14" s="6"/>
      <c r="N14" s="6"/>
      <c r="O14" s="6"/>
    </row>
    <row r="15" spans="1:15" ht="14.25" hidden="1">
      <c r="A15" s="74">
        <v>1.1200000000000001</v>
      </c>
      <c r="B15" s="74"/>
      <c r="C15" s="79">
        <f>IFERROR(VLOOKUP($A15,GanttChart!$A:$JD,2,FALSE),"خطا")</f>
        <v>0</v>
      </c>
      <c r="D15" s="80">
        <f>IFERROR(VLOOKUP($A15,GanttChart!$A:$JD,261,FALSE),0)</f>
        <v>0</v>
      </c>
      <c r="E15" s="80">
        <f>IFERROR(VLOOKUP($A15,GanttChart!$A:$JD,262,FALSE),0)</f>
        <v>0</v>
      </c>
      <c r="F15" s="80">
        <f>IFERROR(VLOOKUP($A15,GanttChart!$A:$JD,263,FALSE),0)</f>
        <v>0</v>
      </c>
      <c r="G15" s="81">
        <f>IFERROR(VLOOKUP($A15,GanttChart!$A:$JD,264,FALSE),0)</f>
        <v>0</v>
      </c>
      <c r="H15" s="82"/>
      <c r="I15" s="81">
        <f t="shared" si="0"/>
        <v>0</v>
      </c>
      <c r="J15" s="6"/>
      <c r="K15" s="6"/>
      <c r="L15" s="6"/>
      <c r="M15" s="6"/>
      <c r="N15" s="6"/>
      <c r="O15" s="6"/>
    </row>
    <row r="16" spans="1:15" ht="14.25" hidden="1">
      <c r="A16" s="74">
        <v>1.1299999999999999</v>
      </c>
      <c r="B16" s="74"/>
      <c r="C16" s="79">
        <f>IFERROR(VLOOKUP($A16,GanttChart!$A:$JD,2,FALSE),"خطا")</f>
        <v>0</v>
      </c>
      <c r="D16" s="80">
        <f>IFERROR(VLOOKUP($A16,GanttChart!$A:$JD,261,FALSE),0)</f>
        <v>0</v>
      </c>
      <c r="E16" s="80">
        <f>IFERROR(VLOOKUP($A16,GanttChart!$A:$JD,262,FALSE),0)</f>
        <v>0</v>
      </c>
      <c r="F16" s="80">
        <f>IFERROR(VLOOKUP($A16,GanttChart!$A:$JD,263,FALSE),0)</f>
        <v>0</v>
      </c>
      <c r="G16" s="81">
        <f>IFERROR(VLOOKUP($A16,GanttChart!$A:$JD,264,FALSE),0)</f>
        <v>0</v>
      </c>
      <c r="H16" s="82"/>
      <c r="I16" s="81">
        <f t="shared" si="0"/>
        <v>0</v>
      </c>
      <c r="J16" s="6"/>
      <c r="K16" s="6"/>
      <c r="L16" s="6"/>
      <c r="M16" s="6"/>
      <c r="N16" s="6"/>
      <c r="O16" s="6"/>
    </row>
    <row r="17" spans="1:15" ht="14.25" hidden="1">
      <c r="A17" s="74">
        <v>1.1399999999999999</v>
      </c>
      <c r="B17" s="74"/>
      <c r="C17" s="79">
        <f>IFERROR(VLOOKUP($A17,GanttChart!$A:$JD,2,FALSE),"خطا")</f>
        <v>0</v>
      </c>
      <c r="D17" s="80">
        <f>IFERROR(VLOOKUP($A17,GanttChart!$A:$JD,261,FALSE),0)</f>
        <v>0</v>
      </c>
      <c r="E17" s="80">
        <f>IFERROR(VLOOKUP($A17,GanttChart!$A:$JD,262,FALSE),0)</f>
        <v>0</v>
      </c>
      <c r="F17" s="80">
        <f>IFERROR(VLOOKUP($A17,GanttChart!$A:$JD,263,FALSE),0)</f>
        <v>0</v>
      </c>
      <c r="G17" s="81">
        <f>IFERROR(VLOOKUP($A17,GanttChart!$A:$JD,264,FALSE),0)</f>
        <v>0</v>
      </c>
      <c r="H17" s="82"/>
      <c r="I17" s="81">
        <f t="shared" si="0"/>
        <v>0</v>
      </c>
      <c r="J17" s="6"/>
      <c r="K17" s="6"/>
      <c r="L17" s="6"/>
      <c r="M17" s="6"/>
      <c r="N17" s="6"/>
      <c r="O17" s="6"/>
    </row>
    <row r="18" spans="1:15" ht="14.25" hidden="1">
      <c r="A18" s="74">
        <v>1.1499999999999999</v>
      </c>
      <c r="B18" s="74"/>
      <c r="C18" s="79">
        <f>IFERROR(VLOOKUP($A18,GanttChart!$A:$JD,2,FALSE),"خطا")</f>
        <v>0</v>
      </c>
      <c r="D18" s="80">
        <f>IFERROR(VLOOKUP($A18,GanttChart!$A:$JD,261,FALSE),0)</f>
        <v>0</v>
      </c>
      <c r="E18" s="80">
        <f>IFERROR(VLOOKUP($A18,GanttChart!$A:$JD,262,FALSE),0)</f>
        <v>0</v>
      </c>
      <c r="F18" s="80">
        <f>IFERROR(VLOOKUP($A18,GanttChart!$A:$JD,263,FALSE),0)</f>
        <v>0</v>
      </c>
      <c r="G18" s="81">
        <f>IFERROR(VLOOKUP($A18,GanttChart!$A:$JD,264,FALSE),0)</f>
        <v>0</v>
      </c>
      <c r="H18" s="82"/>
      <c r="I18" s="81">
        <f t="shared" si="0"/>
        <v>0</v>
      </c>
      <c r="J18" s="6"/>
      <c r="K18" s="6"/>
      <c r="L18" s="6"/>
      <c r="M18" s="6"/>
      <c r="N18" s="6"/>
      <c r="O18" s="6"/>
    </row>
    <row r="19" spans="1:15" ht="14.25" hidden="1">
      <c r="A19" s="74">
        <v>1.1599999999999999</v>
      </c>
      <c r="B19" s="74"/>
      <c r="C19" s="79">
        <f>IFERROR(VLOOKUP($A19,GanttChart!$A:$JD,2,FALSE),"خطا")</f>
        <v>0</v>
      </c>
      <c r="D19" s="80">
        <f>IFERROR(VLOOKUP($A19,GanttChart!$A:$JD,261,FALSE),0)</f>
        <v>0</v>
      </c>
      <c r="E19" s="80">
        <f>IFERROR(VLOOKUP($A19,GanttChart!$A:$JD,262,FALSE),0)</f>
        <v>0</v>
      </c>
      <c r="F19" s="80">
        <f>IFERROR(VLOOKUP($A19,GanttChart!$A:$JD,263,FALSE),0)</f>
        <v>0</v>
      </c>
      <c r="G19" s="81">
        <f>IFERROR(VLOOKUP($A19,GanttChart!$A:$JD,264,FALSE),0)</f>
        <v>0</v>
      </c>
      <c r="H19" s="82"/>
      <c r="I19" s="81">
        <f t="shared" si="0"/>
        <v>0</v>
      </c>
      <c r="J19" s="6"/>
      <c r="K19" s="6"/>
      <c r="L19" s="6"/>
      <c r="M19" s="6"/>
      <c r="N19" s="6"/>
      <c r="O19" s="6"/>
    </row>
    <row r="20" spans="1:15" ht="14.25" hidden="1">
      <c r="A20" s="74">
        <v>1.17</v>
      </c>
      <c r="B20" s="74"/>
      <c r="C20" s="79">
        <f>IFERROR(VLOOKUP($A20,GanttChart!$A:$JD,2,FALSE),"خطا")</f>
        <v>0</v>
      </c>
      <c r="D20" s="80">
        <f>IFERROR(VLOOKUP($A20,GanttChart!$A:$JD,261,FALSE),0)</f>
        <v>0</v>
      </c>
      <c r="E20" s="80">
        <f>IFERROR(VLOOKUP($A20,GanttChart!$A:$JD,262,FALSE),0)</f>
        <v>0</v>
      </c>
      <c r="F20" s="80">
        <f>IFERROR(VLOOKUP($A20,GanttChart!$A:$JD,263,FALSE),0)</f>
        <v>0</v>
      </c>
      <c r="G20" s="81">
        <f>IFERROR(VLOOKUP($A20,GanttChart!$A:$JD,264,FALSE),0)</f>
        <v>0</v>
      </c>
      <c r="H20" s="82"/>
      <c r="I20" s="81">
        <f t="shared" si="0"/>
        <v>0</v>
      </c>
      <c r="J20" s="6"/>
      <c r="K20" s="6"/>
      <c r="L20" s="6"/>
      <c r="M20" s="6"/>
      <c r="N20" s="6"/>
      <c r="O20" s="6"/>
    </row>
    <row r="21" spans="1:15" ht="14.25" hidden="1">
      <c r="A21" s="74">
        <v>1.18</v>
      </c>
      <c r="B21" s="74"/>
      <c r="C21" s="79">
        <f>IFERROR(VLOOKUP($A21,GanttChart!$A:$JD,2,FALSE),"خطا")</f>
        <v>0</v>
      </c>
      <c r="D21" s="80">
        <f>IFERROR(VLOOKUP($A21,GanttChart!$A:$JD,261,FALSE),0)</f>
        <v>0</v>
      </c>
      <c r="E21" s="80">
        <f>IFERROR(VLOOKUP($A21,GanttChart!$A:$JD,262,FALSE),0)</f>
        <v>0</v>
      </c>
      <c r="F21" s="80">
        <f>IFERROR(VLOOKUP($A21,GanttChart!$A:$JD,263,FALSE),0)</f>
        <v>0</v>
      </c>
      <c r="G21" s="81">
        <f>IFERROR(VLOOKUP($A21,GanttChart!$A:$JD,264,FALSE),0)</f>
        <v>0</v>
      </c>
      <c r="H21" s="82"/>
      <c r="I21" s="81">
        <f t="shared" si="0"/>
        <v>0</v>
      </c>
      <c r="J21" s="6"/>
      <c r="K21" s="6"/>
      <c r="L21" s="6"/>
      <c r="M21" s="6"/>
      <c r="N21" s="6"/>
      <c r="O21" s="6"/>
    </row>
    <row r="22" spans="1:15" ht="14.25" hidden="1">
      <c r="A22" s="74">
        <v>1.19</v>
      </c>
      <c r="B22" s="74"/>
      <c r="C22" s="79">
        <f>IFERROR(VLOOKUP($A22,GanttChart!$A:$JD,2,FALSE),"خطا")</f>
        <v>0</v>
      </c>
      <c r="D22" s="80">
        <f>IFERROR(VLOOKUP($A22,GanttChart!$A:$JD,261,FALSE),0)</f>
        <v>0</v>
      </c>
      <c r="E22" s="80">
        <f>IFERROR(VLOOKUP($A22,GanttChart!$A:$JD,262,FALSE),0)</f>
        <v>0</v>
      </c>
      <c r="F22" s="80">
        <f>IFERROR(VLOOKUP($A22,GanttChart!$A:$JD,263,FALSE),0)</f>
        <v>0</v>
      </c>
      <c r="G22" s="81">
        <f>IFERROR(VLOOKUP($A22,GanttChart!$A:$JD,264,FALSE),0)</f>
        <v>0</v>
      </c>
      <c r="H22" s="82"/>
      <c r="I22" s="81">
        <f t="shared" si="0"/>
        <v>0</v>
      </c>
      <c r="J22" s="6"/>
      <c r="K22" s="6"/>
      <c r="L22" s="6"/>
      <c r="M22" s="6"/>
      <c r="N22" s="6"/>
      <c r="O22" s="6"/>
    </row>
    <row r="23" spans="1:15" ht="14.25" hidden="1">
      <c r="A23" s="74">
        <v>1.21</v>
      </c>
      <c r="B23" s="74"/>
      <c r="C23" s="79">
        <f>IFERROR(VLOOKUP($A23,GanttChart!$A:$JD,2,FALSE),"خطا")</f>
        <v>0</v>
      </c>
      <c r="D23" s="80">
        <f>IFERROR(VLOOKUP($A23,GanttChart!$A:$JD,261,FALSE),0)</f>
        <v>0</v>
      </c>
      <c r="E23" s="80">
        <f>IFERROR(VLOOKUP($A23,GanttChart!$A:$JD,262,FALSE),0)</f>
        <v>0</v>
      </c>
      <c r="F23" s="80">
        <f>IFERROR(VLOOKUP($A23,GanttChart!$A:$JD,263,FALSE),0)</f>
        <v>0</v>
      </c>
      <c r="G23" s="81">
        <f>IFERROR(VLOOKUP($A23,GanttChart!$A:$JD,264,FALSE),0)</f>
        <v>0</v>
      </c>
      <c r="H23" s="82"/>
      <c r="I23" s="81">
        <f t="shared" si="0"/>
        <v>0</v>
      </c>
      <c r="J23" s="6"/>
      <c r="K23" s="6"/>
      <c r="L23" s="6"/>
      <c r="M23" s="6"/>
      <c r="N23" s="6"/>
      <c r="O23" s="6"/>
    </row>
    <row r="24" spans="1:15" ht="14.25" hidden="1">
      <c r="A24" s="74">
        <v>1.22</v>
      </c>
      <c r="B24" s="74"/>
      <c r="C24" s="79">
        <f>IFERROR(VLOOKUP($A24,GanttChart!$A:$JD,2,FALSE),"خطا")</f>
        <v>0</v>
      </c>
      <c r="D24" s="80">
        <f>IFERROR(VLOOKUP($A24,GanttChart!$A:$JD,261,FALSE),0)</f>
        <v>0</v>
      </c>
      <c r="E24" s="80">
        <f>IFERROR(VLOOKUP($A24,GanttChart!$A:$JD,262,FALSE),0)</f>
        <v>0</v>
      </c>
      <c r="F24" s="80">
        <f>IFERROR(VLOOKUP($A24,GanttChart!$A:$JD,263,FALSE),0)</f>
        <v>0</v>
      </c>
      <c r="G24" s="81">
        <f>IFERROR(VLOOKUP($A24,GanttChart!$A:$JD,264,FALSE),0)</f>
        <v>0</v>
      </c>
      <c r="H24" s="82"/>
      <c r="I24" s="81">
        <f t="shared" si="0"/>
        <v>0</v>
      </c>
      <c r="J24" s="6"/>
      <c r="K24" s="6"/>
      <c r="L24" s="6"/>
      <c r="M24" s="6"/>
      <c r="N24" s="6"/>
      <c r="O24" s="6"/>
    </row>
    <row r="25" spans="1:15" ht="14.25" hidden="1">
      <c r="A25" s="74">
        <v>1.23</v>
      </c>
      <c r="B25" s="74"/>
      <c r="C25" s="79">
        <f>IFERROR(VLOOKUP($A25,GanttChart!$A:$JD,2,FALSE),"خطا")</f>
        <v>0</v>
      </c>
      <c r="D25" s="80">
        <f>IFERROR(VLOOKUP($A25,GanttChart!$A:$JD,261,FALSE),0)</f>
        <v>0</v>
      </c>
      <c r="E25" s="80">
        <f>IFERROR(VLOOKUP($A25,GanttChart!$A:$JD,262,FALSE),0)</f>
        <v>0</v>
      </c>
      <c r="F25" s="80">
        <f>IFERROR(VLOOKUP($A25,GanttChart!$A:$JD,263,FALSE),0)</f>
        <v>0</v>
      </c>
      <c r="G25" s="81">
        <f>IFERROR(VLOOKUP($A25,GanttChart!$A:$JD,264,FALSE),0)</f>
        <v>0</v>
      </c>
      <c r="H25" s="82"/>
      <c r="I25" s="81">
        <f t="shared" si="0"/>
        <v>0</v>
      </c>
      <c r="J25" s="6"/>
      <c r="K25" s="6"/>
      <c r="L25" s="6"/>
      <c r="M25" s="6"/>
      <c r="N25" s="6"/>
      <c r="O25" s="6"/>
    </row>
    <row r="26" spans="1:15" ht="14.25">
      <c r="A26" s="74">
        <v>2</v>
      </c>
      <c r="B26" s="74"/>
      <c r="C26" s="79" t="str">
        <f>IFERROR(VLOOKUP($A26,GanttChart!$A:$JD,2,FALSE),"خطا")</f>
        <v>استقرار زيرساخت  وآماده سازی  زیر ساخت نرم افزاری سامان سوئیت</v>
      </c>
      <c r="D26" s="80">
        <f>SUM(D27:D47)</f>
        <v>0</v>
      </c>
      <c r="E26" s="80">
        <f>SUM(E27:E47)</f>
        <v>0</v>
      </c>
      <c r="F26" s="80">
        <f>SUM(F27:F47)</f>
        <v>0</v>
      </c>
      <c r="G26" s="81">
        <f>SUM(G27:G47)</f>
        <v>0</v>
      </c>
      <c r="H26" s="203" t="e">
        <f>1-J26/G26</f>
        <v>#DIV/0!</v>
      </c>
      <c r="I26" s="81" t="e">
        <f t="shared" si="0"/>
        <v>#DIV/0!</v>
      </c>
      <c r="J26" s="101">
        <v>12000000</v>
      </c>
      <c r="K26" s="99"/>
      <c r="L26" s="100"/>
      <c r="M26" s="6"/>
      <c r="N26" s="6"/>
      <c r="O26" s="6"/>
    </row>
    <row r="27" spans="1:15" ht="22.5" hidden="1">
      <c r="A27" s="74">
        <v>2.1</v>
      </c>
      <c r="B27" s="74"/>
      <c r="C27" s="79" t="str">
        <f>IFERROR(VLOOKUP($A27,GanttChart!$A:$JD,2,FALSE),"خطا")</f>
        <v xml:space="preserve">ارائه سند نيازمنديهاي شبکه و سخت افزار سرور و نرم افزار های مورد نیاز به کارفرما </v>
      </c>
      <c r="D27" s="80">
        <f>IFERROR(VLOOKUP($A27,GanttChart!$A:$JD,261,FALSE),0)</f>
        <v>0</v>
      </c>
      <c r="E27" s="80">
        <f>IFERROR(VLOOKUP($A27,GanttChart!$A:$JD,262,FALSE),0)</f>
        <v>0</v>
      </c>
      <c r="F27" s="80">
        <f>IFERROR(VLOOKUP($A27,GanttChart!$A:$JD,263,FALSE),0)</f>
        <v>0</v>
      </c>
      <c r="G27" s="81">
        <f>IFERROR(VLOOKUP($A27,GanttChart!$A:$JD,264,FALSE),0)</f>
        <v>0</v>
      </c>
      <c r="H27" s="82"/>
      <c r="I27" s="81">
        <f t="shared" si="0"/>
        <v>0</v>
      </c>
      <c r="J27" s="6"/>
      <c r="K27" s="6"/>
      <c r="L27" s="6"/>
      <c r="M27" s="6"/>
      <c r="N27" s="6"/>
      <c r="O27" s="6"/>
    </row>
    <row r="28" spans="1:15" ht="22.5" hidden="1">
      <c r="A28" s="74">
        <v>2.2000000000000002</v>
      </c>
      <c r="B28" s="74"/>
      <c r="C28" s="79" t="str">
        <f>IFERROR(VLOOKUP($A28,GanttChart!$A:$JD,2,FALSE),"خطا")</f>
        <v xml:space="preserve">تامين و آماده سازي شبکه و زيرساخت سخت افزاری و نرم افزاری مورد نياز (سرور  اصلی و میرور) توسط کارفرما </v>
      </c>
      <c r="D28" s="80">
        <f>IFERROR(VLOOKUP($A28,GanttChart!$A:$JD,261,FALSE),0)</f>
        <v>0</v>
      </c>
      <c r="E28" s="80">
        <f>IFERROR(VLOOKUP($A28,GanttChart!$A:$JD,262,FALSE),0)</f>
        <v>0</v>
      </c>
      <c r="F28" s="80">
        <f>IFERROR(VLOOKUP($A28,GanttChart!$A:$JD,263,FALSE),0)</f>
        <v>0</v>
      </c>
      <c r="G28" s="81">
        <f>IFERROR(VLOOKUP($A28,GanttChart!$A:$JD,264,FALSE),0)</f>
        <v>0</v>
      </c>
      <c r="H28" s="82"/>
      <c r="I28" s="81">
        <f t="shared" si="0"/>
        <v>0</v>
      </c>
      <c r="J28" s="6"/>
      <c r="K28" s="6"/>
      <c r="L28" s="6"/>
      <c r="M28" s="6"/>
      <c r="N28" s="6"/>
      <c r="O28" s="6"/>
    </row>
    <row r="29" spans="1:15" ht="14.25" hidden="1">
      <c r="A29" s="74">
        <v>2.2999999999999998</v>
      </c>
      <c r="B29" s="74"/>
      <c r="C29" s="79" t="str">
        <f>IFERROR(VLOOKUP($A29,GanttChart!$A:$JD,2,FALSE),"خطا")</f>
        <v>ارائه دسترسی راه دور به سرور از طریق (ssh) با حق دسترسی مدیریت</v>
      </c>
      <c r="D29" s="80">
        <f>IFERROR(VLOOKUP($A29,GanttChart!$A:$JD,261,FALSE),0)</f>
        <v>0</v>
      </c>
      <c r="E29" s="80">
        <f>IFERROR(VLOOKUP($A29,GanttChart!$A:$JD,262,FALSE),0)</f>
        <v>0</v>
      </c>
      <c r="F29" s="80">
        <f>IFERROR(VLOOKUP($A29,GanttChart!$A:$JD,263,FALSE),0)</f>
        <v>0</v>
      </c>
      <c r="G29" s="81">
        <f>IFERROR(VLOOKUP($A29,GanttChart!$A:$JD,264,FALSE),0)</f>
        <v>0</v>
      </c>
      <c r="H29" s="82"/>
      <c r="I29" s="81">
        <f t="shared" si="0"/>
        <v>0</v>
      </c>
      <c r="J29" s="6"/>
      <c r="K29" s="6"/>
      <c r="L29" s="6"/>
      <c r="M29" s="6"/>
      <c r="N29" s="6"/>
      <c r="O29" s="6"/>
    </row>
    <row r="30" spans="1:15" ht="14.25" hidden="1">
      <c r="A30" s="74">
        <v>2.4</v>
      </c>
      <c r="B30" s="74"/>
      <c r="C30" s="79" t="str">
        <f>IFERROR(VLOOKUP($A30,GanttChart!$A:$JD,2,FALSE),"خطا")</f>
        <v>نصب و پیکربندی سرور پورتال و زیر ساخت نرم افزاری پایه آن</v>
      </c>
      <c r="D30" s="80">
        <f>IFERROR(VLOOKUP($A30,GanttChart!$A:$JD,261,FALSE),0)</f>
        <v>0</v>
      </c>
      <c r="E30" s="80">
        <f>IFERROR(VLOOKUP($A30,GanttChart!$A:$JD,262,FALSE),0)</f>
        <v>0</v>
      </c>
      <c r="F30" s="80">
        <f>IFERROR(VLOOKUP($A30,GanttChart!$A:$JD,263,FALSE),0)</f>
        <v>0</v>
      </c>
      <c r="G30" s="81">
        <f>IFERROR(VLOOKUP($A30,GanttChart!$A:$JD,264,FALSE),0)</f>
        <v>0</v>
      </c>
      <c r="H30" s="82"/>
      <c r="I30" s="81">
        <f t="shared" si="0"/>
        <v>0</v>
      </c>
      <c r="J30" s="6"/>
      <c r="K30" s="6"/>
      <c r="L30" s="6"/>
      <c r="M30" s="6"/>
      <c r="N30" s="6"/>
      <c r="O30" s="6"/>
    </row>
    <row r="31" spans="1:15" ht="22.5" hidden="1">
      <c r="A31" s="74">
        <v>2.5</v>
      </c>
      <c r="B31" s="74"/>
      <c r="C31" s="79" t="str">
        <f>IFERROR(VLOOKUP($A31,GanttChart!$A:$JD,2,FALSE),"خطا")</f>
        <v>نصب و پیکربندی نرم افزار سامان سوئیت و سایر نرم افزاری های موضوع قرارداد بر روی سرور</v>
      </c>
      <c r="D31" s="80">
        <f>IFERROR(VLOOKUP($A31,GanttChart!$A:$JD,261,FALSE),0)</f>
        <v>0</v>
      </c>
      <c r="E31" s="80">
        <f>IFERROR(VLOOKUP($A31,GanttChart!$A:$JD,262,FALSE),0)</f>
        <v>0</v>
      </c>
      <c r="F31" s="80">
        <f>IFERROR(VLOOKUP($A31,GanttChart!$A:$JD,263,FALSE),0)</f>
        <v>0</v>
      </c>
      <c r="G31" s="81">
        <f>IFERROR(VLOOKUP($A31,GanttChart!$A:$JD,264,FALSE),0)</f>
        <v>0</v>
      </c>
      <c r="H31" s="82"/>
      <c r="I31" s="81">
        <f t="shared" si="0"/>
        <v>0</v>
      </c>
      <c r="J31" s="6"/>
      <c r="K31" s="6"/>
      <c r="L31" s="6"/>
      <c r="M31" s="6"/>
      <c r="N31" s="6"/>
      <c r="O31" s="6"/>
    </row>
    <row r="32" spans="1:15" ht="14.25" hidden="1">
      <c r="A32" s="74">
        <v>2.6</v>
      </c>
      <c r="B32" s="74"/>
      <c r="C32" s="79" t="str">
        <f>IFERROR(VLOOKUP($A32,GanttChart!$A:$JD,2,FALSE),"خطا")</f>
        <v>تنظیم روال های تهیه نسخه پشتیبان دوره ای از نرم افزار سامان سوئیت</v>
      </c>
      <c r="D32" s="80">
        <f>IFERROR(VLOOKUP($A32,GanttChart!$A:$JD,261,FALSE),0)</f>
        <v>0</v>
      </c>
      <c r="E32" s="80">
        <f>IFERROR(VLOOKUP($A32,GanttChart!$A:$JD,262,FALSE),0)</f>
        <v>0</v>
      </c>
      <c r="F32" s="80">
        <f>IFERROR(VLOOKUP($A32,GanttChart!$A:$JD,263,FALSE),0)</f>
        <v>0</v>
      </c>
      <c r="G32" s="81">
        <f>IFERROR(VLOOKUP($A32,GanttChart!$A:$JD,264,FALSE),0)</f>
        <v>0</v>
      </c>
      <c r="H32" s="82"/>
      <c r="I32" s="81">
        <f t="shared" si="0"/>
        <v>0</v>
      </c>
      <c r="J32" s="6"/>
      <c r="K32" s="6"/>
      <c r="L32" s="6"/>
      <c r="M32" s="6"/>
      <c r="N32" s="6"/>
      <c r="O32" s="6"/>
    </row>
    <row r="33" spans="1:15" ht="22.5" hidden="1">
      <c r="A33" s="74">
        <v>2.7</v>
      </c>
      <c r="B33" s="74"/>
      <c r="C33" s="79" t="str">
        <f>IFERROR(VLOOKUP($A33,GanttChart!$A:$JD,2,FALSE),"خطا")</f>
        <v>تحویل نرم افزار نصب شده مطابق با مجوزهای جدول الف و ب پیوست 8 قرارداد بر روی سرور کارفرما به کارفرما</v>
      </c>
      <c r="D33" s="80">
        <f>IFERROR(VLOOKUP($A33,GanttChart!$A:$JD,261,FALSE),0)</f>
        <v>0</v>
      </c>
      <c r="E33" s="80">
        <f>IFERROR(VLOOKUP($A33,GanttChart!$A:$JD,262,FALSE),0)</f>
        <v>0</v>
      </c>
      <c r="F33" s="80">
        <f>IFERROR(VLOOKUP($A33,GanttChart!$A:$JD,263,FALSE),0)</f>
        <v>0</v>
      </c>
      <c r="G33" s="81">
        <f>IFERROR(VLOOKUP($A33,GanttChart!$A:$JD,264,FALSE),0)</f>
        <v>0</v>
      </c>
      <c r="H33" s="82"/>
      <c r="I33" s="81">
        <f t="shared" si="0"/>
        <v>0</v>
      </c>
      <c r="J33" s="6"/>
      <c r="K33" s="6"/>
      <c r="L33" s="6"/>
      <c r="M33" s="6"/>
      <c r="N33" s="6"/>
      <c r="O33" s="6"/>
    </row>
    <row r="34" spans="1:15" ht="14.25" hidden="1">
      <c r="A34" s="74">
        <v>2.8</v>
      </c>
      <c r="B34" s="74"/>
      <c r="C34" s="79" t="str">
        <f>IFERROR(VLOOKUP($A34,GanttChart!$A:$JD,2,FALSE),"خطا")</f>
        <v>تهیه و نگهداری نسخه های پشتیبان نرم افزار سامان سوئیت</v>
      </c>
      <c r="D34" s="80">
        <f>IFERROR(VLOOKUP($A34,GanttChart!$A:$JD,261,FALSE),0)</f>
        <v>0</v>
      </c>
      <c r="E34" s="80">
        <f>IFERROR(VLOOKUP($A34,GanttChart!$A:$JD,262,FALSE),0)</f>
        <v>0</v>
      </c>
      <c r="F34" s="80">
        <f>IFERROR(VLOOKUP($A34,GanttChart!$A:$JD,263,FALSE),0)</f>
        <v>0</v>
      </c>
      <c r="G34" s="81">
        <f>IFERROR(VLOOKUP($A34,GanttChart!$A:$JD,264,FALSE),0)</f>
        <v>0</v>
      </c>
      <c r="H34" s="82"/>
      <c r="I34" s="81">
        <f t="shared" si="0"/>
        <v>0</v>
      </c>
      <c r="J34" s="6"/>
      <c r="K34" s="6"/>
      <c r="L34" s="6"/>
      <c r="M34" s="6"/>
      <c r="N34" s="6"/>
      <c r="O34" s="6"/>
    </row>
    <row r="35" spans="1:15" ht="14.25" hidden="1">
      <c r="A35" s="74">
        <v>2.9</v>
      </c>
      <c r="B35" s="74"/>
      <c r="C35" s="79" t="str">
        <f>IFERROR(VLOOKUP($A35,GanttChart!$A:$JD,2,FALSE),"خطا")</f>
        <v>تحویل سرور اصلی  به کارفرما</v>
      </c>
      <c r="D35" s="80">
        <f>IFERROR(VLOOKUP($A35,GanttChart!$A:$JD,261,FALSE),0)</f>
        <v>0</v>
      </c>
      <c r="E35" s="80">
        <f>IFERROR(VLOOKUP($A35,GanttChart!$A:$JD,262,FALSE),0)</f>
        <v>0</v>
      </c>
      <c r="F35" s="80">
        <f>IFERROR(VLOOKUP($A35,GanttChart!$A:$JD,263,FALSE),0)</f>
        <v>0</v>
      </c>
      <c r="G35" s="81">
        <f>IFERROR(VLOOKUP($A35,GanttChart!$A:$JD,264,FALSE),0)</f>
        <v>0</v>
      </c>
      <c r="H35" s="82"/>
      <c r="I35" s="81">
        <f t="shared" si="0"/>
        <v>0</v>
      </c>
      <c r="J35" s="6"/>
      <c r="K35" s="6"/>
      <c r="L35" s="6"/>
      <c r="M35" s="6"/>
      <c r="N35" s="6"/>
      <c r="O35" s="6"/>
    </row>
    <row r="36" spans="1:15" ht="14.25" hidden="1">
      <c r="A36" s="74">
        <v>2.11</v>
      </c>
      <c r="B36" s="74"/>
      <c r="C36" s="79">
        <f>IFERROR(VLOOKUP($A36,GanttChart!$A:$JD,2,FALSE),"خطا")</f>
        <v>0</v>
      </c>
      <c r="D36" s="80">
        <f>IFERROR(VLOOKUP($A36,GanttChart!$A:$JD,261,FALSE),0)</f>
        <v>0</v>
      </c>
      <c r="E36" s="80">
        <f>IFERROR(VLOOKUP($A36,GanttChart!$A:$JD,262,FALSE),0)</f>
        <v>0</v>
      </c>
      <c r="F36" s="80">
        <f>IFERROR(VLOOKUP($A36,GanttChart!$A:$JD,263,FALSE),0)</f>
        <v>0</v>
      </c>
      <c r="G36" s="81">
        <f>IFERROR(VLOOKUP($A36,GanttChart!$A:$JD,264,FALSE),0)</f>
        <v>0</v>
      </c>
      <c r="H36" s="82"/>
      <c r="I36" s="81">
        <f t="shared" si="0"/>
        <v>0</v>
      </c>
      <c r="J36" s="6"/>
      <c r="K36" s="6"/>
      <c r="L36" s="6"/>
      <c r="M36" s="6"/>
      <c r="N36" s="6"/>
      <c r="O36" s="6"/>
    </row>
    <row r="37" spans="1:15" ht="14.25" hidden="1">
      <c r="A37" s="74">
        <v>2.12</v>
      </c>
      <c r="B37" s="74"/>
      <c r="C37" s="79">
        <f>IFERROR(VLOOKUP($A37,GanttChart!$A:$JD,2,FALSE),"خطا")</f>
        <v>0</v>
      </c>
      <c r="D37" s="80">
        <f>IFERROR(VLOOKUP($A37,GanttChart!$A:$JD,261,FALSE),0)</f>
        <v>0</v>
      </c>
      <c r="E37" s="80">
        <f>IFERROR(VLOOKUP($A37,GanttChart!$A:$JD,262,FALSE),0)</f>
        <v>0</v>
      </c>
      <c r="F37" s="80">
        <f>IFERROR(VLOOKUP($A37,GanttChart!$A:$JD,263,FALSE),0)</f>
        <v>0</v>
      </c>
      <c r="G37" s="81">
        <f>IFERROR(VLOOKUP($A37,GanttChart!$A:$JD,264,FALSE),0)</f>
        <v>0</v>
      </c>
      <c r="H37" s="82"/>
      <c r="I37" s="81">
        <f t="shared" si="0"/>
        <v>0</v>
      </c>
      <c r="J37" s="6"/>
      <c r="K37" s="6"/>
      <c r="L37" s="6"/>
      <c r="M37" s="6"/>
      <c r="N37" s="6"/>
      <c r="O37" s="6"/>
    </row>
    <row r="38" spans="1:15" ht="14.25" hidden="1">
      <c r="A38" s="74">
        <v>2.13</v>
      </c>
      <c r="B38" s="74"/>
      <c r="C38" s="79">
        <f>IFERROR(VLOOKUP($A38,GanttChart!$A:$JD,2,FALSE),"خطا")</f>
        <v>0</v>
      </c>
      <c r="D38" s="80">
        <f>IFERROR(VLOOKUP($A38,GanttChart!$A:$JD,261,FALSE),0)</f>
        <v>0</v>
      </c>
      <c r="E38" s="80">
        <f>IFERROR(VLOOKUP($A38,GanttChart!$A:$JD,262,FALSE),0)</f>
        <v>0</v>
      </c>
      <c r="F38" s="80">
        <f>IFERROR(VLOOKUP($A38,GanttChart!$A:$JD,263,FALSE),0)</f>
        <v>0</v>
      </c>
      <c r="G38" s="81">
        <f>IFERROR(VLOOKUP($A38,GanttChart!$A:$JD,264,FALSE),0)</f>
        <v>0</v>
      </c>
      <c r="H38" s="82"/>
      <c r="I38" s="81">
        <f t="shared" si="0"/>
        <v>0</v>
      </c>
      <c r="J38" s="6"/>
      <c r="K38" s="6"/>
      <c r="L38" s="6"/>
      <c r="M38" s="6"/>
      <c r="N38" s="6"/>
      <c r="O38" s="6"/>
    </row>
    <row r="39" spans="1:15" ht="14.25" hidden="1">
      <c r="A39" s="74">
        <v>2.14</v>
      </c>
      <c r="B39" s="74"/>
      <c r="C39" s="79">
        <f>IFERROR(VLOOKUP($A39,GanttChart!$A:$JD,2,FALSE),"خطا")</f>
        <v>0</v>
      </c>
      <c r="D39" s="80">
        <f>IFERROR(VLOOKUP($A39,GanttChart!$A:$JD,261,FALSE),0)</f>
        <v>0</v>
      </c>
      <c r="E39" s="80">
        <f>IFERROR(VLOOKUP($A39,GanttChart!$A:$JD,262,FALSE),0)</f>
        <v>0</v>
      </c>
      <c r="F39" s="80">
        <f>IFERROR(VLOOKUP($A39,GanttChart!$A:$JD,263,FALSE),0)</f>
        <v>0</v>
      </c>
      <c r="G39" s="81">
        <f>IFERROR(VLOOKUP($A39,GanttChart!$A:$JD,264,FALSE),0)</f>
        <v>0</v>
      </c>
      <c r="H39" s="82"/>
      <c r="I39" s="81">
        <f t="shared" si="0"/>
        <v>0</v>
      </c>
      <c r="J39" s="6"/>
      <c r="K39" s="6"/>
      <c r="L39" s="6"/>
      <c r="M39" s="6"/>
      <c r="N39" s="6"/>
      <c r="O39" s="6"/>
    </row>
    <row r="40" spans="1:15" ht="14.25" hidden="1">
      <c r="A40" s="74">
        <v>2.15</v>
      </c>
      <c r="B40" s="74"/>
      <c r="C40" s="79">
        <f>IFERROR(VLOOKUP($A40,GanttChart!$A:$JD,2,FALSE),"خطا")</f>
        <v>0</v>
      </c>
      <c r="D40" s="80">
        <f>IFERROR(VLOOKUP($A40,GanttChart!$A:$JD,261,FALSE),0)</f>
        <v>0</v>
      </c>
      <c r="E40" s="80">
        <f>IFERROR(VLOOKUP($A40,GanttChart!$A:$JD,262,FALSE),0)</f>
        <v>0</v>
      </c>
      <c r="F40" s="80">
        <f>IFERROR(VLOOKUP($A40,GanttChart!$A:$JD,263,FALSE),0)</f>
        <v>0</v>
      </c>
      <c r="G40" s="81">
        <f>IFERROR(VLOOKUP($A40,GanttChart!$A:$JD,264,FALSE),0)</f>
        <v>0</v>
      </c>
      <c r="H40" s="82"/>
      <c r="I40" s="81">
        <f t="shared" si="0"/>
        <v>0</v>
      </c>
      <c r="J40" s="6"/>
      <c r="K40" s="6"/>
      <c r="L40" s="6"/>
      <c r="M40" s="6"/>
      <c r="N40" s="6"/>
      <c r="O40" s="6"/>
    </row>
    <row r="41" spans="1:15" ht="14.25" hidden="1">
      <c r="A41" s="74">
        <v>2.16</v>
      </c>
      <c r="B41" s="74"/>
      <c r="C41" s="79">
        <f>IFERROR(VLOOKUP($A41,GanttChart!$A:$JD,2,FALSE),"خطا")</f>
        <v>0</v>
      </c>
      <c r="D41" s="80">
        <f>IFERROR(VLOOKUP($A41,GanttChart!$A:$JD,261,FALSE),0)</f>
        <v>0</v>
      </c>
      <c r="E41" s="80">
        <f>IFERROR(VLOOKUP($A41,GanttChart!$A:$JD,262,FALSE),0)</f>
        <v>0</v>
      </c>
      <c r="F41" s="80">
        <f>IFERROR(VLOOKUP($A41,GanttChart!$A:$JD,263,FALSE),0)</f>
        <v>0</v>
      </c>
      <c r="G41" s="81">
        <f>IFERROR(VLOOKUP($A41,GanttChart!$A:$JD,264,FALSE),0)</f>
        <v>0</v>
      </c>
      <c r="H41" s="82"/>
      <c r="I41" s="81">
        <f t="shared" si="0"/>
        <v>0</v>
      </c>
      <c r="J41" s="6"/>
      <c r="K41" s="6"/>
      <c r="L41" s="6"/>
      <c r="M41" s="6"/>
      <c r="N41" s="6"/>
      <c r="O41" s="6"/>
    </row>
    <row r="42" spans="1:15" ht="14.25" hidden="1">
      <c r="A42" s="74">
        <v>2.17</v>
      </c>
      <c r="B42" s="74"/>
      <c r="C42" s="79">
        <f>IFERROR(VLOOKUP($A42,GanttChart!$A:$JD,2,FALSE),"خطا")</f>
        <v>0</v>
      </c>
      <c r="D42" s="80">
        <f>IFERROR(VLOOKUP($A42,GanttChart!$A:$JD,261,FALSE),0)</f>
        <v>0</v>
      </c>
      <c r="E42" s="80">
        <f>IFERROR(VLOOKUP($A42,GanttChart!$A:$JD,262,FALSE),0)</f>
        <v>0</v>
      </c>
      <c r="F42" s="80">
        <f>IFERROR(VLOOKUP($A42,GanttChart!$A:$JD,263,FALSE),0)</f>
        <v>0</v>
      </c>
      <c r="G42" s="81">
        <f>IFERROR(VLOOKUP($A42,GanttChart!$A:$JD,264,FALSE),0)</f>
        <v>0</v>
      </c>
      <c r="H42" s="82"/>
      <c r="I42" s="81">
        <f t="shared" si="0"/>
        <v>0</v>
      </c>
      <c r="J42" s="6"/>
      <c r="K42" s="6"/>
      <c r="L42" s="6"/>
      <c r="M42" s="6"/>
      <c r="N42" s="6"/>
      <c r="O42" s="6"/>
    </row>
    <row r="43" spans="1:15" ht="14.25" hidden="1">
      <c r="A43" s="74">
        <v>2.1800000000000002</v>
      </c>
      <c r="B43" s="74"/>
      <c r="C43" s="79">
        <f>IFERROR(VLOOKUP($A43,GanttChart!$A:$JD,2,FALSE),"خطا")</f>
        <v>0</v>
      </c>
      <c r="D43" s="80">
        <f>IFERROR(VLOOKUP($A43,GanttChart!$A:$JD,261,FALSE),0)</f>
        <v>0</v>
      </c>
      <c r="E43" s="80">
        <f>IFERROR(VLOOKUP($A43,GanttChart!$A:$JD,262,FALSE),0)</f>
        <v>0</v>
      </c>
      <c r="F43" s="80">
        <f>IFERROR(VLOOKUP($A43,GanttChart!$A:$JD,263,FALSE),0)</f>
        <v>0</v>
      </c>
      <c r="G43" s="81">
        <f>IFERROR(VLOOKUP($A43,GanttChart!$A:$JD,264,FALSE),0)</f>
        <v>0</v>
      </c>
      <c r="H43" s="82"/>
      <c r="I43" s="81">
        <f t="shared" si="0"/>
        <v>0</v>
      </c>
      <c r="J43" s="6"/>
      <c r="K43" s="6"/>
      <c r="L43" s="6"/>
      <c r="M43" s="6"/>
      <c r="N43" s="6"/>
      <c r="O43" s="6"/>
    </row>
    <row r="44" spans="1:15" ht="14.25" hidden="1">
      <c r="A44" s="74">
        <v>2.19</v>
      </c>
      <c r="B44" s="74"/>
      <c r="C44" s="79">
        <f>IFERROR(VLOOKUP($A44,GanttChart!$A:$JD,2,FALSE),"خطا")</f>
        <v>0</v>
      </c>
      <c r="D44" s="80">
        <f>IFERROR(VLOOKUP($A44,GanttChart!$A:$JD,261,FALSE),0)</f>
        <v>0</v>
      </c>
      <c r="E44" s="80">
        <f>IFERROR(VLOOKUP($A44,GanttChart!$A:$JD,262,FALSE),0)</f>
        <v>0</v>
      </c>
      <c r="F44" s="80">
        <f>IFERROR(VLOOKUP($A44,GanttChart!$A:$JD,263,FALSE),0)</f>
        <v>0</v>
      </c>
      <c r="G44" s="81">
        <f>IFERROR(VLOOKUP($A44,GanttChart!$A:$JD,264,FALSE),0)</f>
        <v>0</v>
      </c>
      <c r="H44" s="82"/>
      <c r="I44" s="81">
        <f t="shared" si="0"/>
        <v>0</v>
      </c>
      <c r="J44" s="6"/>
      <c r="K44" s="6"/>
      <c r="L44" s="6"/>
      <c r="M44" s="6"/>
      <c r="N44" s="6"/>
      <c r="O44" s="6"/>
    </row>
    <row r="45" spans="1:15" ht="14.25" hidden="1">
      <c r="A45" s="74">
        <v>2.21</v>
      </c>
      <c r="B45" s="74"/>
      <c r="C45" s="79" t="str">
        <f>IFERROR(VLOOKUP($A45,GanttChart!$A:$JD,2,FALSE),"خطا")</f>
        <v>خطا</v>
      </c>
      <c r="D45" s="80">
        <f>IFERROR(VLOOKUP($A45,GanttChart!$A:$JD,261,FALSE),0)</f>
        <v>0</v>
      </c>
      <c r="E45" s="80">
        <f>IFERROR(VLOOKUP($A45,GanttChart!$A:$JD,262,FALSE),0)</f>
        <v>0</v>
      </c>
      <c r="F45" s="80">
        <f>IFERROR(VLOOKUP($A45,GanttChart!$A:$JD,263,FALSE),0)</f>
        <v>0</v>
      </c>
      <c r="G45" s="81">
        <f>IFERROR(VLOOKUP($A45,GanttChart!$A:$JD,264,FALSE),0)</f>
        <v>0</v>
      </c>
      <c r="H45" s="82"/>
      <c r="I45" s="81">
        <f t="shared" si="0"/>
        <v>0</v>
      </c>
      <c r="J45" s="6"/>
      <c r="K45" s="6"/>
      <c r="L45" s="6"/>
      <c r="M45" s="6"/>
      <c r="N45" s="6"/>
      <c r="O45" s="6"/>
    </row>
    <row r="46" spans="1:15" ht="14.25" hidden="1">
      <c r="A46" s="74">
        <v>2.2200000000000002</v>
      </c>
      <c r="B46" s="74"/>
      <c r="C46" s="79" t="str">
        <f>IFERROR(VLOOKUP($A46,GanttChart!$A:$JD,2,FALSE),"خطا")</f>
        <v>خطا</v>
      </c>
      <c r="D46" s="80">
        <f>IFERROR(VLOOKUP($A46,GanttChart!$A:$JD,261,FALSE),0)</f>
        <v>0</v>
      </c>
      <c r="E46" s="80">
        <f>IFERROR(VLOOKUP($A46,GanttChart!$A:$JD,262,FALSE),0)</f>
        <v>0</v>
      </c>
      <c r="F46" s="80">
        <f>IFERROR(VLOOKUP($A46,GanttChart!$A:$JD,263,FALSE),0)</f>
        <v>0</v>
      </c>
      <c r="G46" s="81">
        <f>IFERROR(VLOOKUP($A46,GanttChart!$A:$JD,264,FALSE),0)</f>
        <v>0</v>
      </c>
      <c r="H46" s="82"/>
      <c r="I46" s="81">
        <f t="shared" si="0"/>
        <v>0</v>
      </c>
      <c r="J46" s="6"/>
      <c r="K46" s="6"/>
      <c r="L46" s="6"/>
      <c r="M46" s="6"/>
      <c r="N46" s="6"/>
      <c r="O46" s="6"/>
    </row>
    <row r="47" spans="1:15" ht="14.25" hidden="1">
      <c r="A47" s="74">
        <v>2.23</v>
      </c>
      <c r="B47" s="74"/>
      <c r="C47" s="79" t="str">
        <f>IFERROR(VLOOKUP($A47,GanttChart!$A:$JD,2,FALSE),"خطا")</f>
        <v>خطا</v>
      </c>
      <c r="D47" s="80">
        <f>IFERROR(VLOOKUP($A47,GanttChart!$A:$JD,261,FALSE),0)</f>
        <v>0</v>
      </c>
      <c r="E47" s="80">
        <f>IFERROR(VLOOKUP($A47,GanttChart!$A:$JD,262,FALSE),0)</f>
        <v>0</v>
      </c>
      <c r="F47" s="80">
        <f>IFERROR(VLOOKUP($A47,GanttChart!$A:$JD,263,FALSE),0)</f>
        <v>0</v>
      </c>
      <c r="G47" s="81">
        <f>IFERROR(VLOOKUP($A47,GanttChart!$A:$JD,264,FALSE),0)</f>
        <v>0</v>
      </c>
      <c r="H47" s="82"/>
      <c r="I47" s="81">
        <f t="shared" si="0"/>
        <v>0</v>
      </c>
      <c r="J47" s="6"/>
      <c r="K47" s="6"/>
      <c r="L47" s="6"/>
      <c r="M47" s="6"/>
      <c r="N47" s="6"/>
      <c r="O47" s="6"/>
    </row>
    <row r="48" spans="1:15" ht="14.25">
      <c r="A48" s="74">
        <v>3</v>
      </c>
      <c r="B48" s="74"/>
      <c r="C48" s="79" t="str">
        <f>IFERROR(VLOOKUP($A48,GanttChart!$A:$JD,2,FALSE),"خطا")</f>
        <v>ارائه خدمات اجرایی موضوع قرارداد</v>
      </c>
      <c r="D48" s="80">
        <f>SUM(D49:D69)</f>
        <v>0</v>
      </c>
      <c r="E48" s="80">
        <f>SUM(E49:E69)</f>
        <v>0</v>
      </c>
      <c r="F48" s="80">
        <f>SUM(F49:F69)</f>
        <v>0</v>
      </c>
      <c r="G48" s="81">
        <f>SUM(G49:G69)</f>
        <v>0</v>
      </c>
      <c r="H48" s="203" t="e">
        <f>1-J48/G48</f>
        <v>#DIV/0!</v>
      </c>
      <c r="I48" s="81" t="e">
        <f t="shared" si="0"/>
        <v>#DIV/0!</v>
      </c>
      <c r="J48" s="101">
        <v>16000000</v>
      </c>
      <c r="K48" s="6"/>
      <c r="L48" s="6"/>
      <c r="M48" s="6"/>
      <c r="N48" s="6"/>
      <c r="O48" s="6"/>
    </row>
    <row r="49" spans="1:15" ht="14.25" hidden="1">
      <c r="A49" s="74">
        <v>3.1</v>
      </c>
      <c r="B49" s="74"/>
      <c r="C49" s="79" t="str">
        <f>IFERROR(VLOOKUP($A49,GanttChart!$A:$JD,2,FALSE),"خطا")</f>
        <v xml:space="preserve">ارائه پرسش نامه های نیازسنجی محتوایی و گرافیکی </v>
      </c>
      <c r="D49" s="80">
        <f>IFERROR(VLOOKUP($A49,GanttChart!$A:$JD,261,FALSE),0)</f>
        <v>0</v>
      </c>
      <c r="E49" s="80">
        <f>IFERROR(VLOOKUP($A49,GanttChart!$A:$JD,262,FALSE),0)</f>
        <v>0</v>
      </c>
      <c r="F49" s="80">
        <f>IFERROR(VLOOKUP($A49,GanttChart!$A:$JD,263,FALSE),0)</f>
        <v>0</v>
      </c>
      <c r="G49" s="81">
        <f>IFERROR(VLOOKUP($A49,GanttChart!$A:$JD,264,FALSE),0)</f>
        <v>0</v>
      </c>
      <c r="H49" s="82"/>
      <c r="I49" s="81">
        <f t="shared" si="0"/>
        <v>0</v>
      </c>
      <c r="J49" s="6"/>
      <c r="K49" s="6"/>
      <c r="L49" s="6"/>
      <c r="M49" s="6"/>
      <c r="N49" s="6"/>
      <c r="O49" s="6"/>
    </row>
    <row r="50" spans="1:15" ht="14.25" hidden="1">
      <c r="A50" s="74">
        <v>3.2</v>
      </c>
      <c r="B50" s="74"/>
      <c r="C50" s="79" t="str">
        <f>IFERROR(VLOOKUP($A50,GanttChart!$A:$JD,2,FALSE),"خطا")</f>
        <v>تدوین سند شناخت وضع جاری</v>
      </c>
      <c r="D50" s="80">
        <f>IFERROR(VLOOKUP($A50,GanttChart!$A:$JD,261,FALSE),0)</f>
        <v>0</v>
      </c>
      <c r="E50" s="80">
        <f>IFERROR(VLOOKUP($A50,GanttChart!$A:$JD,262,FALSE),0)</f>
        <v>0</v>
      </c>
      <c r="F50" s="80">
        <f>IFERROR(VLOOKUP($A50,GanttChart!$A:$JD,263,FALSE),0)</f>
        <v>0</v>
      </c>
      <c r="G50" s="81">
        <f>IFERROR(VLOOKUP($A50,GanttChart!$A:$JD,264,FALSE),0)</f>
        <v>0</v>
      </c>
      <c r="H50" s="82"/>
      <c r="I50" s="81">
        <f t="shared" si="0"/>
        <v>0</v>
      </c>
    </row>
    <row r="51" spans="1:15" ht="22.5" hidden="1">
      <c r="A51" s="74">
        <v>3.3</v>
      </c>
      <c r="B51" s="74"/>
      <c r="C51" s="79" t="str">
        <f>IFERROR(VLOOKUP($A51,GanttChart!$A:$JD,2,FALSE),"خطا")</f>
        <v>تکمیل پرسش نامه های نیاز سنجی محتوایی و گرافیکی  پورتال اصلی (فارسی)</v>
      </c>
      <c r="D51" s="80">
        <f>IFERROR(VLOOKUP($A51,GanttChart!$A:$JD,261,FALSE),0)</f>
        <v>0</v>
      </c>
      <c r="E51" s="80">
        <f>IFERROR(VLOOKUP($A51,GanttChart!$A:$JD,262,FALSE),0)</f>
        <v>0</v>
      </c>
      <c r="F51" s="80">
        <f>IFERROR(VLOOKUP($A51,GanttChart!$A:$JD,263,FALSE),0)</f>
        <v>0</v>
      </c>
      <c r="G51" s="81">
        <f>IFERROR(VLOOKUP($A51,GanttChart!$A:$JD,264,FALSE),0)</f>
        <v>0</v>
      </c>
      <c r="H51" s="82"/>
      <c r="I51" s="81">
        <f t="shared" si="0"/>
        <v>0</v>
      </c>
    </row>
    <row r="52" spans="1:15" ht="14.25" hidden="1">
      <c r="A52" s="74">
        <v>3.4</v>
      </c>
      <c r="B52" s="74"/>
      <c r="C52" s="79" t="str">
        <f>IFERROR(VLOOKUP($A52,GanttChart!$A:$JD,2,FALSE),"خطا")</f>
        <v>تکمیل پرسش نامه های نیاز سنجی محتوایی پورتال نمایندگان</v>
      </c>
      <c r="D52" s="80">
        <f>IFERROR(VLOOKUP($A52,GanttChart!$A:$JD,261,FALSE),0)</f>
        <v>0</v>
      </c>
      <c r="E52" s="80">
        <f>IFERROR(VLOOKUP($A52,GanttChart!$A:$JD,262,FALSE),0)</f>
        <v>0</v>
      </c>
      <c r="F52" s="80">
        <f>IFERROR(VLOOKUP($A52,GanttChart!$A:$JD,263,FALSE),0)</f>
        <v>0</v>
      </c>
      <c r="G52" s="81">
        <f>IFERROR(VLOOKUP($A52,GanttChart!$A:$JD,264,FALSE),0)</f>
        <v>0</v>
      </c>
      <c r="H52" s="82"/>
      <c r="I52" s="81">
        <f t="shared" si="0"/>
        <v>0</v>
      </c>
    </row>
    <row r="53" spans="1:15" ht="22.5" hidden="1">
      <c r="A53" s="74">
        <v>3.5</v>
      </c>
      <c r="B53" s="74"/>
      <c r="C53" s="79" t="str">
        <f>IFERROR(VLOOKUP($A53,GanttChart!$A:$JD,2,FALSE),"خطا")</f>
        <v>تکمیل پرسش نامه های نیاز سنجی محتوایی پورتال بیمه عمر و سرمایه گزاری</v>
      </c>
      <c r="D53" s="80">
        <f>IFERROR(VLOOKUP($A53,GanttChart!$A:$JD,261,FALSE),0)</f>
        <v>0</v>
      </c>
      <c r="E53" s="80">
        <f>IFERROR(VLOOKUP($A53,GanttChart!$A:$JD,262,FALSE),0)</f>
        <v>0</v>
      </c>
      <c r="F53" s="80">
        <f>IFERROR(VLOOKUP($A53,GanttChart!$A:$JD,263,FALSE),0)</f>
        <v>0</v>
      </c>
      <c r="G53" s="81">
        <f>IFERROR(VLOOKUP($A53,GanttChart!$A:$JD,264,FALSE),0)</f>
        <v>0</v>
      </c>
      <c r="H53" s="82"/>
      <c r="I53" s="81">
        <f t="shared" si="0"/>
        <v>0</v>
      </c>
    </row>
    <row r="54" spans="1:15" ht="14.25" hidden="1">
      <c r="A54" s="74">
        <v>3.6</v>
      </c>
      <c r="B54" s="74"/>
      <c r="C54" s="79" t="str">
        <f>IFERROR(VLOOKUP($A54,GanttChart!$A:$JD,2,FALSE),"خطا")</f>
        <v>تکمیل پرسش نامه های نیاز سنجی محتوایی پورتال  بیمه مسافرتی</v>
      </c>
      <c r="D54" s="80">
        <f>IFERROR(VLOOKUP($A54,GanttChart!$A:$JD,261,FALSE),0)</f>
        <v>0</v>
      </c>
      <c r="E54" s="80">
        <f>IFERROR(VLOOKUP($A54,GanttChart!$A:$JD,262,FALSE),0)</f>
        <v>0</v>
      </c>
      <c r="F54" s="80">
        <f>IFERROR(VLOOKUP($A54,GanttChart!$A:$JD,263,FALSE),0)</f>
        <v>0</v>
      </c>
      <c r="G54" s="81">
        <f>IFERROR(VLOOKUP($A54,GanttChart!$A:$JD,264,FALSE),0)</f>
        <v>0</v>
      </c>
      <c r="H54" s="82"/>
      <c r="I54" s="81">
        <f t="shared" si="0"/>
        <v>0</v>
      </c>
    </row>
    <row r="55" spans="1:15" ht="14.25" hidden="1">
      <c r="A55" s="74">
        <v>3.7</v>
      </c>
      <c r="B55" s="74"/>
      <c r="C55" s="79" t="str">
        <f>IFERROR(VLOOKUP($A55,GanttChart!$A:$JD,2,FALSE),"خطا")</f>
        <v>تکمیل پرسش نامه های نیاز سنجی محتوایی پورتال سهامداران</v>
      </c>
      <c r="D55" s="80">
        <f>IFERROR(VLOOKUP($A55,GanttChart!$A:$JD,261,FALSE),0)</f>
        <v>0</v>
      </c>
      <c r="E55" s="80">
        <f>IFERROR(VLOOKUP($A55,GanttChart!$A:$JD,262,FALSE),0)</f>
        <v>0</v>
      </c>
      <c r="F55" s="80">
        <f>IFERROR(VLOOKUP($A55,GanttChart!$A:$JD,263,FALSE),0)</f>
        <v>0</v>
      </c>
      <c r="G55" s="81">
        <f>IFERROR(VLOOKUP($A55,GanttChart!$A:$JD,264,FALSE),0)</f>
        <v>0</v>
      </c>
      <c r="H55" s="82"/>
      <c r="I55" s="81">
        <f t="shared" si="0"/>
        <v>0</v>
      </c>
    </row>
    <row r="56" spans="1:15" ht="14.25" hidden="1">
      <c r="A56" s="74">
        <v>3.8</v>
      </c>
      <c r="B56" s="74"/>
      <c r="C56" s="79" t="str">
        <f>IFERROR(VLOOKUP($A56,GanttChart!$A:$JD,2,FALSE),"خطا")</f>
        <v>جمع بندی نيازمنديهای فرايند شناخت و تدوین سند معماری محتوا (تدریجی)</v>
      </c>
      <c r="D56" s="80">
        <f>IFERROR(VLOOKUP($A56,GanttChart!$A:$JD,261,FALSE),0)</f>
        <v>0</v>
      </c>
      <c r="E56" s="80">
        <f>IFERROR(VLOOKUP($A56,GanttChart!$A:$JD,262,FALSE),0)</f>
        <v>0</v>
      </c>
      <c r="F56" s="80">
        <f>IFERROR(VLOOKUP($A56,GanttChart!$A:$JD,263,FALSE),0)</f>
        <v>0</v>
      </c>
      <c r="G56" s="81">
        <f>IFERROR(VLOOKUP($A56,GanttChart!$A:$JD,264,FALSE),0)</f>
        <v>0</v>
      </c>
      <c r="H56" s="82"/>
      <c r="I56" s="81">
        <f t="shared" si="0"/>
        <v>0</v>
      </c>
    </row>
    <row r="57" spans="1:15" ht="14.25" hidden="1">
      <c r="A57" s="74">
        <v>3.9</v>
      </c>
      <c r="B57" s="74"/>
      <c r="C57" s="79" t="str">
        <f>IFERROR(VLOOKUP($A57,GanttChart!$A:$JD,2,FALSE),"خطا")</f>
        <v xml:space="preserve"> بررسی و تایید مستند معماری محتوا توسط کارفرما (تدریجی)</v>
      </c>
      <c r="D57" s="80">
        <f>IFERROR(VLOOKUP($A57,GanttChart!$A:$JD,261,FALSE),0)</f>
        <v>0</v>
      </c>
      <c r="E57" s="80">
        <f>IFERROR(VLOOKUP($A57,GanttChart!$A:$JD,262,FALSE),0)</f>
        <v>0</v>
      </c>
      <c r="F57" s="80">
        <f>IFERROR(VLOOKUP($A57,GanttChart!$A:$JD,263,FALSE),0)</f>
        <v>0</v>
      </c>
      <c r="G57" s="81">
        <f>IFERROR(VLOOKUP($A57,GanttChart!$A:$JD,264,FALSE),0)</f>
        <v>0</v>
      </c>
      <c r="H57" s="82"/>
      <c r="I57" s="81">
        <f t="shared" si="0"/>
        <v>0</v>
      </c>
    </row>
    <row r="58" spans="1:15" ht="14.25" hidden="1">
      <c r="A58" s="74">
        <v>3.11</v>
      </c>
      <c r="B58" s="74"/>
      <c r="C58" s="79" t="str">
        <f>IFERROR(VLOOKUP($A58,GanttChart!$A:$JD,2,FALSE),"خطا")</f>
        <v>ارائه یک قالب گرافیکی  فارسی  برای زیر پورتال اینترنتی(فارسی)</v>
      </c>
      <c r="D58" s="80">
        <f>IFERROR(VLOOKUP($A58,GanttChart!$A:$JD,261,FALSE),0)</f>
        <v>0</v>
      </c>
      <c r="E58" s="80">
        <f>IFERROR(VLOOKUP($A58,GanttChart!$A:$JD,262,FALSE),0)</f>
        <v>0</v>
      </c>
      <c r="F58" s="80">
        <f>IFERROR(VLOOKUP($A58,GanttChart!$A:$JD,263,FALSE),0)</f>
        <v>0</v>
      </c>
      <c r="G58" s="81">
        <f>IFERROR(VLOOKUP($A58,GanttChart!$A:$JD,264,FALSE),0)</f>
        <v>0</v>
      </c>
      <c r="H58" s="82"/>
      <c r="I58" s="81">
        <f t="shared" si="0"/>
        <v>0</v>
      </c>
    </row>
    <row r="59" spans="1:15" ht="22.5" hidden="1">
      <c r="A59" s="74">
        <v>3.12</v>
      </c>
      <c r="B59" s="74"/>
      <c r="C59" s="79" t="str">
        <f>IFERROR(VLOOKUP($A59,GanttChart!$A:$JD,2,FALSE),"خطا")</f>
        <v>نهایی سازی قالب گرافیکی  برای پورتال اینترنتی مطابق نظر کارفرما (اعلام نظر کارفرما: 3 روز کاری، نهایی سازی: 2 روزکاری)</v>
      </c>
      <c r="D59" s="80">
        <f>IFERROR(VLOOKUP($A59,GanttChart!$A:$JD,261,FALSE),0)</f>
        <v>0</v>
      </c>
      <c r="E59" s="80">
        <f>IFERROR(VLOOKUP($A59,GanttChart!$A:$JD,262,FALSE),0)</f>
        <v>0</v>
      </c>
      <c r="F59" s="80">
        <f>IFERROR(VLOOKUP($A59,GanttChart!$A:$JD,263,FALSE),0)</f>
        <v>0</v>
      </c>
      <c r="G59" s="81">
        <f>IFERROR(VLOOKUP($A59,GanttChart!$A:$JD,264,FALSE),0)</f>
        <v>0</v>
      </c>
      <c r="H59" s="82"/>
      <c r="I59" s="81">
        <f t="shared" si="0"/>
        <v>0</v>
      </c>
    </row>
    <row r="60" spans="1:15" ht="14.25" hidden="1">
      <c r="A60" s="74">
        <v>3.13</v>
      </c>
      <c r="B60" s="74"/>
      <c r="C60" s="79" t="str">
        <f>IFERROR(VLOOKUP($A60,GanttChart!$A:$JD,2,FALSE),"خطا")</f>
        <v>ارائه سر صفحه اختصاصی زیر پورتال نمایندگان</v>
      </c>
      <c r="D60" s="80">
        <f>IFERROR(VLOOKUP($A60,GanttChart!$A:$JD,261,FALSE),0)</f>
        <v>0</v>
      </c>
      <c r="E60" s="80">
        <f>IFERROR(VLOOKUP($A60,GanttChart!$A:$JD,262,FALSE),0)</f>
        <v>0</v>
      </c>
      <c r="F60" s="80">
        <f>IFERROR(VLOOKUP($A60,GanttChart!$A:$JD,263,FALSE),0)</f>
        <v>0</v>
      </c>
      <c r="G60" s="81">
        <f>IFERROR(VLOOKUP($A60,GanttChart!$A:$JD,264,FALSE),0)</f>
        <v>0</v>
      </c>
      <c r="H60" s="82"/>
      <c r="I60" s="81">
        <f t="shared" si="0"/>
        <v>0</v>
      </c>
    </row>
    <row r="61" spans="1:15" ht="22.5" hidden="1">
      <c r="A61" s="74">
        <v>3.14</v>
      </c>
      <c r="B61" s="74"/>
      <c r="C61" s="79" t="str">
        <f>IFERROR(VLOOKUP($A61,GanttChart!$A:$JD,2,FALSE),"خطا")</f>
        <v>نهایی سازی سر صفحه اختصاصی زیر پورتال نمایندگان مطابق نظر کارفرما (اعلام نظر کارفرما: 1 روز کاری  و نهایی سازی: 2 روزکاری)</v>
      </c>
      <c r="D61" s="80">
        <f>IFERROR(VLOOKUP($A61,GanttChart!$A:$JD,261,FALSE),0)</f>
        <v>0</v>
      </c>
      <c r="E61" s="80">
        <f>IFERROR(VLOOKUP($A61,GanttChart!$A:$JD,262,FALSE),0)</f>
        <v>0</v>
      </c>
      <c r="F61" s="80">
        <f>IFERROR(VLOOKUP($A61,GanttChart!$A:$JD,263,FALSE),0)</f>
        <v>0</v>
      </c>
      <c r="G61" s="81">
        <f>IFERROR(VLOOKUP($A61,GanttChart!$A:$JD,264,FALSE),0)</f>
        <v>0</v>
      </c>
      <c r="H61" s="82"/>
      <c r="I61" s="81">
        <f t="shared" si="0"/>
        <v>0</v>
      </c>
    </row>
    <row r="62" spans="1:15" ht="14.25" hidden="1">
      <c r="A62" s="74">
        <v>3.15</v>
      </c>
      <c r="B62" s="74"/>
      <c r="C62" s="79" t="str">
        <f>IFERROR(VLOOKUP($A62,GanttChart!$A:$JD,2,FALSE),"خطا")</f>
        <v>ارائه سر صفحه اختصاصی زیر پورتال بیمه عمر و سرمایه گزاری</v>
      </c>
      <c r="D62" s="80">
        <f>IFERROR(VLOOKUP($A62,GanttChart!$A:$JD,261,FALSE),0)</f>
        <v>0</v>
      </c>
      <c r="E62" s="80">
        <f>IFERROR(VLOOKUP($A62,GanttChart!$A:$JD,262,FALSE),0)</f>
        <v>0</v>
      </c>
      <c r="F62" s="80">
        <f>IFERROR(VLOOKUP($A62,GanttChart!$A:$JD,263,FALSE),0)</f>
        <v>0</v>
      </c>
      <c r="G62" s="81">
        <f>IFERROR(VLOOKUP($A62,GanttChart!$A:$JD,264,FALSE),0)</f>
        <v>0</v>
      </c>
      <c r="H62" s="82"/>
      <c r="I62" s="81">
        <f t="shared" si="0"/>
        <v>0</v>
      </c>
    </row>
    <row r="63" spans="1:15" ht="33.75" hidden="1">
      <c r="A63" s="74">
        <v>3.16</v>
      </c>
      <c r="B63" s="74"/>
      <c r="C63" s="79" t="str">
        <f>IFERROR(VLOOKUP($A63,GanttChart!$A:$JD,2,FALSE),"خطا")</f>
        <v>نهایی سازی سر صفحه اختصاصی زیر پورتال بیمه عمر و سرمایه گزاری مطابق نظر کارفرما (اعلام نظر کارفرما : 1 روز کاری و  نهایی سازی: 2 روزکاری)</v>
      </c>
      <c r="D63" s="80">
        <f>IFERROR(VLOOKUP($A63,GanttChart!$A:$JD,261,FALSE),0)</f>
        <v>0</v>
      </c>
      <c r="E63" s="80">
        <f>IFERROR(VLOOKUP($A63,GanttChart!$A:$JD,262,FALSE),0)</f>
        <v>0</v>
      </c>
      <c r="F63" s="80">
        <f>IFERROR(VLOOKUP($A63,GanttChart!$A:$JD,263,FALSE),0)</f>
        <v>0</v>
      </c>
      <c r="G63" s="81">
        <f>IFERROR(VLOOKUP($A63,GanttChart!$A:$JD,264,FALSE),0)</f>
        <v>0</v>
      </c>
      <c r="H63" s="82"/>
      <c r="I63" s="81">
        <f t="shared" si="0"/>
        <v>0</v>
      </c>
    </row>
    <row r="64" spans="1:15" ht="14.25" hidden="1">
      <c r="A64" s="74">
        <v>3.17</v>
      </c>
      <c r="B64" s="74"/>
      <c r="C64" s="79" t="str">
        <f>IFERROR(VLOOKUP($A64,GanttChart!$A:$JD,2,FALSE),"خطا")</f>
        <v>ارائه سر صفحه اختصاصی زیر پورتال بیمه مسافرتی</v>
      </c>
      <c r="D64" s="80">
        <f>IFERROR(VLOOKUP($A64,GanttChart!$A:$JD,261,FALSE),0)</f>
        <v>0</v>
      </c>
      <c r="E64" s="80">
        <f>IFERROR(VLOOKUP($A64,GanttChart!$A:$JD,262,FALSE),0)</f>
        <v>0</v>
      </c>
      <c r="F64" s="80">
        <f>IFERROR(VLOOKUP($A64,GanttChart!$A:$JD,263,FALSE),0)</f>
        <v>0</v>
      </c>
      <c r="G64" s="81">
        <f>IFERROR(VLOOKUP($A64,GanttChart!$A:$JD,264,FALSE),0)</f>
        <v>0</v>
      </c>
      <c r="H64" s="82"/>
      <c r="I64" s="81">
        <f t="shared" si="0"/>
        <v>0</v>
      </c>
    </row>
    <row r="65" spans="1:9" ht="22.5" hidden="1">
      <c r="A65" s="74">
        <v>3.18</v>
      </c>
      <c r="B65" s="74"/>
      <c r="C65" s="79" t="str">
        <f>IFERROR(VLOOKUP($A65,GanttChart!$A:$JD,2,FALSE),"خطا")</f>
        <v>نهایی سازی سر صفحه اختصاصی زیر پورتال بیمه مسافرتی مطابق نظر کارفرما (اعلام نظر کارفرما و نهایی سازی: 2 روزکاری)</v>
      </c>
      <c r="D65" s="80">
        <f>IFERROR(VLOOKUP($A65,GanttChart!$A:$JD,261,FALSE),0)</f>
        <v>0</v>
      </c>
      <c r="E65" s="80">
        <f>IFERROR(VLOOKUP($A65,GanttChart!$A:$JD,262,FALSE),0)</f>
        <v>0</v>
      </c>
      <c r="F65" s="80">
        <f>IFERROR(VLOOKUP($A65,GanttChart!$A:$JD,263,FALSE),0)</f>
        <v>0</v>
      </c>
      <c r="G65" s="81">
        <f>IFERROR(VLOOKUP($A65,GanttChart!$A:$JD,264,FALSE),0)</f>
        <v>0</v>
      </c>
      <c r="H65" s="82"/>
      <c r="I65" s="81">
        <f t="shared" si="0"/>
        <v>0</v>
      </c>
    </row>
    <row r="66" spans="1:9" ht="14.25" hidden="1">
      <c r="A66" s="74">
        <v>3.19</v>
      </c>
      <c r="B66" s="74"/>
      <c r="C66" s="79" t="str">
        <f>IFERROR(VLOOKUP($A66,GanttChart!$A:$JD,2,FALSE),"خطا")</f>
        <v xml:space="preserve">ارائه سر صفحه اختصاصی برای زیر پورتال سهامداران </v>
      </c>
      <c r="D66" s="80">
        <f>IFERROR(VLOOKUP($A66,GanttChart!$A:$JD,261,FALSE),0)</f>
        <v>0</v>
      </c>
      <c r="E66" s="80">
        <f>IFERROR(VLOOKUP($A66,GanttChart!$A:$JD,262,FALSE),0)</f>
        <v>0</v>
      </c>
      <c r="F66" s="80">
        <f>IFERROR(VLOOKUP($A66,GanttChart!$A:$JD,263,FALSE),0)</f>
        <v>0</v>
      </c>
      <c r="G66" s="81">
        <f>IFERROR(VLOOKUP($A66,GanttChart!$A:$JD,264,FALSE),0)</f>
        <v>0</v>
      </c>
      <c r="H66" s="82"/>
      <c r="I66" s="81">
        <f t="shared" si="0"/>
        <v>0</v>
      </c>
    </row>
    <row r="67" spans="1:9" ht="22.5" hidden="1">
      <c r="A67" s="74">
        <v>3.21</v>
      </c>
      <c r="B67" s="74"/>
      <c r="C67" s="79" t="str">
        <f>IFERROR(VLOOKUP($A67,GanttChart!$A:$JD,2,FALSE),"خطا")</f>
        <v>نهایی سازی سر صفحه اختصاصی  برای زیر پورتال سهامداران مطابق نظر کارفرما (اعلام نظر کارفرما : 1 روز کاری و نهایی سازی: 2 روزکاری)</v>
      </c>
      <c r="D67" s="80">
        <f>IFERROR(VLOOKUP($A67,GanttChart!$A:$JD,261,FALSE),0)</f>
        <v>0</v>
      </c>
      <c r="E67" s="80">
        <f>IFERROR(VLOOKUP($A67,GanttChart!$A:$JD,262,FALSE),0)</f>
        <v>0</v>
      </c>
      <c r="F67" s="80">
        <f>IFERROR(VLOOKUP($A67,GanttChart!$A:$JD,263,FALSE),0)</f>
        <v>0</v>
      </c>
      <c r="G67" s="81">
        <f>IFERROR(VLOOKUP($A67,GanttChart!$A:$JD,264,FALSE),0)</f>
        <v>0</v>
      </c>
      <c r="H67" s="82"/>
      <c r="I67" s="81">
        <f t="shared" si="0"/>
        <v>0</v>
      </c>
    </row>
    <row r="68" spans="1:9" ht="14.25" hidden="1">
      <c r="A68" s="74">
        <v>3.22</v>
      </c>
      <c r="B68" s="74"/>
      <c r="C68" s="79" t="str">
        <f>IFERROR(VLOOKUP($A68,GanttChart!$A:$JD,2,FALSE),"خطا")</f>
        <v>راه اندازی کامل زیرپورتال اینترنتی (نسخه فارسی)</v>
      </c>
      <c r="D68" s="80">
        <f>IFERROR(VLOOKUP($A68,GanttChart!$A:$JD,261,FALSE),0)</f>
        <v>0</v>
      </c>
      <c r="E68" s="80">
        <f>IFERROR(VLOOKUP($A68,GanttChart!$A:$JD,262,FALSE),0)</f>
        <v>0</v>
      </c>
      <c r="F68" s="80">
        <f>IFERROR(VLOOKUP($A68,GanttChart!$A:$JD,263,FALSE),0)</f>
        <v>0</v>
      </c>
      <c r="G68" s="81">
        <f>IFERROR(VLOOKUP($A68,GanttChart!$A:$JD,264,FALSE),0)</f>
        <v>0</v>
      </c>
      <c r="H68" s="82"/>
      <c r="I68" s="81">
        <f t="shared" si="0"/>
        <v>0</v>
      </c>
    </row>
    <row r="69" spans="1:9" ht="22.5" hidden="1">
      <c r="A69" s="74">
        <v>3.23</v>
      </c>
      <c r="B69" s="74"/>
      <c r="C69" s="79" t="str">
        <f>IFERROR(VLOOKUP($A69,GanttChart!$A:$JD,2,FALSE),"خطا")</f>
        <v>تحویل راه اندازی کامل زیر پورتال اینترنتی (نسخه فارسی)  (1 روز تست پیمانکار ، 2 روز تست  کارفرما)</v>
      </c>
      <c r="D69" s="80">
        <f>IFERROR(VLOOKUP($A69,GanttChart!$A:$JD,261,FALSE),0)</f>
        <v>0</v>
      </c>
      <c r="E69" s="80">
        <f>IFERROR(VLOOKUP($A69,GanttChart!$A:$JD,262,FALSE),0)</f>
        <v>0</v>
      </c>
      <c r="F69" s="80">
        <f>IFERROR(VLOOKUP($A69,GanttChart!$A:$JD,263,FALSE),0)</f>
        <v>0</v>
      </c>
      <c r="G69" s="81">
        <f>IFERROR(VLOOKUP($A69,GanttChart!$A:$JD,264,FALSE),0)</f>
        <v>0</v>
      </c>
      <c r="H69" s="82"/>
      <c r="I69" s="81">
        <f t="shared" si="0"/>
        <v>0</v>
      </c>
    </row>
    <row r="70" spans="1:9" ht="14.25">
      <c r="A70" s="74">
        <v>4</v>
      </c>
      <c r="B70" s="74"/>
      <c r="C70" s="79" t="str">
        <f>IFERROR(VLOOKUP($A70,GanttChart!$A:$JD,2,FALSE),"خطا")</f>
        <v>ارائه خدمات آموزش</v>
      </c>
      <c r="D70" s="80">
        <f>SUM(D71:D91)</f>
        <v>0</v>
      </c>
      <c r="E70" s="80">
        <f>SUM(E71:E91)</f>
        <v>0</v>
      </c>
      <c r="F70" s="80">
        <f>SUM(F71:F91)</f>
        <v>0</v>
      </c>
      <c r="G70" s="81">
        <f>SUM(G71:G91)</f>
        <v>0</v>
      </c>
      <c r="H70" s="203"/>
      <c r="I70" s="81">
        <f t="shared" si="0"/>
        <v>0</v>
      </c>
    </row>
    <row r="71" spans="1:9" ht="14.25" hidden="1">
      <c r="A71" s="74">
        <v>4.0999999999999996</v>
      </c>
      <c r="B71" s="74"/>
      <c r="C71" s="79" t="str">
        <f>IFERROR(VLOOKUP($A71,GanttChart!$A:$JD,2,FALSE),"خطا")</f>
        <v>ارائه طرح آموزش و برنامه زمانبندی و مکانی برگزاری جلسات آموزشی</v>
      </c>
      <c r="D71" s="80">
        <f>IFERROR(VLOOKUP($A71,GanttChart!$A:$JD,261,FALSE),0)</f>
        <v>0</v>
      </c>
      <c r="E71" s="80">
        <f>IFERROR(VLOOKUP($A71,GanttChart!$A:$JD,262,FALSE),0)</f>
        <v>0</v>
      </c>
      <c r="F71" s="80">
        <f>IFERROR(VLOOKUP($A71,GanttChart!$A:$JD,263,FALSE),0)</f>
        <v>0</v>
      </c>
      <c r="G71" s="81">
        <f>IFERROR(VLOOKUP($A71,GanttChart!$A:$JD,264,FALSE),0)</f>
        <v>0</v>
      </c>
      <c r="H71" s="82"/>
      <c r="I71" s="81">
        <f t="shared" si="0"/>
        <v>0</v>
      </c>
    </row>
    <row r="72" spans="1:9" ht="22.5" hidden="1">
      <c r="A72" s="74">
        <v>4.2</v>
      </c>
      <c r="B72" s="74"/>
      <c r="C72" s="79" t="str">
        <f>IFERROR(VLOOKUP($A72,GanttChart!$A:$JD,2,FALSE),"خطا")</f>
        <v>معرفی نمایندگان کارفرما به تفکیک سطوح کاربری دارای دانش و مهارت های پیش نیاز آموزش نرم افزار</v>
      </c>
      <c r="D72" s="80">
        <f>IFERROR(VLOOKUP($A72,GanttChart!$A:$JD,261,FALSE),0)</f>
        <v>0</v>
      </c>
      <c r="E72" s="80">
        <f>IFERROR(VLOOKUP($A72,GanttChart!$A:$JD,262,FALSE),0)</f>
        <v>0</v>
      </c>
      <c r="F72" s="80">
        <f>IFERROR(VLOOKUP($A72,GanttChart!$A:$JD,263,FALSE),0)</f>
        <v>0</v>
      </c>
      <c r="G72" s="81">
        <f>IFERROR(VLOOKUP($A72,GanttChart!$A:$JD,264,FALSE),0)</f>
        <v>0</v>
      </c>
      <c r="H72" s="82"/>
      <c r="I72" s="81">
        <f t="shared" si="0"/>
        <v>0</v>
      </c>
    </row>
    <row r="73" spans="1:9" ht="14.25" hidden="1">
      <c r="A73" s="74">
        <v>4.3</v>
      </c>
      <c r="B73" s="74"/>
      <c r="C73" s="79" t="str">
        <f>IFERROR(VLOOKUP($A73,GanttChart!$A:$JD,2,FALSE),"خطا")</f>
        <v>برگزاری جلسات آموزش کاربری(9 ساعت)</v>
      </c>
      <c r="D73" s="80">
        <f>IFERROR(VLOOKUP($A73,GanttChart!$A:$JD,261,FALSE),0)</f>
        <v>0</v>
      </c>
      <c r="E73" s="80">
        <f>IFERROR(VLOOKUP($A73,GanttChart!$A:$JD,262,FALSE),0)</f>
        <v>0</v>
      </c>
      <c r="F73" s="80">
        <f>IFERROR(VLOOKUP($A73,GanttChart!$A:$JD,263,FALSE),0)</f>
        <v>0</v>
      </c>
      <c r="G73" s="81">
        <f>IFERROR(VLOOKUP($A73,GanttChart!$A:$JD,264,FALSE),0)</f>
        <v>0</v>
      </c>
      <c r="H73" s="82"/>
      <c r="I73" s="81">
        <f t="shared" si="0"/>
        <v>0</v>
      </c>
    </row>
    <row r="74" spans="1:9" ht="14.25" hidden="1">
      <c r="A74" s="74">
        <v>4.4000000000000004</v>
      </c>
      <c r="B74" s="74"/>
      <c r="C74" s="79" t="str">
        <f>IFERROR(VLOOKUP($A74,GanttChart!$A:$JD,2,FALSE),"خطا")</f>
        <v>برگزاری جلسات آموزش  راهبری و مدیریتی  (9 ساعت)</v>
      </c>
      <c r="D74" s="80">
        <f>IFERROR(VLOOKUP($A74,GanttChart!$A:$JD,261,FALSE),0)</f>
        <v>0</v>
      </c>
      <c r="E74" s="80">
        <f>IFERROR(VLOOKUP($A74,GanttChart!$A:$JD,262,FALSE),0)</f>
        <v>0</v>
      </c>
      <c r="F74" s="80">
        <f>IFERROR(VLOOKUP($A74,GanttChart!$A:$JD,263,FALSE),0)</f>
        <v>0</v>
      </c>
      <c r="G74" s="81">
        <f>IFERROR(VLOOKUP($A74,GanttChart!$A:$JD,264,FALSE),0)</f>
        <v>0</v>
      </c>
      <c r="H74" s="82"/>
      <c r="I74" s="81">
        <f t="shared" si="0"/>
        <v>0</v>
      </c>
    </row>
    <row r="75" spans="1:9" ht="14.25" hidden="1">
      <c r="A75" s="74">
        <v>4.5</v>
      </c>
      <c r="B75" s="74"/>
      <c r="C75" s="79" t="str">
        <f>IFERROR(VLOOKUP($A75,GanttChart!$A:$JD,2,FALSE),"خطا")</f>
        <v>برگزاری جلسات آموزش راهبر زیر پورتال (4 ساعت)</v>
      </c>
      <c r="D75" s="80">
        <f>IFERROR(VLOOKUP($A75,GanttChart!$A:$JD,261,FALSE),0)</f>
        <v>0</v>
      </c>
      <c r="E75" s="80">
        <f>IFERROR(VLOOKUP($A75,GanttChart!$A:$JD,262,FALSE),0)</f>
        <v>0</v>
      </c>
      <c r="F75" s="80">
        <f>IFERROR(VLOOKUP($A75,GanttChart!$A:$JD,263,FALSE),0)</f>
        <v>0</v>
      </c>
      <c r="G75" s="81">
        <f>IFERROR(VLOOKUP($A75,GanttChart!$A:$JD,264,FALSE),0)</f>
        <v>0</v>
      </c>
      <c r="H75" s="82"/>
      <c r="I75" s="81">
        <f t="shared" si="0"/>
        <v>0</v>
      </c>
    </row>
    <row r="76" spans="1:9" ht="14.25" hidden="1">
      <c r="A76" s="74">
        <v>4.5999999999999996</v>
      </c>
      <c r="B76" s="74"/>
      <c r="C76" s="79" t="str">
        <f>IFERROR(VLOOKUP($A76,GanttChart!$A:$JD,2,FALSE),"خطا")</f>
        <v>برگزاری جلسات آموزش زیر ساخت توسعه پذیری نرم افزار (6 ساعت)</v>
      </c>
      <c r="D76" s="80">
        <f>IFERROR(VLOOKUP($A76,GanttChart!$A:$JD,261,FALSE),0)</f>
        <v>0</v>
      </c>
      <c r="E76" s="80">
        <f>IFERROR(VLOOKUP($A76,GanttChart!$A:$JD,262,FALSE),0)</f>
        <v>0</v>
      </c>
      <c r="F76" s="80">
        <f>IFERROR(VLOOKUP($A76,GanttChart!$A:$JD,263,FALSE),0)</f>
        <v>0</v>
      </c>
      <c r="G76" s="81">
        <f>IFERROR(VLOOKUP($A76,GanttChart!$A:$JD,264,FALSE),0)</f>
        <v>0</v>
      </c>
      <c r="H76" s="82"/>
      <c r="I76" s="81">
        <f t="shared" si="0"/>
        <v>0</v>
      </c>
    </row>
    <row r="77" spans="1:9" ht="14.25" hidden="1">
      <c r="A77" s="74">
        <v>4.7</v>
      </c>
      <c r="B77" s="74"/>
      <c r="C77" s="79">
        <f>IFERROR(VLOOKUP($A77,GanttChart!$A:$JD,2,FALSE),"خطا")</f>
        <v>0</v>
      </c>
      <c r="D77" s="80">
        <f>IFERROR(VLOOKUP($A77,GanttChart!$A:$JD,261,FALSE),0)</f>
        <v>0</v>
      </c>
      <c r="E77" s="80">
        <f>IFERROR(VLOOKUP($A77,GanttChart!$A:$JD,262,FALSE),0)</f>
        <v>0</v>
      </c>
      <c r="F77" s="80">
        <f>IFERROR(VLOOKUP($A77,GanttChart!$A:$JD,263,FALSE),0)</f>
        <v>0</v>
      </c>
      <c r="G77" s="81">
        <f>IFERROR(VLOOKUP($A77,GanttChart!$A:$JD,264,FALSE),0)</f>
        <v>0</v>
      </c>
      <c r="H77" s="82"/>
      <c r="I77" s="81">
        <f t="shared" si="0"/>
        <v>0</v>
      </c>
    </row>
    <row r="78" spans="1:9" ht="14.25" hidden="1">
      <c r="A78" s="74">
        <v>4.8</v>
      </c>
      <c r="B78" s="74"/>
      <c r="C78" s="79">
        <f>IFERROR(VLOOKUP($A78,GanttChart!$A:$JD,2,FALSE),"خطا")</f>
        <v>0</v>
      </c>
      <c r="D78" s="80">
        <f>IFERROR(VLOOKUP($A78,GanttChart!$A:$JD,261,FALSE),0)</f>
        <v>0</v>
      </c>
      <c r="E78" s="80">
        <f>IFERROR(VLOOKUP($A78,GanttChart!$A:$JD,262,FALSE),0)</f>
        <v>0</v>
      </c>
      <c r="F78" s="80">
        <f>IFERROR(VLOOKUP($A78,GanttChart!$A:$JD,263,FALSE),0)</f>
        <v>0</v>
      </c>
      <c r="G78" s="81">
        <f>IFERROR(VLOOKUP($A78,GanttChart!$A:$JD,264,FALSE),0)</f>
        <v>0</v>
      </c>
      <c r="H78" s="82"/>
      <c r="I78" s="81">
        <f t="shared" si="0"/>
        <v>0</v>
      </c>
    </row>
    <row r="79" spans="1:9" ht="14.25" hidden="1">
      <c r="A79" s="74">
        <v>4.9000000000000004</v>
      </c>
      <c r="B79" s="74"/>
      <c r="C79" s="79">
        <f>IFERROR(VLOOKUP($A79,GanttChart!$A:$JD,2,FALSE),"خطا")</f>
        <v>0</v>
      </c>
      <c r="D79" s="80">
        <f>IFERROR(VLOOKUP($A79,GanttChart!$A:$JD,261,FALSE),0)</f>
        <v>0</v>
      </c>
      <c r="E79" s="80">
        <f>IFERROR(VLOOKUP($A79,GanttChart!$A:$JD,262,FALSE),0)</f>
        <v>0</v>
      </c>
      <c r="F79" s="80">
        <f>IFERROR(VLOOKUP($A79,GanttChart!$A:$JD,263,FALSE),0)</f>
        <v>0</v>
      </c>
      <c r="G79" s="81">
        <f>IFERROR(VLOOKUP($A79,GanttChart!$A:$JD,264,FALSE),0)</f>
        <v>0</v>
      </c>
      <c r="H79" s="82"/>
      <c r="I79" s="81">
        <f t="shared" si="0"/>
        <v>0</v>
      </c>
    </row>
    <row r="80" spans="1:9" ht="14.25" hidden="1">
      <c r="A80" s="74">
        <v>4.1100000000000003</v>
      </c>
      <c r="B80" s="74"/>
      <c r="C80" s="79">
        <f>IFERROR(VLOOKUP($A80,GanttChart!$A:$JD,2,FALSE),"خطا")</f>
        <v>0</v>
      </c>
      <c r="D80" s="80">
        <f>IFERROR(VLOOKUP($A80,GanttChart!$A:$JD,261,FALSE),0)</f>
        <v>0</v>
      </c>
      <c r="E80" s="80">
        <f>IFERROR(VLOOKUP($A80,GanttChart!$A:$JD,262,FALSE),0)</f>
        <v>0</v>
      </c>
      <c r="F80" s="80">
        <f>IFERROR(VLOOKUP($A80,GanttChart!$A:$JD,263,FALSE),0)</f>
        <v>0</v>
      </c>
      <c r="G80" s="81">
        <f>IFERROR(VLOOKUP($A80,GanttChart!$A:$JD,264,FALSE),0)</f>
        <v>0</v>
      </c>
      <c r="H80" s="82"/>
      <c r="I80" s="81">
        <f t="shared" si="0"/>
        <v>0</v>
      </c>
    </row>
    <row r="81" spans="1:12" ht="14.25" hidden="1">
      <c r="A81" s="74">
        <v>4.12</v>
      </c>
      <c r="B81" s="74"/>
      <c r="C81" s="79">
        <f>IFERROR(VLOOKUP($A81,GanttChart!$A:$JD,2,FALSE),"خطا")</f>
        <v>0</v>
      </c>
      <c r="D81" s="80">
        <f>IFERROR(VLOOKUP($A81,GanttChart!$A:$JD,261,FALSE),0)</f>
        <v>0</v>
      </c>
      <c r="E81" s="80">
        <f>IFERROR(VLOOKUP($A81,GanttChart!$A:$JD,262,FALSE),0)</f>
        <v>0</v>
      </c>
      <c r="F81" s="80">
        <f>IFERROR(VLOOKUP($A81,GanttChart!$A:$JD,263,FALSE),0)</f>
        <v>0</v>
      </c>
      <c r="G81" s="81">
        <f>IFERROR(VLOOKUP($A81,GanttChart!$A:$JD,264,FALSE),0)</f>
        <v>0</v>
      </c>
      <c r="H81" s="82"/>
      <c r="I81" s="81">
        <f t="shared" si="0"/>
        <v>0</v>
      </c>
    </row>
    <row r="82" spans="1:12" ht="14.25" hidden="1">
      <c r="A82" s="74">
        <v>4.13</v>
      </c>
      <c r="B82" s="74"/>
      <c r="C82" s="79">
        <f>IFERROR(VLOOKUP($A82,GanttChart!$A:$JD,2,FALSE),"خطا")</f>
        <v>0</v>
      </c>
      <c r="D82" s="80">
        <f>IFERROR(VLOOKUP($A82,GanttChart!$A:$JD,261,FALSE),0)</f>
        <v>0</v>
      </c>
      <c r="E82" s="80">
        <f>IFERROR(VLOOKUP($A82,GanttChart!$A:$JD,262,FALSE),0)</f>
        <v>0</v>
      </c>
      <c r="F82" s="80">
        <f>IFERROR(VLOOKUP($A82,GanttChart!$A:$JD,263,FALSE),0)</f>
        <v>0</v>
      </c>
      <c r="G82" s="81">
        <f>IFERROR(VLOOKUP($A82,GanttChart!$A:$JD,264,FALSE),0)</f>
        <v>0</v>
      </c>
      <c r="H82" s="82"/>
      <c r="I82" s="81">
        <f t="shared" si="0"/>
        <v>0</v>
      </c>
    </row>
    <row r="83" spans="1:12" ht="14.25" hidden="1">
      <c r="A83" s="74">
        <v>4.1399999999999997</v>
      </c>
      <c r="B83" s="74"/>
      <c r="C83" s="79">
        <f>IFERROR(VLOOKUP($A83,GanttChart!$A:$JD,2,FALSE),"خطا")</f>
        <v>0</v>
      </c>
      <c r="D83" s="80">
        <f>IFERROR(VLOOKUP($A83,GanttChart!$A:$JD,261,FALSE),0)</f>
        <v>0</v>
      </c>
      <c r="E83" s="80">
        <f>IFERROR(VLOOKUP($A83,GanttChart!$A:$JD,262,FALSE),0)</f>
        <v>0</v>
      </c>
      <c r="F83" s="80">
        <f>IFERROR(VLOOKUP($A83,GanttChart!$A:$JD,263,FALSE),0)</f>
        <v>0</v>
      </c>
      <c r="G83" s="81">
        <f>IFERROR(VLOOKUP($A83,GanttChart!$A:$JD,264,FALSE),0)</f>
        <v>0</v>
      </c>
      <c r="H83" s="82"/>
      <c r="I83" s="81">
        <f t="shared" si="0"/>
        <v>0</v>
      </c>
    </row>
    <row r="84" spans="1:12" ht="14.25" hidden="1">
      <c r="A84" s="74">
        <v>4.1500000000000004</v>
      </c>
      <c r="B84" s="74"/>
      <c r="C84" s="79">
        <f>IFERROR(VLOOKUP($A84,GanttChart!$A:$JD,2,FALSE),"خطا")</f>
        <v>0</v>
      </c>
      <c r="D84" s="80">
        <f>IFERROR(VLOOKUP($A84,GanttChart!$A:$JD,261,FALSE),0)</f>
        <v>0</v>
      </c>
      <c r="E84" s="80">
        <f>IFERROR(VLOOKUP($A84,GanttChart!$A:$JD,262,FALSE),0)</f>
        <v>0</v>
      </c>
      <c r="F84" s="80">
        <f>IFERROR(VLOOKUP($A84,GanttChart!$A:$JD,263,FALSE),0)</f>
        <v>0</v>
      </c>
      <c r="G84" s="81">
        <f>IFERROR(VLOOKUP($A84,GanttChart!$A:$JD,264,FALSE),0)</f>
        <v>0</v>
      </c>
      <c r="H84" s="82"/>
      <c r="I84" s="81">
        <f t="shared" si="0"/>
        <v>0</v>
      </c>
    </row>
    <row r="85" spans="1:12" ht="14.25" hidden="1">
      <c r="A85" s="74">
        <v>4.16</v>
      </c>
      <c r="B85" s="74"/>
      <c r="C85" s="79">
        <f>IFERROR(VLOOKUP($A85,GanttChart!$A:$JD,2,FALSE),"خطا")</f>
        <v>0</v>
      </c>
      <c r="D85" s="80">
        <f>IFERROR(VLOOKUP($A85,GanttChart!$A:$JD,261,FALSE),0)</f>
        <v>0</v>
      </c>
      <c r="E85" s="80">
        <f>IFERROR(VLOOKUP($A85,GanttChart!$A:$JD,262,FALSE),0)</f>
        <v>0</v>
      </c>
      <c r="F85" s="80">
        <f>IFERROR(VLOOKUP($A85,GanttChart!$A:$JD,263,FALSE),0)</f>
        <v>0</v>
      </c>
      <c r="G85" s="81">
        <f>IFERROR(VLOOKUP($A85,GanttChart!$A:$JD,264,FALSE),0)</f>
        <v>0</v>
      </c>
      <c r="H85" s="82"/>
      <c r="I85" s="81">
        <f t="shared" si="0"/>
        <v>0</v>
      </c>
    </row>
    <row r="86" spans="1:12" ht="14.25" hidden="1">
      <c r="A86" s="74">
        <v>4.17</v>
      </c>
      <c r="B86" s="74"/>
      <c r="C86" s="79">
        <f>IFERROR(VLOOKUP($A86,GanttChart!$A:$JD,2,FALSE),"خطا")</f>
        <v>0</v>
      </c>
      <c r="D86" s="80">
        <f>IFERROR(VLOOKUP($A86,GanttChart!$A:$JD,261,FALSE),0)</f>
        <v>0</v>
      </c>
      <c r="E86" s="80">
        <f>IFERROR(VLOOKUP($A86,GanttChart!$A:$JD,262,FALSE),0)</f>
        <v>0</v>
      </c>
      <c r="F86" s="80">
        <f>IFERROR(VLOOKUP($A86,GanttChart!$A:$JD,263,FALSE),0)</f>
        <v>0</v>
      </c>
      <c r="G86" s="81">
        <f>IFERROR(VLOOKUP($A86,GanttChart!$A:$JD,264,FALSE),0)</f>
        <v>0</v>
      </c>
      <c r="H86" s="82"/>
      <c r="I86" s="81">
        <f t="shared" si="0"/>
        <v>0</v>
      </c>
    </row>
    <row r="87" spans="1:12" ht="14.25" hidden="1">
      <c r="A87" s="74">
        <v>4.18</v>
      </c>
      <c r="B87" s="74"/>
      <c r="C87" s="79">
        <f>IFERROR(VLOOKUP($A87,GanttChart!$A:$JD,2,FALSE),"خطا")</f>
        <v>0</v>
      </c>
      <c r="D87" s="80">
        <f>IFERROR(VLOOKUP($A87,GanttChart!$A:$JD,261,FALSE),0)</f>
        <v>0</v>
      </c>
      <c r="E87" s="80">
        <f>IFERROR(VLOOKUP($A87,GanttChart!$A:$JD,262,FALSE),0)</f>
        <v>0</v>
      </c>
      <c r="F87" s="80">
        <f>IFERROR(VLOOKUP($A87,GanttChart!$A:$JD,263,FALSE),0)</f>
        <v>0</v>
      </c>
      <c r="G87" s="81">
        <f>IFERROR(VLOOKUP($A87,GanttChart!$A:$JD,264,FALSE),0)</f>
        <v>0</v>
      </c>
      <c r="H87" s="82"/>
      <c r="I87" s="81">
        <f t="shared" si="0"/>
        <v>0</v>
      </c>
    </row>
    <row r="88" spans="1:12" ht="14.25" hidden="1">
      <c r="A88" s="74">
        <v>4.1900000000000004</v>
      </c>
      <c r="B88" s="74"/>
      <c r="C88" s="79">
        <f>IFERROR(VLOOKUP($A88,GanttChart!$A:$JD,2,FALSE),"خطا")</f>
        <v>0</v>
      </c>
      <c r="D88" s="80">
        <f>IFERROR(VLOOKUP($A88,GanttChart!$A:$JD,261,FALSE),0)</f>
        <v>0</v>
      </c>
      <c r="E88" s="80">
        <f>IFERROR(VLOOKUP($A88,GanttChart!$A:$JD,262,FALSE),0)</f>
        <v>0</v>
      </c>
      <c r="F88" s="80">
        <f>IFERROR(VLOOKUP($A88,GanttChart!$A:$JD,263,FALSE),0)</f>
        <v>0</v>
      </c>
      <c r="G88" s="81">
        <f>IFERROR(VLOOKUP($A88,GanttChart!$A:$JD,264,FALSE),0)</f>
        <v>0</v>
      </c>
      <c r="H88" s="82"/>
      <c r="I88" s="81">
        <f t="shared" si="0"/>
        <v>0</v>
      </c>
    </row>
    <row r="89" spans="1:12" ht="14.25" hidden="1">
      <c r="A89" s="74">
        <v>4.21</v>
      </c>
      <c r="B89" s="74"/>
      <c r="C89" s="79">
        <f>IFERROR(VLOOKUP($A89,GanttChart!$A:$JD,2,FALSE),"خطا")</f>
        <v>0</v>
      </c>
      <c r="D89" s="80">
        <f>IFERROR(VLOOKUP($A89,GanttChart!$A:$JD,261,FALSE),0)</f>
        <v>0</v>
      </c>
      <c r="E89" s="80">
        <f>IFERROR(VLOOKUP($A89,GanttChart!$A:$JD,262,FALSE),0)</f>
        <v>0</v>
      </c>
      <c r="F89" s="80">
        <f>IFERROR(VLOOKUP($A89,GanttChart!$A:$JD,263,FALSE),0)</f>
        <v>0</v>
      </c>
      <c r="G89" s="81">
        <f>IFERROR(VLOOKUP($A89,GanttChart!$A:$JD,264,FALSE),0)</f>
        <v>0</v>
      </c>
      <c r="H89" s="82"/>
      <c r="I89" s="81">
        <f t="shared" si="0"/>
        <v>0</v>
      </c>
    </row>
    <row r="90" spans="1:12" ht="14.25" hidden="1">
      <c r="A90" s="74">
        <v>4.22</v>
      </c>
      <c r="B90" s="74"/>
      <c r="C90" s="79">
        <f>IFERROR(VLOOKUP($A90,GanttChart!$A:$JD,2,FALSE),"خطا")</f>
        <v>0</v>
      </c>
      <c r="D90" s="80">
        <f>IFERROR(VLOOKUP($A90,GanttChart!$A:$JD,261,FALSE),0)</f>
        <v>0</v>
      </c>
      <c r="E90" s="80">
        <f>IFERROR(VLOOKUP($A90,GanttChart!$A:$JD,262,FALSE),0)</f>
        <v>0</v>
      </c>
      <c r="F90" s="80">
        <f>IFERROR(VLOOKUP($A90,GanttChart!$A:$JD,263,FALSE),0)</f>
        <v>0</v>
      </c>
      <c r="G90" s="81">
        <f>IFERROR(VLOOKUP($A90,GanttChart!$A:$JD,264,FALSE),0)</f>
        <v>0</v>
      </c>
      <c r="H90" s="82"/>
      <c r="I90" s="81">
        <f t="shared" si="0"/>
        <v>0</v>
      </c>
    </row>
    <row r="91" spans="1:12" ht="14.25" hidden="1">
      <c r="A91" s="74">
        <v>4.2300000000000004</v>
      </c>
      <c r="B91" s="74"/>
      <c r="C91" s="79">
        <f>IFERROR(VLOOKUP($A91,GanttChart!$A:$JD,2,FALSE),"خطا")</f>
        <v>0</v>
      </c>
      <c r="D91" s="80">
        <f>IFERROR(VLOOKUP($A91,GanttChart!$A:$JD,261,FALSE),0)</f>
        <v>0</v>
      </c>
      <c r="E91" s="80">
        <f>IFERROR(VLOOKUP($A91,GanttChart!$A:$JD,262,FALSE),0)</f>
        <v>0</v>
      </c>
      <c r="F91" s="80">
        <f>IFERROR(VLOOKUP($A91,GanttChart!$A:$JD,263,FALSE),0)</f>
        <v>0</v>
      </c>
      <c r="G91" s="81">
        <f>IFERROR(VLOOKUP($A91,GanttChart!$A:$JD,264,FALSE),0)</f>
        <v>0</v>
      </c>
      <c r="H91" s="82"/>
      <c r="I91" s="81">
        <f t="shared" si="0"/>
        <v>0</v>
      </c>
    </row>
    <row r="92" spans="1:12" ht="14.25">
      <c r="A92" s="74">
        <v>5</v>
      </c>
      <c r="B92" s="74"/>
      <c r="C92" s="79" t="str">
        <f>IFERROR(VLOOKUP($A92,GanttChart!$A:$JD,2,FALSE),"خطا")</f>
        <v>کانورت مکانیزه اطلاعات</v>
      </c>
      <c r="D92" s="80">
        <f>SUM(D93:D113)</f>
        <v>0</v>
      </c>
      <c r="E92" s="80">
        <f>SUM(E93:E113)</f>
        <v>0</v>
      </c>
      <c r="F92" s="80">
        <f>SUM(F93:F113)</f>
        <v>0</v>
      </c>
      <c r="G92" s="81">
        <f>SUM(G93:G113)</f>
        <v>0</v>
      </c>
      <c r="H92" s="203"/>
      <c r="I92" s="81">
        <f t="shared" si="0"/>
        <v>0</v>
      </c>
    </row>
    <row r="93" spans="1:12" ht="14.25" hidden="1">
      <c r="A93" s="74">
        <v>5.0999999999999996</v>
      </c>
      <c r="C93" s="79" t="str">
        <f>IFERROR(VLOOKUP($A93,GanttChart!$A:$JD,2,FALSE),"خطا")</f>
        <v>اعلام ماژول های محتوایی کارفرما</v>
      </c>
      <c r="D93" s="80">
        <f>IFERROR(VLOOKUP($A93,GanttChart!$A:$JD,261,FALSE),0)</f>
        <v>0</v>
      </c>
      <c r="E93" s="80">
        <f>IFERROR(VLOOKUP($A93,GanttChart!$A:$JD,262,FALSE),0)</f>
        <v>0</v>
      </c>
      <c r="F93" s="80">
        <f>IFERROR(VLOOKUP($A93,GanttChart!$A:$JD,263,FALSE),0)</f>
        <v>0</v>
      </c>
      <c r="G93" s="81">
        <f>IFERROR(VLOOKUP($A93,GanttChart!$A:$JD,264,FALSE),0)</f>
        <v>0</v>
      </c>
      <c r="H93" s="82"/>
      <c r="I93" s="81">
        <f t="shared" si="0"/>
        <v>0</v>
      </c>
      <c r="K93" s="78"/>
      <c r="L93" s="84"/>
    </row>
    <row r="94" spans="1:12" ht="14.25" hidden="1">
      <c r="A94" s="74">
        <v>5.2</v>
      </c>
      <c r="C94" s="79" t="str">
        <f>IFERROR(VLOOKUP($A94,GanttChart!$A:$JD,2,FALSE),"خطا")</f>
        <v>ارایه فایل های اکسل ماژول های محتوایی اعلام شده از طرف کارفرما</v>
      </c>
      <c r="D94" s="80">
        <f>IFERROR(VLOOKUP($A94,GanttChart!$A:$JD,261,FALSE),0)</f>
        <v>0</v>
      </c>
      <c r="E94" s="80">
        <f>IFERROR(VLOOKUP($A94,GanttChart!$A:$JD,262,FALSE),0)</f>
        <v>0</v>
      </c>
      <c r="F94" s="80">
        <f>IFERROR(VLOOKUP($A94,GanttChart!$A:$JD,263,FALSE),0)</f>
        <v>0</v>
      </c>
      <c r="G94" s="81">
        <f>IFERROR(VLOOKUP($A94,GanttChart!$A:$JD,264,FALSE),0)</f>
        <v>0</v>
      </c>
      <c r="H94" s="82"/>
      <c r="I94" s="81">
        <f t="shared" si="0"/>
        <v>0</v>
      </c>
    </row>
    <row r="95" spans="1:12" ht="14.25" hidden="1">
      <c r="A95" s="74">
        <v>5.3</v>
      </c>
      <c r="C95" s="79" t="str">
        <f>IFERROR(VLOOKUP($A95,GanttChart!$A:$JD,2,FALSE),"خطا")</f>
        <v>تکمیل و ارسال اطلاعات</v>
      </c>
      <c r="D95" s="80">
        <f>IFERROR(VLOOKUP($A95,GanttChart!$A:$JD,261,FALSE),0)</f>
        <v>0</v>
      </c>
      <c r="E95" s="80">
        <f>IFERROR(VLOOKUP($A95,GanttChart!$A:$JD,262,FALSE),0)</f>
        <v>0</v>
      </c>
      <c r="F95" s="80">
        <f>IFERROR(VLOOKUP($A95,GanttChart!$A:$JD,263,FALSE),0)</f>
        <v>0</v>
      </c>
      <c r="G95" s="81">
        <f>IFERROR(VLOOKUP($A95,GanttChart!$A:$JD,264,FALSE),0)</f>
        <v>0</v>
      </c>
      <c r="H95" s="82"/>
      <c r="I95" s="81">
        <f t="shared" si="0"/>
        <v>0</v>
      </c>
    </row>
    <row r="96" spans="1:12" ht="14.25" hidden="1">
      <c r="A96" s="74">
        <v>5.4</v>
      </c>
      <c r="C96" s="79" t="str">
        <f>IFERROR(VLOOKUP($A96,GanttChart!$A:$JD,2,FALSE),"خطا")</f>
        <v>کانورت مکانیزه اطلاعات</v>
      </c>
      <c r="D96" s="80">
        <f>IFERROR(VLOOKUP($A96,GanttChart!$A:$JD,261,FALSE),0)</f>
        <v>0</v>
      </c>
      <c r="E96" s="80">
        <f>IFERROR(VLOOKUP($A96,GanttChart!$A:$JD,262,FALSE),0)</f>
        <v>0</v>
      </c>
      <c r="F96" s="80">
        <f>IFERROR(VLOOKUP($A96,GanttChart!$A:$JD,263,FALSE),0)</f>
        <v>0</v>
      </c>
      <c r="G96" s="81">
        <f>IFERROR(VLOOKUP($A96,GanttChart!$A:$JD,264,FALSE),0)</f>
        <v>0</v>
      </c>
      <c r="H96" s="82"/>
      <c r="I96" s="81">
        <f t="shared" si="0"/>
        <v>0</v>
      </c>
    </row>
    <row r="97" spans="1:9" ht="14.25" hidden="1">
      <c r="A97" s="74">
        <v>5.5</v>
      </c>
      <c r="C97" s="79" t="str">
        <f>IFERROR(VLOOKUP($A97,GanttChart!$A:$JD,2,FALSE),"خطا")</f>
        <v>تصحیح محتوای درج شده به صورت مکانیزه در زیر ساخت جدید</v>
      </c>
      <c r="D97" s="80">
        <f>IFERROR(VLOOKUP($A97,GanttChart!$A:$JD,261,FALSE),0)</f>
        <v>0</v>
      </c>
      <c r="E97" s="80">
        <f>IFERROR(VLOOKUP($A97,GanttChart!$A:$JD,262,FALSE),0)</f>
        <v>0</v>
      </c>
      <c r="F97" s="80">
        <f>IFERROR(VLOOKUP($A97,GanttChart!$A:$JD,263,FALSE),0)</f>
        <v>0</v>
      </c>
      <c r="G97" s="81">
        <f>IFERROR(VLOOKUP($A97,GanttChart!$A:$JD,264,FALSE),0)</f>
        <v>0</v>
      </c>
      <c r="H97" s="82"/>
      <c r="I97" s="81">
        <f t="shared" si="0"/>
        <v>0</v>
      </c>
    </row>
    <row r="98" spans="1:9" ht="22.5" hidden="1">
      <c r="A98" s="74">
        <v>5.6</v>
      </c>
      <c r="C98" s="79" t="str">
        <f>IFERROR(VLOOKUP($A98,GanttChart!$A:$JD,2,FALSE),"خطا")</f>
        <v>تکمیل محتوای درج شده در وب سایت قبلی حد فاصل زمان انتقال اطلاعات در پورتال جدید</v>
      </c>
      <c r="D98" s="80">
        <f>IFERROR(VLOOKUP($A98,GanttChart!$A:$JD,261,FALSE),0)</f>
        <v>0</v>
      </c>
      <c r="E98" s="80">
        <f>IFERROR(VLOOKUP($A98,GanttChart!$A:$JD,262,FALSE),0)</f>
        <v>0</v>
      </c>
      <c r="F98" s="80">
        <f>IFERROR(VLOOKUP($A98,GanttChart!$A:$JD,263,FALSE),0)</f>
        <v>0</v>
      </c>
      <c r="G98" s="81">
        <f>IFERROR(VLOOKUP($A98,GanttChart!$A:$JD,264,FALSE),0)</f>
        <v>0</v>
      </c>
      <c r="H98" s="82"/>
      <c r="I98" s="81">
        <f t="shared" si="0"/>
        <v>0</v>
      </c>
    </row>
    <row r="99" spans="1:9" ht="14.25" hidden="1">
      <c r="A99" s="74">
        <v>5.7</v>
      </c>
      <c r="C99" s="79">
        <f>IFERROR(VLOOKUP($A99,GanttChart!$A:$JD,2,FALSE),"خطا")</f>
        <v>0</v>
      </c>
      <c r="D99" s="80">
        <f>IFERROR(VLOOKUP($A99,GanttChart!$A:$JD,261,FALSE),0)</f>
        <v>0</v>
      </c>
      <c r="E99" s="80">
        <f>IFERROR(VLOOKUP($A99,GanttChart!$A:$JD,262,FALSE),0)</f>
        <v>0</v>
      </c>
      <c r="F99" s="80">
        <f>IFERROR(VLOOKUP($A99,GanttChart!$A:$JD,263,FALSE),0)</f>
        <v>0</v>
      </c>
      <c r="G99" s="81">
        <f>IFERROR(VLOOKUP($A99,GanttChart!$A:$JD,264,FALSE),0)</f>
        <v>0</v>
      </c>
      <c r="H99" s="82"/>
      <c r="I99" s="81">
        <f t="shared" si="0"/>
        <v>0</v>
      </c>
    </row>
    <row r="100" spans="1:9" ht="14.25" hidden="1">
      <c r="A100" s="74">
        <v>5.8</v>
      </c>
      <c r="C100" s="79">
        <f>IFERROR(VLOOKUP($A100,GanttChart!$A:$JD,2,FALSE),"خطا")</f>
        <v>0</v>
      </c>
      <c r="D100" s="80">
        <f>IFERROR(VLOOKUP($A100,GanttChart!$A:$JD,261,FALSE),0)</f>
        <v>0</v>
      </c>
      <c r="E100" s="80">
        <f>IFERROR(VLOOKUP($A100,GanttChart!$A:$JD,262,FALSE),0)</f>
        <v>0</v>
      </c>
      <c r="F100" s="80">
        <f>IFERROR(VLOOKUP($A100,GanttChart!$A:$JD,263,FALSE),0)</f>
        <v>0</v>
      </c>
      <c r="G100" s="81">
        <f>IFERROR(VLOOKUP($A100,GanttChart!$A:$JD,264,FALSE),0)</f>
        <v>0</v>
      </c>
      <c r="H100" s="82"/>
      <c r="I100" s="81">
        <f t="shared" si="0"/>
        <v>0</v>
      </c>
    </row>
    <row r="101" spans="1:9" ht="14.25" hidden="1">
      <c r="A101" s="74">
        <v>5.9</v>
      </c>
      <c r="C101" s="79">
        <f>IFERROR(VLOOKUP($A101,GanttChart!$A:$JD,2,FALSE),"خطا")</f>
        <v>0</v>
      </c>
      <c r="D101" s="80">
        <f>IFERROR(VLOOKUP($A101,GanttChart!$A:$JD,261,FALSE),0)</f>
        <v>0</v>
      </c>
      <c r="E101" s="80">
        <f>IFERROR(VLOOKUP($A101,GanttChart!$A:$JD,262,FALSE),0)</f>
        <v>0</v>
      </c>
      <c r="F101" s="80">
        <f>IFERROR(VLOOKUP($A101,GanttChart!$A:$JD,263,FALSE),0)</f>
        <v>0</v>
      </c>
      <c r="G101" s="81">
        <f>IFERROR(VLOOKUP($A101,GanttChart!$A:$JD,264,FALSE),0)</f>
        <v>0</v>
      </c>
      <c r="H101" s="82"/>
      <c r="I101" s="81">
        <f t="shared" si="0"/>
        <v>0</v>
      </c>
    </row>
    <row r="102" spans="1:9" ht="14.25" hidden="1">
      <c r="A102" s="74">
        <v>5.1100000000000003</v>
      </c>
      <c r="C102" s="79">
        <f>IFERROR(VLOOKUP($A102,GanttChart!$A:$JD,2,FALSE),"خطا")</f>
        <v>0</v>
      </c>
      <c r="D102" s="80">
        <f>IFERROR(VLOOKUP($A102,GanttChart!$A:$JD,261,FALSE),0)</f>
        <v>0</v>
      </c>
      <c r="E102" s="80">
        <f>IFERROR(VLOOKUP($A102,GanttChart!$A:$JD,262,FALSE),0)</f>
        <v>0</v>
      </c>
      <c r="F102" s="80">
        <f>IFERROR(VLOOKUP($A102,GanttChart!$A:$JD,263,FALSE),0)</f>
        <v>0</v>
      </c>
      <c r="G102" s="81">
        <f>IFERROR(VLOOKUP($A102,GanttChart!$A:$JD,264,FALSE),0)</f>
        <v>0</v>
      </c>
      <c r="H102" s="82"/>
      <c r="I102" s="81">
        <f t="shared" si="0"/>
        <v>0</v>
      </c>
    </row>
    <row r="103" spans="1:9" ht="14.25" hidden="1">
      <c r="A103" s="74">
        <v>5.12</v>
      </c>
      <c r="C103" s="79">
        <f>IFERROR(VLOOKUP($A103,GanttChart!$A:$JD,2,FALSE),"خطا")</f>
        <v>0</v>
      </c>
      <c r="D103" s="80">
        <f>IFERROR(VLOOKUP($A103,GanttChart!$A:$JD,261,FALSE),0)</f>
        <v>0</v>
      </c>
      <c r="E103" s="80">
        <f>IFERROR(VLOOKUP($A103,GanttChart!$A:$JD,262,FALSE),0)</f>
        <v>0</v>
      </c>
      <c r="F103" s="80">
        <f>IFERROR(VLOOKUP($A103,GanttChart!$A:$JD,263,FALSE),0)</f>
        <v>0</v>
      </c>
      <c r="G103" s="81">
        <f>IFERROR(VLOOKUP($A103,GanttChart!$A:$JD,264,FALSE),0)</f>
        <v>0</v>
      </c>
      <c r="H103" s="82"/>
      <c r="I103" s="81">
        <f t="shared" si="0"/>
        <v>0</v>
      </c>
    </row>
    <row r="104" spans="1:9" ht="14.25" hidden="1">
      <c r="A104" s="74">
        <v>5.13</v>
      </c>
      <c r="C104" s="79">
        <f>IFERROR(VLOOKUP($A104,GanttChart!$A:$JD,2,FALSE),"خطا")</f>
        <v>0</v>
      </c>
      <c r="D104" s="80">
        <f>IFERROR(VLOOKUP($A104,GanttChart!$A:$JD,261,FALSE),0)</f>
        <v>0</v>
      </c>
      <c r="E104" s="80">
        <f>IFERROR(VLOOKUP($A104,GanttChart!$A:$JD,262,FALSE),0)</f>
        <v>0</v>
      </c>
      <c r="F104" s="80">
        <f>IFERROR(VLOOKUP($A104,GanttChart!$A:$JD,263,FALSE),0)</f>
        <v>0</v>
      </c>
      <c r="G104" s="81">
        <f>IFERROR(VLOOKUP($A104,GanttChart!$A:$JD,264,FALSE),0)</f>
        <v>0</v>
      </c>
      <c r="H104" s="82"/>
      <c r="I104" s="81">
        <f t="shared" si="0"/>
        <v>0</v>
      </c>
    </row>
    <row r="105" spans="1:9" ht="14.25" hidden="1">
      <c r="A105" s="74">
        <v>5.14</v>
      </c>
      <c r="C105" s="79">
        <f>IFERROR(VLOOKUP($A105,GanttChart!$A:$JD,2,FALSE),"خطا")</f>
        <v>0</v>
      </c>
      <c r="D105" s="80">
        <f>IFERROR(VLOOKUP($A105,GanttChart!$A:$JD,261,FALSE),0)</f>
        <v>0</v>
      </c>
      <c r="E105" s="80">
        <f>IFERROR(VLOOKUP($A105,GanttChart!$A:$JD,262,FALSE),0)</f>
        <v>0</v>
      </c>
      <c r="F105" s="80">
        <f>IFERROR(VLOOKUP($A105,GanttChart!$A:$JD,263,FALSE),0)</f>
        <v>0</v>
      </c>
      <c r="G105" s="81">
        <f>IFERROR(VLOOKUP($A105,GanttChart!$A:$JD,264,FALSE),0)</f>
        <v>0</v>
      </c>
      <c r="H105" s="82"/>
      <c r="I105" s="81">
        <f t="shared" si="0"/>
        <v>0</v>
      </c>
    </row>
    <row r="106" spans="1:9" ht="14.25" hidden="1">
      <c r="A106" s="74">
        <v>5.15</v>
      </c>
      <c r="C106" s="79">
        <f>IFERROR(VLOOKUP($A106,GanttChart!$A:$JD,2,FALSE),"خطا")</f>
        <v>0</v>
      </c>
      <c r="D106" s="80">
        <f>IFERROR(VLOOKUP($A106,GanttChart!$A:$JD,261,FALSE),0)</f>
        <v>0</v>
      </c>
      <c r="E106" s="80">
        <f>IFERROR(VLOOKUP($A106,GanttChart!$A:$JD,262,FALSE),0)</f>
        <v>0</v>
      </c>
      <c r="F106" s="80">
        <f>IFERROR(VLOOKUP($A106,GanttChart!$A:$JD,263,FALSE),0)</f>
        <v>0</v>
      </c>
      <c r="G106" s="81">
        <f>IFERROR(VLOOKUP($A106,GanttChart!$A:$JD,264,FALSE),0)</f>
        <v>0</v>
      </c>
      <c r="H106" s="82"/>
      <c r="I106" s="81">
        <f t="shared" si="0"/>
        <v>0</v>
      </c>
    </row>
    <row r="107" spans="1:9" ht="14.25" hidden="1">
      <c r="A107" s="74">
        <v>5.16</v>
      </c>
      <c r="C107" s="79">
        <f>IFERROR(VLOOKUP($A107,GanttChart!$A:$JD,2,FALSE),"خطا")</f>
        <v>0</v>
      </c>
      <c r="D107" s="80">
        <f>IFERROR(VLOOKUP($A107,GanttChart!$A:$JD,261,FALSE),0)</f>
        <v>0</v>
      </c>
      <c r="E107" s="80">
        <f>IFERROR(VLOOKUP($A107,GanttChart!$A:$JD,262,FALSE),0)</f>
        <v>0</v>
      </c>
      <c r="F107" s="80">
        <f>IFERROR(VLOOKUP($A107,GanttChart!$A:$JD,263,FALSE),0)</f>
        <v>0</v>
      </c>
      <c r="G107" s="81">
        <f>IFERROR(VLOOKUP($A107,GanttChart!$A:$JD,264,FALSE),0)</f>
        <v>0</v>
      </c>
      <c r="H107" s="82"/>
      <c r="I107" s="81">
        <f t="shared" si="0"/>
        <v>0</v>
      </c>
    </row>
    <row r="108" spans="1:9" ht="14.25" hidden="1">
      <c r="A108" s="74">
        <v>5.17</v>
      </c>
      <c r="C108" s="79">
        <f>IFERROR(VLOOKUP($A108,GanttChart!$A:$JD,2,FALSE),"خطا")</f>
        <v>0</v>
      </c>
      <c r="D108" s="80">
        <f>IFERROR(VLOOKUP($A108,GanttChart!$A:$JD,261,FALSE),0)</f>
        <v>0</v>
      </c>
      <c r="E108" s="80">
        <f>IFERROR(VLOOKUP($A108,GanttChart!$A:$JD,262,FALSE),0)</f>
        <v>0</v>
      </c>
      <c r="F108" s="80">
        <f>IFERROR(VLOOKUP($A108,GanttChart!$A:$JD,263,FALSE),0)</f>
        <v>0</v>
      </c>
      <c r="G108" s="81">
        <f>IFERROR(VLOOKUP($A108,GanttChart!$A:$JD,264,FALSE),0)</f>
        <v>0</v>
      </c>
      <c r="H108" s="82"/>
      <c r="I108" s="81">
        <f t="shared" si="0"/>
        <v>0</v>
      </c>
    </row>
    <row r="109" spans="1:9" ht="14.25" hidden="1">
      <c r="A109" s="74">
        <v>5.18</v>
      </c>
      <c r="C109" s="79">
        <f>IFERROR(VLOOKUP($A109,GanttChart!$A:$JD,2,FALSE),"خطا")</f>
        <v>0</v>
      </c>
      <c r="D109" s="80">
        <f>IFERROR(VLOOKUP($A109,GanttChart!$A:$JD,261,FALSE),0)</f>
        <v>0</v>
      </c>
      <c r="E109" s="80">
        <f>IFERROR(VLOOKUP($A109,GanttChart!$A:$JD,262,FALSE),0)</f>
        <v>0</v>
      </c>
      <c r="F109" s="80">
        <f>IFERROR(VLOOKUP($A109,GanttChart!$A:$JD,263,FALSE),0)</f>
        <v>0</v>
      </c>
      <c r="G109" s="81">
        <f>IFERROR(VLOOKUP($A109,GanttChart!$A:$JD,264,FALSE),0)</f>
        <v>0</v>
      </c>
      <c r="H109" s="82"/>
      <c r="I109" s="81">
        <f t="shared" si="0"/>
        <v>0</v>
      </c>
    </row>
    <row r="110" spans="1:9" ht="14.25" hidden="1">
      <c r="A110" s="74">
        <v>5.19</v>
      </c>
      <c r="C110" s="79">
        <f>IFERROR(VLOOKUP($A110,GanttChart!$A:$JD,2,FALSE),"خطا")</f>
        <v>0</v>
      </c>
      <c r="D110" s="80">
        <f>IFERROR(VLOOKUP($A110,GanttChart!$A:$JD,261,FALSE),0)</f>
        <v>0</v>
      </c>
      <c r="E110" s="80">
        <f>IFERROR(VLOOKUP($A110,GanttChart!$A:$JD,262,FALSE),0)</f>
        <v>0</v>
      </c>
      <c r="F110" s="80">
        <f>IFERROR(VLOOKUP($A110,GanttChart!$A:$JD,263,FALSE),0)</f>
        <v>0</v>
      </c>
      <c r="G110" s="81">
        <f>IFERROR(VLOOKUP($A110,GanttChart!$A:$JD,264,FALSE),0)</f>
        <v>0</v>
      </c>
      <c r="H110" s="82"/>
      <c r="I110" s="81">
        <f t="shared" si="0"/>
        <v>0</v>
      </c>
    </row>
    <row r="111" spans="1:9" ht="14.25" hidden="1">
      <c r="A111" s="74">
        <v>5.21</v>
      </c>
      <c r="C111" s="79">
        <f>IFERROR(VLOOKUP($A111,GanttChart!$A:$JD,2,FALSE),"خطا")</f>
        <v>0</v>
      </c>
      <c r="D111" s="80">
        <f>IFERROR(VLOOKUP($A111,GanttChart!$A:$JD,261,FALSE),0)</f>
        <v>0</v>
      </c>
      <c r="E111" s="80">
        <f>IFERROR(VLOOKUP($A111,GanttChart!$A:$JD,262,FALSE),0)</f>
        <v>0</v>
      </c>
      <c r="F111" s="80">
        <f>IFERROR(VLOOKUP($A111,GanttChart!$A:$JD,263,FALSE),0)</f>
        <v>0</v>
      </c>
      <c r="G111" s="81">
        <f>IFERROR(VLOOKUP($A111,GanttChart!$A:$JD,264,FALSE),0)</f>
        <v>0</v>
      </c>
      <c r="H111" s="82"/>
      <c r="I111" s="81">
        <f t="shared" si="0"/>
        <v>0</v>
      </c>
    </row>
    <row r="112" spans="1:9" ht="14.25" hidden="1">
      <c r="A112" s="74">
        <v>5.22</v>
      </c>
      <c r="C112" s="79">
        <f>IFERROR(VLOOKUP($A112,GanttChart!$A:$JD,2,FALSE),"خطا")</f>
        <v>0</v>
      </c>
      <c r="D112" s="80">
        <f>IFERROR(VLOOKUP($A112,GanttChart!$A:$JD,261,FALSE),0)</f>
        <v>0</v>
      </c>
      <c r="E112" s="80">
        <f>IFERROR(VLOOKUP($A112,GanttChart!$A:$JD,262,FALSE),0)</f>
        <v>0</v>
      </c>
      <c r="F112" s="80">
        <f>IFERROR(VLOOKUP($A112,GanttChart!$A:$JD,263,FALSE),0)</f>
        <v>0</v>
      </c>
      <c r="G112" s="81">
        <f>IFERROR(VLOOKUP($A112,GanttChart!$A:$JD,264,FALSE),0)</f>
        <v>0</v>
      </c>
      <c r="H112" s="82"/>
      <c r="I112" s="81">
        <f t="shared" si="0"/>
        <v>0</v>
      </c>
    </row>
    <row r="113" spans="1:9" ht="14.25" hidden="1">
      <c r="A113" s="74">
        <v>5.23</v>
      </c>
      <c r="C113" s="79">
        <f>IFERROR(VLOOKUP($A113,GanttChart!$A:$JD,2,FALSE),"خطا")</f>
        <v>0</v>
      </c>
      <c r="D113" s="80">
        <f>IFERROR(VLOOKUP($A113,GanttChart!$A:$JD,261,FALSE),0)</f>
        <v>0</v>
      </c>
      <c r="E113" s="80">
        <f>IFERROR(VLOOKUP($A113,GanttChart!$A:$JD,262,FALSE),0)</f>
        <v>0</v>
      </c>
      <c r="F113" s="80">
        <f>IFERROR(VLOOKUP($A113,GanttChart!$A:$JD,263,FALSE),0)</f>
        <v>0</v>
      </c>
      <c r="G113" s="81">
        <f>IFERROR(VLOOKUP($A113,GanttChart!$A:$JD,264,FALSE),0)</f>
        <v>0</v>
      </c>
      <c r="H113" s="82"/>
      <c r="I113" s="81">
        <f t="shared" si="0"/>
        <v>0</v>
      </c>
    </row>
    <row r="114" spans="1:9" ht="14.25">
      <c r="A114" s="74">
        <v>6</v>
      </c>
      <c r="C114" s="79" t="str">
        <f>IFERROR(VLOOKUP($A114,GanttChart!$A:$JD,2,FALSE),"خطا")</f>
        <v>اقدامات اجرایی پیکربندی، مدیریت و کاربرد نرم افزار</v>
      </c>
      <c r="D114" s="80">
        <f>SUM(D115:D135)</f>
        <v>0</v>
      </c>
      <c r="E114" s="80">
        <f>SUM(E115:E135)</f>
        <v>0</v>
      </c>
      <c r="F114" s="80">
        <f>SUM(F115:F135)</f>
        <v>0</v>
      </c>
      <c r="G114" s="81">
        <f>SUM(G115:G135)</f>
        <v>0</v>
      </c>
      <c r="H114" s="203"/>
      <c r="I114" s="81">
        <f t="shared" si="0"/>
        <v>0</v>
      </c>
    </row>
    <row r="115" spans="1:9" ht="22.5" hidden="1">
      <c r="A115" s="74">
        <v>6.1</v>
      </c>
      <c r="C115" s="79" t="str">
        <f>IFERROR(VLOOKUP($A115,GanttChart!$A:$JD,2,FALSE),"خطا")</f>
        <v>اعلام نام های کاربری و حقوق دسترسی مورد نیاز هر یک از کاربران و اطلاعات مورد نیاز جهت تنظیم</v>
      </c>
      <c r="D115" s="80">
        <f>IFERROR(VLOOKUP($A115,GanttChart!$A:$JD,261,FALSE),0)</f>
        <v>0</v>
      </c>
      <c r="E115" s="80">
        <f>IFERROR(VLOOKUP($A115,GanttChart!$A:$JD,262,FALSE),0)</f>
        <v>0</v>
      </c>
      <c r="F115" s="80">
        <f>IFERROR(VLOOKUP($A115,GanttChart!$A:$JD,263,FALSE),0)</f>
        <v>0</v>
      </c>
      <c r="G115" s="81">
        <f>IFERROR(VLOOKUP($A115,GanttChart!$A:$JD,264,FALSE),0)</f>
        <v>0</v>
      </c>
      <c r="H115" s="82"/>
      <c r="I115" s="81">
        <f t="shared" si="0"/>
        <v>0</v>
      </c>
    </row>
    <row r="116" spans="1:9" ht="14.25" hidden="1">
      <c r="A116" s="74">
        <v>6.2</v>
      </c>
      <c r="C116" s="79" t="str">
        <f>IFERROR(VLOOKUP($A116,GanttChart!$A:$JD,2,FALSE),"خطا")</f>
        <v>تعریف و اعطای حق دسترسی به کاربران و گروه های کاربری اعلام شده</v>
      </c>
      <c r="D116" s="80">
        <f>IFERROR(VLOOKUP($A116,GanttChart!$A:$JD,261,FALSE),0)</f>
        <v>0</v>
      </c>
      <c r="E116" s="80">
        <f>IFERROR(VLOOKUP($A116,GanttChart!$A:$JD,262,FALSE),0)</f>
        <v>0</v>
      </c>
      <c r="F116" s="80">
        <f>IFERROR(VLOOKUP($A116,GanttChart!$A:$JD,263,FALSE),0)</f>
        <v>0</v>
      </c>
      <c r="G116" s="81">
        <f>IFERROR(VLOOKUP($A116,GanttChart!$A:$JD,264,FALSE),0)</f>
        <v>0</v>
      </c>
      <c r="H116" s="82"/>
      <c r="I116" s="81">
        <f t="shared" si="0"/>
        <v>0</v>
      </c>
    </row>
    <row r="117" spans="1:9" ht="22.5" hidden="1">
      <c r="A117" s="74">
        <v>6.3</v>
      </c>
      <c r="C117" s="79" t="str">
        <f>IFERROR(VLOOKUP($A117,GanttChart!$A:$JD,2,FALSE),"خطا")</f>
        <v>پیکربندی ماژول های پست الکترونیک و پیام کوتاه  بر روی سرویس دهنده های پست الکترونیک و پیام کوتاه کارفرما</v>
      </c>
      <c r="D117" s="80">
        <f>IFERROR(VLOOKUP($A117,GanttChart!$A:$JD,261,FALSE),0)</f>
        <v>0</v>
      </c>
      <c r="E117" s="80">
        <f>IFERROR(VLOOKUP($A117,GanttChart!$A:$JD,262,FALSE),0)</f>
        <v>0</v>
      </c>
      <c r="F117" s="80">
        <f>IFERROR(VLOOKUP($A117,GanttChart!$A:$JD,263,FALSE),0)</f>
        <v>0</v>
      </c>
      <c r="G117" s="81">
        <f>IFERROR(VLOOKUP($A117,GanttChart!$A:$JD,264,FALSE),0)</f>
        <v>0</v>
      </c>
      <c r="H117" s="82"/>
      <c r="I117" s="81">
        <f t="shared" si="0"/>
        <v>0</v>
      </c>
    </row>
    <row r="118" spans="1:9" ht="14.25" hidden="1">
      <c r="A118" s="74">
        <v>6.4</v>
      </c>
      <c r="C118" s="79">
        <f>IFERROR(VLOOKUP($A118,GanttChart!$A:$JD,2,FALSE),"خطا")</f>
        <v>0</v>
      </c>
      <c r="D118" s="80">
        <f>IFERROR(VLOOKUP($A118,GanttChart!$A:$JD,261,FALSE),0)</f>
        <v>0</v>
      </c>
      <c r="E118" s="80">
        <f>IFERROR(VLOOKUP($A118,GanttChart!$A:$JD,262,FALSE),0)</f>
        <v>0</v>
      </c>
      <c r="F118" s="80">
        <f>IFERROR(VLOOKUP($A118,GanttChart!$A:$JD,263,FALSE),0)</f>
        <v>0</v>
      </c>
      <c r="G118" s="81">
        <f>IFERROR(VLOOKUP($A118,GanttChart!$A:$JD,264,FALSE),0)</f>
        <v>0</v>
      </c>
      <c r="H118" s="82"/>
      <c r="I118" s="81">
        <f t="shared" si="0"/>
        <v>0</v>
      </c>
    </row>
    <row r="119" spans="1:9" ht="14.25" hidden="1">
      <c r="A119" s="74">
        <v>6.5</v>
      </c>
      <c r="C119" s="79">
        <f>IFERROR(VLOOKUP($A119,GanttChart!$A:$JD,2,FALSE),"خطا")</f>
        <v>0</v>
      </c>
      <c r="D119" s="80">
        <f>IFERROR(VLOOKUP($A119,GanttChart!$A:$JD,261,FALSE),0)</f>
        <v>0</v>
      </c>
      <c r="E119" s="80">
        <f>IFERROR(VLOOKUP($A119,GanttChart!$A:$JD,262,FALSE),0)</f>
        <v>0</v>
      </c>
      <c r="F119" s="80">
        <f>IFERROR(VLOOKUP($A119,GanttChart!$A:$JD,263,FALSE),0)</f>
        <v>0</v>
      </c>
      <c r="G119" s="81">
        <f>IFERROR(VLOOKUP($A119,GanttChart!$A:$JD,264,FALSE),0)</f>
        <v>0</v>
      </c>
      <c r="H119" s="82"/>
      <c r="I119" s="81">
        <f t="shared" si="0"/>
        <v>0</v>
      </c>
    </row>
    <row r="120" spans="1:9" ht="14.25" hidden="1">
      <c r="A120" s="74">
        <v>6.6</v>
      </c>
      <c r="C120" s="79">
        <f>IFERROR(VLOOKUP($A120,GanttChart!$A:$JD,2,FALSE),"خطا")</f>
        <v>0</v>
      </c>
      <c r="D120" s="80">
        <f>IFERROR(VLOOKUP($A120,GanttChart!$A:$JD,261,FALSE),0)</f>
        <v>0</v>
      </c>
      <c r="E120" s="80">
        <f>IFERROR(VLOOKUP($A120,GanttChart!$A:$JD,262,FALSE),0)</f>
        <v>0</v>
      </c>
      <c r="F120" s="80">
        <f>IFERROR(VLOOKUP($A120,GanttChart!$A:$JD,263,FALSE),0)</f>
        <v>0</v>
      </c>
      <c r="G120" s="81">
        <f>IFERROR(VLOOKUP($A120,GanttChart!$A:$JD,264,FALSE),0)</f>
        <v>0</v>
      </c>
      <c r="H120" s="82"/>
      <c r="I120" s="81">
        <f t="shared" si="0"/>
        <v>0</v>
      </c>
    </row>
    <row r="121" spans="1:9" ht="14.25" hidden="1">
      <c r="A121" s="74">
        <v>6.7</v>
      </c>
      <c r="C121" s="79">
        <f>IFERROR(VLOOKUP($A121,GanttChart!$A:$JD,2,FALSE),"خطا")</f>
        <v>0</v>
      </c>
      <c r="D121" s="80">
        <f>IFERROR(VLOOKUP($A121,GanttChart!$A:$JD,261,FALSE),0)</f>
        <v>0</v>
      </c>
      <c r="E121" s="80">
        <f>IFERROR(VLOOKUP($A121,GanttChart!$A:$JD,262,FALSE),0)</f>
        <v>0</v>
      </c>
      <c r="F121" s="80">
        <f>IFERROR(VLOOKUP($A121,GanttChart!$A:$JD,263,FALSE),0)</f>
        <v>0</v>
      </c>
      <c r="G121" s="81">
        <f>IFERROR(VLOOKUP($A121,GanttChart!$A:$JD,264,FALSE),0)</f>
        <v>0</v>
      </c>
      <c r="H121" s="82"/>
      <c r="I121" s="81">
        <f t="shared" si="0"/>
        <v>0</v>
      </c>
    </row>
    <row r="122" spans="1:9" ht="14.25" hidden="1">
      <c r="A122" s="74">
        <v>6.8</v>
      </c>
      <c r="C122" s="79">
        <f>IFERROR(VLOOKUP($A122,GanttChart!$A:$JD,2,FALSE),"خطا")</f>
        <v>0</v>
      </c>
      <c r="D122" s="80">
        <f>IFERROR(VLOOKUP($A122,GanttChart!$A:$JD,261,FALSE),0)</f>
        <v>0</v>
      </c>
      <c r="E122" s="80">
        <f>IFERROR(VLOOKUP($A122,GanttChart!$A:$JD,262,FALSE),0)</f>
        <v>0</v>
      </c>
      <c r="F122" s="80">
        <f>IFERROR(VLOOKUP($A122,GanttChart!$A:$JD,263,FALSE),0)</f>
        <v>0</v>
      </c>
      <c r="G122" s="81">
        <f>IFERROR(VLOOKUP($A122,GanttChart!$A:$JD,264,FALSE),0)</f>
        <v>0</v>
      </c>
      <c r="H122" s="82"/>
      <c r="I122" s="81">
        <f t="shared" si="0"/>
        <v>0</v>
      </c>
    </row>
    <row r="123" spans="1:9" ht="14.25" hidden="1">
      <c r="A123" s="74">
        <v>6.9</v>
      </c>
      <c r="C123" s="79">
        <f>IFERROR(VLOOKUP($A123,GanttChart!$A:$JD,2,FALSE),"خطا")</f>
        <v>0</v>
      </c>
      <c r="D123" s="80">
        <f>IFERROR(VLOOKUP($A123,GanttChart!$A:$JD,261,FALSE),0)</f>
        <v>0</v>
      </c>
      <c r="E123" s="80">
        <f>IFERROR(VLOOKUP($A123,GanttChart!$A:$JD,262,FALSE),0)</f>
        <v>0</v>
      </c>
      <c r="F123" s="80">
        <f>IFERROR(VLOOKUP($A123,GanttChart!$A:$JD,263,FALSE),0)</f>
        <v>0</v>
      </c>
      <c r="G123" s="81">
        <f>IFERROR(VLOOKUP($A123,GanttChart!$A:$JD,264,FALSE),0)</f>
        <v>0</v>
      </c>
      <c r="H123" s="82"/>
      <c r="I123" s="81">
        <f t="shared" si="0"/>
        <v>0</v>
      </c>
    </row>
    <row r="124" spans="1:9" ht="14.25" hidden="1">
      <c r="A124" s="74">
        <v>6.11</v>
      </c>
      <c r="C124" s="79">
        <f>IFERROR(VLOOKUP($A124,GanttChart!$A:$JD,2,FALSE),"خطا")</f>
        <v>0</v>
      </c>
      <c r="D124" s="80">
        <f>IFERROR(VLOOKUP($A124,GanttChart!$A:$JD,261,FALSE),0)</f>
        <v>0</v>
      </c>
      <c r="E124" s="80">
        <f>IFERROR(VLOOKUP($A124,GanttChart!$A:$JD,262,FALSE),0)</f>
        <v>0</v>
      </c>
      <c r="F124" s="80">
        <f>IFERROR(VLOOKUP($A124,GanttChart!$A:$JD,263,FALSE),0)</f>
        <v>0</v>
      </c>
      <c r="G124" s="81">
        <f>IFERROR(VLOOKUP($A124,GanttChart!$A:$JD,264,FALSE),0)</f>
        <v>0</v>
      </c>
      <c r="H124" s="82"/>
      <c r="I124" s="81">
        <f t="shared" si="0"/>
        <v>0</v>
      </c>
    </row>
    <row r="125" spans="1:9" ht="14.25" hidden="1">
      <c r="A125" s="74">
        <v>6.12</v>
      </c>
      <c r="C125" s="79">
        <f>IFERROR(VLOOKUP($A125,GanttChart!$A:$JD,2,FALSE),"خطا")</f>
        <v>0</v>
      </c>
      <c r="D125" s="80">
        <f>IFERROR(VLOOKUP($A125,GanttChart!$A:$JD,261,FALSE),0)</f>
        <v>0</v>
      </c>
      <c r="E125" s="80">
        <f>IFERROR(VLOOKUP($A125,GanttChart!$A:$JD,262,FALSE),0)</f>
        <v>0</v>
      </c>
      <c r="F125" s="80">
        <f>IFERROR(VLOOKUP($A125,GanttChart!$A:$JD,263,FALSE),0)</f>
        <v>0</v>
      </c>
      <c r="G125" s="81">
        <f>IFERROR(VLOOKUP($A125,GanttChart!$A:$JD,264,FALSE),0)</f>
        <v>0</v>
      </c>
      <c r="H125" s="82"/>
      <c r="I125" s="81">
        <f t="shared" si="0"/>
        <v>0</v>
      </c>
    </row>
    <row r="126" spans="1:9" ht="14.25" hidden="1">
      <c r="A126" s="74">
        <v>6.13</v>
      </c>
      <c r="C126" s="79">
        <f>IFERROR(VLOOKUP($A126,GanttChart!$A:$JD,2,FALSE),"خطا")</f>
        <v>0</v>
      </c>
      <c r="D126" s="80">
        <f>IFERROR(VLOOKUP($A126,GanttChart!$A:$JD,261,FALSE),0)</f>
        <v>0</v>
      </c>
      <c r="E126" s="80">
        <f>IFERROR(VLOOKUP($A126,GanttChart!$A:$JD,262,FALSE),0)</f>
        <v>0</v>
      </c>
      <c r="F126" s="80">
        <f>IFERROR(VLOOKUP($A126,GanttChart!$A:$JD,263,FALSE),0)</f>
        <v>0</v>
      </c>
      <c r="G126" s="81">
        <f>IFERROR(VLOOKUP($A126,GanttChart!$A:$JD,264,FALSE),0)</f>
        <v>0</v>
      </c>
      <c r="H126" s="82"/>
      <c r="I126" s="81">
        <f t="shared" si="0"/>
        <v>0</v>
      </c>
    </row>
    <row r="127" spans="1:9" ht="14.25" hidden="1">
      <c r="A127" s="74">
        <v>6.14</v>
      </c>
      <c r="C127" s="79">
        <f>IFERROR(VLOOKUP($A127,GanttChart!$A:$JD,2,FALSE),"خطا")</f>
        <v>0</v>
      </c>
      <c r="D127" s="80">
        <f>IFERROR(VLOOKUP($A127,GanttChart!$A:$JD,261,FALSE),0)</f>
        <v>0</v>
      </c>
      <c r="E127" s="80">
        <f>IFERROR(VLOOKUP($A127,GanttChart!$A:$JD,262,FALSE),0)</f>
        <v>0</v>
      </c>
      <c r="F127" s="80">
        <f>IFERROR(VLOOKUP($A127,GanttChart!$A:$JD,263,FALSE),0)</f>
        <v>0</v>
      </c>
      <c r="G127" s="81">
        <f>IFERROR(VLOOKUP($A127,GanttChart!$A:$JD,264,FALSE),0)</f>
        <v>0</v>
      </c>
      <c r="H127" s="82"/>
      <c r="I127" s="81">
        <f t="shared" si="0"/>
        <v>0</v>
      </c>
    </row>
    <row r="128" spans="1:9" ht="14.25" hidden="1">
      <c r="A128" s="74">
        <v>6.15</v>
      </c>
      <c r="C128" s="79">
        <f>IFERROR(VLOOKUP($A128,GanttChart!$A:$JD,2,FALSE),"خطا")</f>
        <v>0</v>
      </c>
      <c r="D128" s="80">
        <f>IFERROR(VLOOKUP($A128,GanttChart!$A:$JD,261,FALSE),0)</f>
        <v>0</v>
      </c>
      <c r="E128" s="80">
        <f>IFERROR(VLOOKUP($A128,GanttChart!$A:$JD,262,FALSE),0)</f>
        <v>0</v>
      </c>
      <c r="F128" s="80">
        <f>IFERROR(VLOOKUP($A128,GanttChart!$A:$JD,263,FALSE),0)</f>
        <v>0</v>
      </c>
      <c r="G128" s="81">
        <f>IFERROR(VLOOKUP($A128,GanttChart!$A:$JD,264,FALSE),0)</f>
        <v>0</v>
      </c>
      <c r="H128" s="82"/>
      <c r="I128" s="81">
        <f t="shared" si="0"/>
        <v>0</v>
      </c>
    </row>
    <row r="129" spans="1:9" ht="14.25" hidden="1">
      <c r="A129" s="74">
        <v>6.16</v>
      </c>
      <c r="C129" s="79">
        <f>IFERROR(VLOOKUP($A129,GanttChart!$A:$JD,2,FALSE),"خطا")</f>
        <v>0</v>
      </c>
      <c r="D129" s="80">
        <f>IFERROR(VLOOKUP($A129,GanttChart!$A:$JD,261,FALSE),0)</f>
        <v>0</v>
      </c>
      <c r="E129" s="80">
        <f>IFERROR(VLOOKUP($A129,GanttChart!$A:$JD,262,FALSE),0)</f>
        <v>0</v>
      </c>
      <c r="F129" s="80">
        <f>IFERROR(VLOOKUP($A129,GanttChart!$A:$JD,263,FALSE),0)</f>
        <v>0</v>
      </c>
      <c r="G129" s="81">
        <f>IFERROR(VLOOKUP($A129,GanttChart!$A:$JD,264,FALSE),0)</f>
        <v>0</v>
      </c>
      <c r="H129" s="82"/>
      <c r="I129" s="81">
        <f t="shared" si="0"/>
        <v>0</v>
      </c>
    </row>
    <row r="130" spans="1:9" ht="14.25" hidden="1">
      <c r="A130" s="74">
        <v>6.17</v>
      </c>
      <c r="C130" s="79">
        <f>IFERROR(VLOOKUP($A130,GanttChart!$A:$JD,2,FALSE),"خطا")</f>
        <v>0</v>
      </c>
      <c r="D130" s="80">
        <f>IFERROR(VLOOKUP($A130,GanttChart!$A:$JD,261,FALSE),0)</f>
        <v>0</v>
      </c>
      <c r="E130" s="80">
        <f>IFERROR(VLOOKUP($A130,GanttChart!$A:$JD,262,FALSE),0)</f>
        <v>0</v>
      </c>
      <c r="F130" s="80">
        <f>IFERROR(VLOOKUP($A130,GanttChart!$A:$JD,263,FALSE),0)</f>
        <v>0</v>
      </c>
      <c r="G130" s="81">
        <f>IFERROR(VLOOKUP($A130,GanttChart!$A:$JD,264,FALSE),0)</f>
        <v>0</v>
      </c>
      <c r="H130" s="82"/>
      <c r="I130" s="81">
        <f t="shared" si="0"/>
        <v>0</v>
      </c>
    </row>
    <row r="131" spans="1:9" ht="14.25" hidden="1">
      <c r="A131" s="74">
        <v>6.18</v>
      </c>
      <c r="C131" s="79">
        <f>IFERROR(VLOOKUP($A131,GanttChart!$A:$JD,2,FALSE),"خطا")</f>
        <v>0</v>
      </c>
      <c r="D131" s="80">
        <f>IFERROR(VLOOKUP($A131,GanttChart!$A:$JD,261,FALSE),0)</f>
        <v>0</v>
      </c>
      <c r="E131" s="80">
        <f>IFERROR(VLOOKUP($A131,GanttChart!$A:$JD,262,FALSE),0)</f>
        <v>0</v>
      </c>
      <c r="F131" s="80">
        <f>IFERROR(VLOOKUP($A131,GanttChart!$A:$JD,263,FALSE),0)</f>
        <v>0</v>
      </c>
      <c r="G131" s="81">
        <f>IFERROR(VLOOKUP($A131,GanttChart!$A:$JD,264,FALSE),0)</f>
        <v>0</v>
      </c>
      <c r="H131" s="82"/>
      <c r="I131" s="81">
        <f t="shared" si="0"/>
        <v>0</v>
      </c>
    </row>
    <row r="132" spans="1:9" ht="14.25" hidden="1">
      <c r="A132" s="74">
        <v>6.19</v>
      </c>
      <c r="C132" s="79">
        <f>IFERROR(VLOOKUP($A132,GanttChart!$A:$JD,2,FALSE),"خطا")</f>
        <v>0</v>
      </c>
      <c r="D132" s="80">
        <f>IFERROR(VLOOKUP($A132,GanttChart!$A:$JD,261,FALSE),0)</f>
        <v>0</v>
      </c>
      <c r="E132" s="80">
        <f>IFERROR(VLOOKUP($A132,GanttChart!$A:$JD,262,FALSE),0)</f>
        <v>0</v>
      </c>
      <c r="F132" s="80">
        <f>IFERROR(VLOOKUP($A132,GanttChart!$A:$JD,263,FALSE),0)</f>
        <v>0</v>
      </c>
      <c r="G132" s="81">
        <f>IFERROR(VLOOKUP($A132,GanttChart!$A:$JD,264,FALSE),0)</f>
        <v>0</v>
      </c>
      <c r="H132" s="82"/>
      <c r="I132" s="81">
        <f t="shared" si="0"/>
        <v>0</v>
      </c>
    </row>
    <row r="133" spans="1:9" ht="14.25" hidden="1">
      <c r="A133" s="74">
        <v>6.21</v>
      </c>
      <c r="C133" s="79">
        <f>IFERROR(VLOOKUP($A133,GanttChart!$A:$JD,2,FALSE),"خطا")</f>
        <v>0</v>
      </c>
      <c r="D133" s="80">
        <f>IFERROR(VLOOKUP($A133,GanttChart!$A:$JD,261,FALSE),0)</f>
        <v>0</v>
      </c>
      <c r="E133" s="80">
        <f>IFERROR(VLOOKUP($A133,GanttChart!$A:$JD,262,FALSE),0)</f>
        <v>0</v>
      </c>
      <c r="F133" s="80">
        <f>IFERROR(VLOOKUP($A133,GanttChart!$A:$JD,263,FALSE),0)</f>
        <v>0</v>
      </c>
      <c r="G133" s="81">
        <f>IFERROR(VLOOKUP($A133,GanttChart!$A:$JD,264,FALSE),0)</f>
        <v>0</v>
      </c>
      <c r="H133" s="82"/>
      <c r="I133" s="81">
        <f t="shared" si="0"/>
        <v>0</v>
      </c>
    </row>
    <row r="134" spans="1:9" ht="14.25" hidden="1">
      <c r="A134" s="74">
        <v>6.22</v>
      </c>
      <c r="C134" s="79">
        <f>IFERROR(VLOOKUP($A134,GanttChart!$A:$JD,2,FALSE),"خطا")</f>
        <v>0</v>
      </c>
      <c r="D134" s="80">
        <f>IFERROR(VLOOKUP($A134,GanttChart!$A:$JD,261,FALSE),0)</f>
        <v>0</v>
      </c>
      <c r="E134" s="80">
        <f>IFERROR(VLOOKUP($A134,GanttChart!$A:$JD,262,FALSE),0)</f>
        <v>0</v>
      </c>
      <c r="F134" s="80">
        <f>IFERROR(VLOOKUP($A134,GanttChart!$A:$JD,263,FALSE),0)</f>
        <v>0</v>
      </c>
      <c r="G134" s="81">
        <f>IFERROR(VLOOKUP($A134,GanttChart!$A:$JD,264,FALSE),0)</f>
        <v>0</v>
      </c>
      <c r="H134" s="82"/>
      <c r="I134" s="81">
        <f t="shared" si="0"/>
        <v>0</v>
      </c>
    </row>
    <row r="135" spans="1:9" ht="14.25" hidden="1">
      <c r="A135" s="74">
        <v>6.23</v>
      </c>
      <c r="C135" s="79">
        <f>IFERROR(VLOOKUP($A135,GanttChart!$A:$JD,2,FALSE),"خطا")</f>
        <v>0</v>
      </c>
      <c r="D135" s="80">
        <f>IFERROR(VLOOKUP($A135,GanttChart!$A:$JD,261,FALSE),0)</f>
        <v>0</v>
      </c>
      <c r="E135" s="80">
        <f>IFERROR(VLOOKUP($A135,GanttChart!$A:$JD,262,FALSE),0)</f>
        <v>0</v>
      </c>
      <c r="F135" s="80">
        <f>IFERROR(VLOOKUP($A135,GanttChart!$A:$JD,263,FALSE),0)</f>
        <v>0</v>
      </c>
      <c r="G135" s="81">
        <f>IFERROR(VLOOKUP($A135,GanttChart!$A:$JD,264,FALSE),0)</f>
        <v>0</v>
      </c>
      <c r="H135" s="82"/>
      <c r="I135" s="81">
        <f t="shared" si="0"/>
        <v>0</v>
      </c>
    </row>
    <row r="136" spans="1:9" ht="14.25">
      <c r="A136" s="74">
        <v>7</v>
      </c>
      <c r="C136" s="79" t="str">
        <f>IFERROR(VLOOKUP($A136,GanttChart!$A:$JD,2,FALSE),"خطا")</f>
        <v>تحویل نهايي دستاوردهای پروژه</v>
      </c>
      <c r="D136" s="80">
        <f>SUM(D137:D157)</f>
        <v>0</v>
      </c>
      <c r="E136" s="80">
        <f>SUM(E137:E157)</f>
        <v>0</v>
      </c>
      <c r="F136" s="80">
        <f>SUM(F137:F157)</f>
        <v>0</v>
      </c>
      <c r="G136" s="81">
        <f>SUM(G137:G157)</f>
        <v>0</v>
      </c>
      <c r="H136" s="203">
        <v>1</v>
      </c>
      <c r="I136" s="81">
        <f t="shared" si="0"/>
        <v>0</v>
      </c>
    </row>
    <row r="137" spans="1:9" ht="14.25" hidden="1">
      <c r="A137" s="74">
        <v>7.1</v>
      </c>
      <c r="C137" s="79" t="str">
        <f>IFERROR(VLOOKUP($A137,GanttChart!$A:$JD,2,FALSE),"خطا")</f>
        <v>تنظیم و امضاء صورت جلسه تحویل پروژه</v>
      </c>
      <c r="D137" s="80">
        <f>IFERROR(VLOOKUP($A137,GanttChart!$A:$JD,261,FALSE),0)</f>
        <v>0</v>
      </c>
      <c r="E137" s="80">
        <f>IFERROR(VLOOKUP($A137,GanttChart!$A:$JD,262,FALSE),0)</f>
        <v>0</v>
      </c>
      <c r="F137" s="80">
        <f>IFERROR(VLOOKUP($A137,GanttChart!$A:$JD,263,FALSE),0)</f>
        <v>0</v>
      </c>
      <c r="G137" s="81">
        <f>IFERROR(VLOOKUP($A137,GanttChart!$A:$JD,264,FALSE),0)</f>
        <v>0</v>
      </c>
      <c r="H137" s="82"/>
      <c r="I137" s="81">
        <f t="shared" si="0"/>
        <v>0</v>
      </c>
    </row>
    <row r="138" spans="1:9" ht="14.25" hidden="1">
      <c r="A138" s="74">
        <v>7.2</v>
      </c>
      <c r="C138" s="79" t="str">
        <f>IFERROR(VLOOKUP($A138,GanttChart!$A:$JD,2,FALSE),"خطا")</f>
        <v>انتقال پورتال به دامنه اصلی کارفرما</v>
      </c>
      <c r="D138" s="80">
        <f>IFERROR(VLOOKUP($A138,GanttChart!$A:$JD,261,FALSE),0)</f>
        <v>0</v>
      </c>
      <c r="E138" s="80">
        <f>IFERROR(VLOOKUP($A138,GanttChart!$A:$JD,262,FALSE),0)</f>
        <v>0</v>
      </c>
      <c r="F138" s="80">
        <f>IFERROR(VLOOKUP($A138,GanttChart!$A:$JD,263,FALSE),0)</f>
        <v>0</v>
      </c>
      <c r="G138" s="81">
        <f>IFERROR(VLOOKUP($A138,GanttChart!$A:$JD,264,FALSE),0)</f>
        <v>0</v>
      </c>
      <c r="H138" s="82"/>
      <c r="I138" s="81">
        <f t="shared" si="0"/>
        <v>0</v>
      </c>
    </row>
    <row r="139" spans="1:9" ht="14.25" hidden="1">
      <c r="A139" s="74">
        <v>7.3</v>
      </c>
      <c r="C139" s="79">
        <f>IFERROR(VLOOKUP($A139,GanttChart!$A:$JD,2,FALSE),"خطا")</f>
        <v>0</v>
      </c>
      <c r="D139" s="80">
        <f>IFERROR(VLOOKUP($A139,GanttChart!$A:$JD,261,FALSE),0)</f>
        <v>0</v>
      </c>
      <c r="E139" s="80">
        <f>IFERROR(VLOOKUP($A139,GanttChart!$A:$JD,262,FALSE),0)</f>
        <v>0</v>
      </c>
      <c r="F139" s="80">
        <f>IFERROR(VLOOKUP($A139,GanttChart!$A:$JD,263,FALSE),0)</f>
        <v>0</v>
      </c>
      <c r="G139" s="81">
        <f>IFERROR(VLOOKUP($A139,GanttChart!$A:$JD,264,FALSE),0)</f>
        <v>0</v>
      </c>
      <c r="H139" s="82"/>
      <c r="I139" s="81">
        <f t="shared" si="0"/>
        <v>0</v>
      </c>
    </row>
    <row r="140" spans="1:9" ht="14.25" hidden="1">
      <c r="A140" s="74">
        <v>7.4</v>
      </c>
      <c r="C140" s="79">
        <f>IFERROR(VLOOKUP($A140,GanttChart!$A:$JD,2,FALSE),"خطا")</f>
        <v>0</v>
      </c>
      <c r="D140" s="80">
        <f>IFERROR(VLOOKUP($A140,GanttChart!$A:$JD,261,FALSE),0)</f>
        <v>0</v>
      </c>
      <c r="E140" s="80">
        <f>IFERROR(VLOOKUP($A140,GanttChart!$A:$JD,262,FALSE),0)</f>
        <v>0</v>
      </c>
      <c r="F140" s="80">
        <f>IFERROR(VLOOKUP($A140,GanttChart!$A:$JD,263,FALSE),0)</f>
        <v>0</v>
      </c>
      <c r="G140" s="81">
        <f>IFERROR(VLOOKUP($A140,GanttChart!$A:$JD,264,FALSE),0)</f>
        <v>0</v>
      </c>
      <c r="H140" s="82"/>
      <c r="I140" s="81">
        <f t="shared" si="0"/>
        <v>0</v>
      </c>
    </row>
    <row r="141" spans="1:9" ht="14.25" hidden="1">
      <c r="A141" s="74">
        <v>7.5</v>
      </c>
      <c r="C141" s="79">
        <f>IFERROR(VLOOKUP($A141,GanttChart!$A:$JD,2,FALSE),"خطا")</f>
        <v>0</v>
      </c>
      <c r="D141" s="80">
        <f>IFERROR(VLOOKUP($A141,GanttChart!$A:$JD,261,FALSE),0)</f>
        <v>0</v>
      </c>
      <c r="E141" s="80">
        <f>IFERROR(VLOOKUP($A141,GanttChart!$A:$JD,262,FALSE),0)</f>
        <v>0</v>
      </c>
      <c r="F141" s="80">
        <f>IFERROR(VLOOKUP($A141,GanttChart!$A:$JD,263,FALSE),0)</f>
        <v>0</v>
      </c>
      <c r="G141" s="81">
        <f>IFERROR(VLOOKUP($A141,GanttChart!$A:$JD,264,FALSE),0)</f>
        <v>0</v>
      </c>
      <c r="H141" s="82"/>
      <c r="I141" s="81">
        <f t="shared" si="0"/>
        <v>0</v>
      </c>
    </row>
    <row r="142" spans="1:9" ht="14.25" hidden="1">
      <c r="A142" s="74">
        <v>7.6</v>
      </c>
      <c r="C142" s="79">
        <f>IFERROR(VLOOKUP($A142,GanttChart!$A:$JD,2,FALSE),"خطا")</f>
        <v>0</v>
      </c>
      <c r="D142" s="80">
        <f>IFERROR(VLOOKUP($A142,GanttChart!$A:$JD,261,FALSE),0)</f>
        <v>0</v>
      </c>
      <c r="E142" s="80">
        <f>IFERROR(VLOOKUP($A142,GanttChart!$A:$JD,262,FALSE),0)</f>
        <v>0</v>
      </c>
      <c r="F142" s="80">
        <f>IFERROR(VLOOKUP($A142,GanttChart!$A:$JD,263,FALSE),0)</f>
        <v>0</v>
      </c>
      <c r="G142" s="81">
        <f>IFERROR(VLOOKUP($A142,GanttChart!$A:$JD,264,FALSE),0)</f>
        <v>0</v>
      </c>
      <c r="H142" s="82"/>
      <c r="I142" s="81">
        <f t="shared" si="0"/>
        <v>0</v>
      </c>
    </row>
    <row r="143" spans="1:9" ht="14.25" hidden="1">
      <c r="A143" s="74">
        <v>7.7</v>
      </c>
      <c r="C143" s="79">
        <f>IFERROR(VLOOKUP($A143,GanttChart!$A:$JD,2,FALSE),"خطا")</f>
        <v>0</v>
      </c>
      <c r="D143" s="80">
        <f>IFERROR(VLOOKUP($A143,GanttChart!$A:$JD,261,FALSE),0)</f>
        <v>0</v>
      </c>
      <c r="E143" s="80">
        <f>IFERROR(VLOOKUP($A143,GanttChart!$A:$JD,262,FALSE),0)</f>
        <v>0</v>
      </c>
      <c r="F143" s="80">
        <f>IFERROR(VLOOKUP($A143,GanttChart!$A:$JD,263,FALSE),0)</f>
        <v>0</v>
      </c>
      <c r="G143" s="81">
        <f>IFERROR(VLOOKUP($A143,GanttChart!$A:$JD,264,FALSE),0)</f>
        <v>0</v>
      </c>
      <c r="H143" s="82"/>
      <c r="I143" s="81">
        <f t="shared" si="0"/>
        <v>0</v>
      </c>
    </row>
    <row r="144" spans="1:9" ht="14.25" hidden="1">
      <c r="A144" s="74">
        <v>7.8</v>
      </c>
      <c r="C144" s="79">
        <f>IFERROR(VLOOKUP($A144,GanttChart!$A:$JD,2,FALSE),"خطا")</f>
        <v>0</v>
      </c>
      <c r="D144" s="80">
        <f>IFERROR(VLOOKUP($A144,GanttChart!$A:$JD,261,FALSE),0)</f>
        <v>0</v>
      </c>
      <c r="E144" s="80">
        <f>IFERROR(VLOOKUP($A144,GanttChart!$A:$JD,262,FALSE),0)</f>
        <v>0</v>
      </c>
      <c r="F144" s="80">
        <f>IFERROR(VLOOKUP($A144,GanttChart!$A:$JD,263,FALSE),0)</f>
        <v>0</v>
      </c>
      <c r="G144" s="81">
        <f>IFERROR(VLOOKUP($A144,GanttChart!$A:$JD,264,FALSE),0)</f>
        <v>0</v>
      </c>
      <c r="H144" s="82"/>
      <c r="I144" s="81">
        <f t="shared" si="0"/>
        <v>0</v>
      </c>
    </row>
    <row r="145" spans="1:9" ht="14.25" hidden="1">
      <c r="A145" s="74">
        <v>7.9</v>
      </c>
      <c r="C145" s="79">
        <f>IFERROR(VLOOKUP($A145,GanttChart!$A:$JD,2,FALSE),"خطا")</f>
        <v>0</v>
      </c>
      <c r="D145" s="80">
        <f>IFERROR(VLOOKUP($A145,GanttChart!$A:$JD,261,FALSE),0)</f>
        <v>0</v>
      </c>
      <c r="E145" s="80">
        <f>IFERROR(VLOOKUP($A145,GanttChart!$A:$JD,262,FALSE),0)</f>
        <v>0</v>
      </c>
      <c r="F145" s="80">
        <f>IFERROR(VLOOKUP($A145,GanttChart!$A:$JD,263,FALSE),0)</f>
        <v>0</v>
      </c>
      <c r="G145" s="81">
        <f>IFERROR(VLOOKUP($A145,GanttChart!$A:$JD,264,FALSE),0)</f>
        <v>0</v>
      </c>
      <c r="H145" s="82"/>
      <c r="I145" s="81">
        <f t="shared" si="0"/>
        <v>0</v>
      </c>
    </row>
    <row r="146" spans="1:9" ht="14.25" hidden="1">
      <c r="A146" s="74">
        <v>7.11</v>
      </c>
      <c r="C146" s="79">
        <f>IFERROR(VLOOKUP($A146,GanttChart!$A:$JD,2,FALSE),"خطا")</f>
        <v>0</v>
      </c>
      <c r="D146" s="80">
        <f>IFERROR(VLOOKUP($A146,GanttChart!$A:$JD,261,FALSE),0)</f>
        <v>0</v>
      </c>
      <c r="E146" s="80">
        <f>IFERROR(VLOOKUP($A146,GanttChart!$A:$JD,262,FALSE),0)</f>
        <v>0</v>
      </c>
      <c r="F146" s="80">
        <f>IFERROR(VLOOKUP($A146,GanttChart!$A:$JD,263,FALSE),0)</f>
        <v>0</v>
      </c>
      <c r="G146" s="81">
        <f>IFERROR(VLOOKUP($A146,GanttChart!$A:$JD,264,FALSE),0)</f>
        <v>0</v>
      </c>
      <c r="H146" s="82"/>
      <c r="I146" s="81">
        <f t="shared" si="0"/>
        <v>0</v>
      </c>
    </row>
    <row r="147" spans="1:9" ht="14.25" hidden="1">
      <c r="A147" s="74">
        <v>7.12</v>
      </c>
      <c r="C147" s="79">
        <f>IFERROR(VLOOKUP($A147,GanttChart!$A:$JD,2,FALSE),"خطا")</f>
        <v>0</v>
      </c>
      <c r="D147" s="80">
        <f>IFERROR(VLOOKUP($A147,GanttChart!$A:$JD,261,FALSE),0)</f>
        <v>0</v>
      </c>
      <c r="E147" s="80">
        <f>IFERROR(VLOOKUP($A147,GanttChart!$A:$JD,262,FALSE),0)</f>
        <v>0</v>
      </c>
      <c r="F147" s="80">
        <f>IFERROR(VLOOKUP($A147,GanttChart!$A:$JD,263,FALSE),0)</f>
        <v>0</v>
      </c>
      <c r="G147" s="81">
        <f>IFERROR(VLOOKUP($A147,GanttChart!$A:$JD,264,FALSE),0)</f>
        <v>0</v>
      </c>
      <c r="H147" s="82"/>
      <c r="I147" s="81">
        <f t="shared" si="0"/>
        <v>0</v>
      </c>
    </row>
    <row r="148" spans="1:9" ht="14.25" hidden="1">
      <c r="A148" s="74">
        <v>7.13</v>
      </c>
      <c r="C148" s="79">
        <f>IFERROR(VLOOKUP($A148,GanttChart!$A:$JD,2,FALSE),"خطا")</f>
        <v>0</v>
      </c>
      <c r="D148" s="80">
        <f>IFERROR(VLOOKUP($A148,GanttChart!$A:$JD,261,FALSE),0)</f>
        <v>0</v>
      </c>
      <c r="E148" s="80">
        <f>IFERROR(VLOOKUP($A148,GanttChart!$A:$JD,262,FALSE),0)</f>
        <v>0</v>
      </c>
      <c r="F148" s="80">
        <f>IFERROR(VLOOKUP($A148,GanttChart!$A:$JD,263,FALSE),0)</f>
        <v>0</v>
      </c>
      <c r="G148" s="81">
        <f>IFERROR(VLOOKUP($A148,GanttChart!$A:$JD,264,FALSE),0)</f>
        <v>0</v>
      </c>
      <c r="H148" s="82"/>
      <c r="I148" s="81">
        <f t="shared" si="0"/>
        <v>0</v>
      </c>
    </row>
    <row r="149" spans="1:9" ht="14.25" hidden="1">
      <c r="A149" s="74">
        <v>7.14</v>
      </c>
      <c r="C149" s="79">
        <f>IFERROR(VLOOKUP($A149,GanttChart!$A:$JD,2,FALSE),"خطا")</f>
        <v>0</v>
      </c>
      <c r="D149" s="80">
        <f>IFERROR(VLOOKUP($A149,GanttChart!$A:$JD,261,FALSE),0)</f>
        <v>0</v>
      </c>
      <c r="E149" s="80">
        <f>IFERROR(VLOOKUP($A149,GanttChart!$A:$JD,262,FALSE),0)</f>
        <v>0</v>
      </c>
      <c r="F149" s="80">
        <f>IFERROR(VLOOKUP($A149,GanttChart!$A:$JD,263,FALSE),0)</f>
        <v>0</v>
      </c>
      <c r="G149" s="81">
        <f>IFERROR(VLOOKUP($A149,GanttChart!$A:$JD,264,FALSE),0)</f>
        <v>0</v>
      </c>
      <c r="H149" s="82"/>
      <c r="I149" s="81">
        <f t="shared" si="0"/>
        <v>0</v>
      </c>
    </row>
    <row r="150" spans="1:9" ht="14.25" hidden="1">
      <c r="A150" s="74">
        <v>7.15</v>
      </c>
      <c r="C150" s="79">
        <f>IFERROR(VLOOKUP($A150,GanttChart!$A:$JD,2,FALSE),"خطا")</f>
        <v>0</v>
      </c>
      <c r="D150" s="80">
        <f>IFERROR(VLOOKUP($A150,GanttChart!$A:$JD,261,FALSE),0)</f>
        <v>0</v>
      </c>
      <c r="E150" s="80">
        <f>IFERROR(VLOOKUP($A150,GanttChart!$A:$JD,262,FALSE),0)</f>
        <v>0</v>
      </c>
      <c r="F150" s="80">
        <f>IFERROR(VLOOKUP($A150,GanttChart!$A:$JD,263,FALSE),0)</f>
        <v>0</v>
      </c>
      <c r="G150" s="81">
        <f>IFERROR(VLOOKUP($A150,GanttChart!$A:$JD,264,FALSE),0)</f>
        <v>0</v>
      </c>
      <c r="H150" s="82"/>
      <c r="I150" s="81">
        <f t="shared" si="0"/>
        <v>0</v>
      </c>
    </row>
    <row r="151" spans="1:9" ht="14.25" hidden="1">
      <c r="A151" s="74">
        <v>7.16</v>
      </c>
      <c r="C151" s="79">
        <f>IFERROR(VLOOKUP($A151,GanttChart!$A:$JD,2,FALSE),"خطا")</f>
        <v>0</v>
      </c>
      <c r="D151" s="80">
        <f>IFERROR(VLOOKUP($A151,GanttChart!$A:$JD,261,FALSE),0)</f>
        <v>0</v>
      </c>
      <c r="E151" s="80">
        <f>IFERROR(VLOOKUP($A151,GanttChart!$A:$JD,262,FALSE),0)</f>
        <v>0</v>
      </c>
      <c r="F151" s="80">
        <f>IFERROR(VLOOKUP($A151,GanttChart!$A:$JD,263,FALSE),0)</f>
        <v>0</v>
      </c>
      <c r="G151" s="81">
        <f>IFERROR(VLOOKUP($A151,GanttChart!$A:$JD,264,FALSE),0)</f>
        <v>0</v>
      </c>
      <c r="H151" s="82"/>
      <c r="I151" s="81">
        <f t="shared" si="0"/>
        <v>0</v>
      </c>
    </row>
    <row r="152" spans="1:9" ht="14.25" hidden="1">
      <c r="A152" s="74">
        <v>7.17</v>
      </c>
      <c r="C152" s="79">
        <f>IFERROR(VLOOKUP($A152,GanttChart!$A:$JD,2,FALSE),"خطا")</f>
        <v>0</v>
      </c>
      <c r="D152" s="80">
        <f>IFERROR(VLOOKUP($A152,GanttChart!$A:$JD,261,FALSE),0)</f>
        <v>0</v>
      </c>
      <c r="E152" s="80">
        <f>IFERROR(VLOOKUP($A152,GanttChart!$A:$JD,262,FALSE),0)</f>
        <v>0</v>
      </c>
      <c r="F152" s="80">
        <f>IFERROR(VLOOKUP($A152,GanttChart!$A:$JD,263,FALSE),0)</f>
        <v>0</v>
      </c>
      <c r="G152" s="81">
        <f>IFERROR(VLOOKUP($A152,GanttChart!$A:$JD,264,FALSE),0)</f>
        <v>0</v>
      </c>
      <c r="H152" s="82"/>
      <c r="I152" s="81">
        <f t="shared" si="0"/>
        <v>0</v>
      </c>
    </row>
    <row r="153" spans="1:9" ht="14.25" hidden="1">
      <c r="A153" s="74">
        <v>7.18</v>
      </c>
      <c r="C153" s="79">
        <f>IFERROR(VLOOKUP($A153,GanttChart!$A:$JD,2,FALSE),"خطا")</f>
        <v>0</v>
      </c>
      <c r="D153" s="80">
        <f>IFERROR(VLOOKUP($A153,GanttChart!$A:$JD,261,FALSE),0)</f>
        <v>0</v>
      </c>
      <c r="E153" s="80">
        <f>IFERROR(VLOOKUP($A153,GanttChart!$A:$JD,262,FALSE),0)</f>
        <v>0</v>
      </c>
      <c r="F153" s="80">
        <f>IFERROR(VLOOKUP($A153,GanttChart!$A:$JD,263,FALSE),0)</f>
        <v>0</v>
      </c>
      <c r="G153" s="81">
        <f>IFERROR(VLOOKUP($A153,GanttChart!$A:$JD,264,FALSE),0)</f>
        <v>0</v>
      </c>
      <c r="H153" s="82"/>
      <c r="I153" s="81">
        <f t="shared" si="0"/>
        <v>0</v>
      </c>
    </row>
    <row r="154" spans="1:9" ht="14.25" hidden="1">
      <c r="A154" s="74">
        <v>7.19</v>
      </c>
      <c r="C154" s="79">
        <f>IFERROR(VLOOKUP($A154,GanttChart!$A:$JD,2,FALSE),"خطا")</f>
        <v>0</v>
      </c>
      <c r="D154" s="80">
        <f>IFERROR(VLOOKUP($A154,GanttChart!$A:$JD,261,FALSE),0)</f>
        <v>0</v>
      </c>
      <c r="E154" s="80">
        <f>IFERROR(VLOOKUP($A154,GanttChart!$A:$JD,262,FALSE),0)</f>
        <v>0</v>
      </c>
      <c r="F154" s="80">
        <f>IFERROR(VLOOKUP($A154,GanttChart!$A:$JD,263,FALSE),0)</f>
        <v>0</v>
      </c>
      <c r="G154" s="81">
        <f>IFERROR(VLOOKUP($A154,GanttChart!$A:$JD,264,FALSE),0)</f>
        <v>0</v>
      </c>
      <c r="H154" s="82"/>
      <c r="I154" s="81">
        <f t="shared" si="0"/>
        <v>0</v>
      </c>
    </row>
    <row r="155" spans="1:9" ht="14.25" hidden="1">
      <c r="A155" s="74">
        <v>7.21</v>
      </c>
      <c r="C155" s="79">
        <f>IFERROR(VLOOKUP($A155,GanttChart!$A:$JD,2,FALSE),"خطا")</f>
        <v>0</v>
      </c>
      <c r="D155" s="80">
        <f>IFERROR(VLOOKUP($A155,GanttChart!$A:$JD,261,FALSE),0)</f>
        <v>0</v>
      </c>
      <c r="E155" s="80">
        <f>IFERROR(VLOOKUP($A155,GanttChart!$A:$JD,262,FALSE),0)</f>
        <v>0</v>
      </c>
      <c r="F155" s="80">
        <f>IFERROR(VLOOKUP($A155,GanttChart!$A:$JD,263,FALSE),0)</f>
        <v>0</v>
      </c>
      <c r="G155" s="81">
        <f>IFERROR(VLOOKUP($A155,GanttChart!$A:$JD,264,FALSE),0)</f>
        <v>0</v>
      </c>
      <c r="H155" s="82"/>
      <c r="I155" s="81">
        <f t="shared" si="0"/>
        <v>0</v>
      </c>
    </row>
    <row r="156" spans="1:9" ht="14.25" hidden="1">
      <c r="A156" s="74">
        <v>7.22</v>
      </c>
      <c r="C156" s="79">
        <f>IFERROR(VLOOKUP($A156,GanttChart!$A:$JD,2,FALSE),"خطا")</f>
        <v>0</v>
      </c>
      <c r="D156" s="80">
        <f>IFERROR(VLOOKUP($A156,GanttChart!$A:$JD,261,FALSE),0)</f>
        <v>0</v>
      </c>
      <c r="E156" s="80">
        <f>IFERROR(VLOOKUP($A156,GanttChart!$A:$JD,262,FALSE),0)</f>
        <v>0</v>
      </c>
      <c r="F156" s="80">
        <f>IFERROR(VLOOKUP($A156,GanttChart!$A:$JD,263,FALSE),0)</f>
        <v>0</v>
      </c>
      <c r="G156" s="81">
        <f>IFERROR(VLOOKUP($A156,GanttChart!$A:$JD,264,FALSE),0)</f>
        <v>0</v>
      </c>
      <c r="H156" s="82"/>
      <c r="I156" s="81">
        <f t="shared" si="0"/>
        <v>0</v>
      </c>
    </row>
    <row r="157" spans="1:9" ht="14.25" hidden="1">
      <c r="A157" s="74">
        <v>7.23</v>
      </c>
      <c r="C157" s="79">
        <f>IFERROR(VLOOKUP($A157,GanttChart!$A:$JD,2,FALSE),"خطا")</f>
        <v>0</v>
      </c>
      <c r="D157" s="80">
        <f>IFERROR(VLOOKUP($A157,GanttChart!$A:$JD,261,FALSE),0)</f>
        <v>0</v>
      </c>
      <c r="E157" s="80">
        <f>IFERROR(VLOOKUP($A157,GanttChart!$A:$JD,262,FALSE),0)</f>
        <v>0</v>
      </c>
      <c r="F157" s="80">
        <f>IFERROR(VLOOKUP($A157,GanttChart!$A:$JD,263,FALSE),0)</f>
        <v>0</v>
      </c>
      <c r="G157" s="81">
        <f>IFERROR(VLOOKUP($A157,GanttChart!$A:$JD,264,FALSE),0)</f>
        <v>0</v>
      </c>
      <c r="H157" s="82"/>
      <c r="I157" s="81">
        <f t="shared" si="0"/>
        <v>0</v>
      </c>
    </row>
    <row r="158" spans="1:9" ht="14.25">
      <c r="A158" s="74">
        <v>8</v>
      </c>
      <c r="C158" s="79">
        <f>IFERROR(VLOOKUP($A158,GanttChart!$A:$JD,2,FALSE),"خطا")</f>
        <v>0</v>
      </c>
      <c r="D158" s="80">
        <f>SUM(D159:D179)</f>
        <v>0</v>
      </c>
      <c r="E158" s="80">
        <f>SUM(E159:E179)</f>
        <v>0</v>
      </c>
      <c r="F158" s="80">
        <f>SUM(F159:F179)</f>
        <v>0</v>
      </c>
      <c r="G158" s="81">
        <f>SUM(G159:G179)</f>
        <v>0</v>
      </c>
      <c r="H158" s="203">
        <v>1</v>
      </c>
      <c r="I158" s="81">
        <f t="shared" si="0"/>
        <v>0</v>
      </c>
    </row>
    <row r="159" spans="1:9" ht="14.25" hidden="1">
      <c r="A159" s="74">
        <v>8.1</v>
      </c>
      <c r="C159" s="79">
        <f>IFERROR(VLOOKUP($A159,GanttChart!$A:$JD,2,FALSE),"خطا")</f>
        <v>0</v>
      </c>
      <c r="D159" s="80">
        <f>IFERROR(VLOOKUP($A159,GanttChart!$A:$JD,261,FALSE),0)</f>
        <v>0</v>
      </c>
      <c r="E159" s="80">
        <f>IFERROR(VLOOKUP($A159,GanttChart!$A:$JD,262,FALSE),0)</f>
        <v>0</v>
      </c>
      <c r="F159" s="80">
        <f>IFERROR(VLOOKUP($A159,GanttChart!$A:$JD,263,FALSE),0)</f>
        <v>0</v>
      </c>
      <c r="G159" s="81">
        <f>IFERROR(VLOOKUP($A159,GanttChart!$A:$JD,264,FALSE),0)</f>
        <v>0</v>
      </c>
      <c r="H159" s="82"/>
      <c r="I159" s="81">
        <f t="shared" si="0"/>
        <v>0</v>
      </c>
    </row>
    <row r="160" spans="1:9" ht="14.25" hidden="1">
      <c r="A160" s="74">
        <v>8.1999999999999993</v>
      </c>
      <c r="C160" s="79">
        <f>IFERROR(VLOOKUP($A160,GanttChart!$A:$JD,2,FALSE),"خطا")</f>
        <v>0</v>
      </c>
      <c r="D160" s="80">
        <f>IFERROR(VLOOKUP($A160,GanttChart!$A:$JD,261,FALSE),0)</f>
        <v>0</v>
      </c>
      <c r="E160" s="80">
        <f>IFERROR(VLOOKUP($A160,GanttChart!$A:$JD,262,FALSE),0)</f>
        <v>0</v>
      </c>
      <c r="F160" s="80">
        <f>IFERROR(VLOOKUP($A160,GanttChart!$A:$JD,263,FALSE),0)</f>
        <v>0</v>
      </c>
      <c r="G160" s="81">
        <f>IFERROR(VLOOKUP($A160,GanttChart!$A:$JD,264,FALSE),0)</f>
        <v>0</v>
      </c>
      <c r="H160" s="82"/>
      <c r="I160" s="81">
        <f t="shared" si="0"/>
        <v>0</v>
      </c>
    </row>
    <row r="161" spans="1:9" ht="14.25" hidden="1">
      <c r="A161" s="85">
        <v>8.3000000000000007</v>
      </c>
      <c r="C161" s="79">
        <f>IFERROR(VLOOKUP($A161,GanttChart!$A:$JD,2,FALSE),"خطا")</f>
        <v>0</v>
      </c>
      <c r="D161" s="80">
        <f>IFERROR(VLOOKUP($A161,GanttChart!$A:$JD,261,FALSE),0)</f>
        <v>0</v>
      </c>
      <c r="E161" s="80">
        <f>IFERROR(VLOOKUP($A161,GanttChart!$A:$JD,262,FALSE),0)</f>
        <v>0</v>
      </c>
      <c r="F161" s="80">
        <f>IFERROR(VLOOKUP($A161,GanttChart!$A:$JD,263,FALSE),0)</f>
        <v>0</v>
      </c>
      <c r="G161" s="81">
        <f>IFERROR(VLOOKUP($A161,GanttChart!$A:$JD,264,FALSE),0)</f>
        <v>0</v>
      </c>
      <c r="H161" s="86"/>
      <c r="I161" s="81">
        <f t="shared" ref="I161:I179" si="1">G161-(H161*G161)</f>
        <v>0</v>
      </c>
    </row>
    <row r="162" spans="1:9" ht="14.25" hidden="1">
      <c r="A162" s="85">
        <v>8.4</v>
      </c>
      <c r="C162" s="79">
        <f>IFERROR(VLOOKUP($A162,GanttChart!$A:$JD,2,FALSE),"خطا")</f>
        <v>0</v>
      </c>
      <c r="D162" s="80">
        <f>IFERROR(VLOOKUP($A162,GanttChart!$A:$JD,261,FALSE),0)</f>
        <v>0</v>
      </c>
      <c r="E162" s="80">
        <f>IFERROR(VLOOKUP($A162,GanttChart!$A:$JD,262,FALSE),0)</f>
        <v>0</v>
      </c>
      <c r="F162" s="80">
        <f>IFERROR(VLOOKUP($A162,GanttChart!$A:$JD,263,FALSE),0)</f>
        <v>0</v>
      </c>
      <c r="G162" s="81">
        <f>IFERROR(VLOOKUP($A162,GanttChart!$A:$JD,264,FALSE),0)</f>
        <v>0</v>
      </c>
      <c r="H162" s="86"/>
      <c r="I162" s="81">
        <f t="shared" si="1"/>
        <v>0</v>
      </c>
    </row>
    <row r="163" spans="1:9" ht="14.25" hidden="1">
      <c r="A163" s="74">
        <v>8.5</v>
      </c>
      <c r="C163" s="79">
        <f>IFERROR(VLOOKUP($A163,GanttChart!$A:$JD,2,FALSE),"خطا")</f>
        <v>0</v>
      </c>
      <c r="D163" s="80">
        <f>IFERROR(VLOOKUP($A163,GanttChart!$A:$JD,261,FALSE),0)</f>
        <v>0</v>
      </c>
      <c r="E163" s="80">
        <f>IFERROR(VLOOKUP($A163,GanttChart!$A:$JD,262,FALSE),0)</f>
        <v>0</v>
      </c>
      <c r="F163" s="80">
        <f>IFERROR(VLOOKUP($A163,GanttChart!$A:$JD,263,FALSE),0)</f>
        <v>0</v>
      </c>
      <c r="G163" s="81">
        <f>IFERROR(VLOOKUP($A163,GanttChart!$A:$JD,264,FALSE),0)</f>
        <v>0</v>
      </c>
      <c r="H163" s="86"/>
      <c r="I163" s="81">
        <f t="shared" si="1"/>
        <v>0</v>
      </c>
    </row>
    <row r="164" spans="1:9" ht="14.25" hidden="1">
      <c r="A164" s="85">
        <v>8.6</v>
      </c>
      <c r="C164" s="79">
        <f>IFERROR(VLOOKUP($A164,GanttChart!$A:$JD,2,FALSE),"خطا")</f>
        <v>0</v>
      </c>
      <c r="D164" s="80">
        <f>IFERROR(VLOOKUP($A164,GanttChart!$A:$JD,261,FALSE),0)</f>
        <v>0</v>
      </c>
      <c r="E164" s="80">
        <f>IFERROR(VLOOKUP($A164,GanttChart!$A:$JD,262,FALSE),0)</f>
        <v>0</v>
      </c>
      <c r="F164" s="80">
        <f>IFERROR(VLOOKUP($A164,GanttChart!$A:$JD,263,FALSE),0)</f>
        <v>0</v>
      </c>
      <c r="G164" s="81">
        <f>IFERROR(VLOOKUP($A164,GanttChart!$A:$JD,264,FALSE),0)</f>
        <v>0</v>
      </c>
      <c r="H164" s="86"/>
      <c r="I164" s="81">
        <f t="shared" si="1"/>
        <v>0</v>
      </c>
    </row>
    <row r="165" spans="1:9" ht="14.25" hidden="1">
      <c r="A165" s="85">
        <v>8.7000000000000099</v>
      </c>
      <c r="C165" s="79" t="str">
        <f>IFERROR(VLOOKUP($A165,GanttChart!$A:$JD,2,FALSE),"خطا")</f>
        <v>خطا</v>
      </c>
      <c r="D165" s="80">
        <f>IFERROR(VLOOKUP($A165,GanttChart!$A:$JD,261,FALSE),0)</f>
        <v>0</v>
      </c>
      <c r="E165" s="80">
        <f>IFERROR(VLOOKUP($A165,GanttChart!$A:$JD,262,FALSE),0)</f>
        <v>0</v>
      </c>
      <c r="F165" s="80">
        <f>IFERROR(VLOOKUP($A165,GanttChart!$A:$JD,263,FALSE),0)</f>
        <v>0</v>
      </c>
      <c r="G165" s="81">
        <f>IFERROR(VLOOKUP($A165,GanttChart!$A:$JD,264,FALSE),0)</f>
        <v>0</v>
      </c>
      <c r="H165" s="86"/>
      <c r="I165" s="81">
        <f t="shared" si="1"/>
        <v>0</v>
      </c>
    </row>
    <row r="166" spans="1:9" ht="14.25" hidden="1">
      <c r="A166" s="74">
        <v>8.8000000000000096</v>
      </c>
      <c r="C166" s="79" t="str">
        <f>IFERROR(VLOOKUP($A166,GanttChart!$A:$JD,2,FALSE),"خطا")</f>
        <v>خطا</v>
      </c>
      <c r="D166" s="80">
        <f>IFERROR(VLOOKUP($A166,GanttChart!$A:$JD,261,FALSE),0)</f>
        <v>0</v>
      </c>
      <c r="E166" s="80">
        <f>IFERROR(VLOOKUP($A166,GanttChart!$A:$JD,262,FALSE),0)</f>
        <v>0</v>
      </c>
      <c r="F166" s="80">
        <f>IFERROR(VLOOKUP($A166,GanttChart!$A:$JD,263,FALSE),0)</f>
        <v>0</v>
      </c>
      <c r="G166" s="81">
        <f>IFERROR(VLOOKUP($A166,GanttChart!$A:$JD,264,FALSE),0)</f>
        <v>0</v>
      </c>
      <c r="H166" s="86"/>
      <c r="I166" s="81">
        <f t="shared" si="1"/>
        <v>0</v>
      </c>
    </row>
    <row r="167" spans="1:9" ht="14.25" hidden="1">
      <c r="A167" s="85">
        <v>8.9000000000000092</v>
      </c>
      <c r="C167" s="79" t="str">
        <f>IFERROR(VLOOKUP($A167,GanttChart!$A:$JD,2,FALSE),"خطا")</f>
        <v>خطا</v>
      </c>
      <c r="D167" s="80">
        <f>IFERROR(VLOOKUP($A167,GanttChart!$A:$JD,261,FALSE),0)</f>
        <v>0</v>
      </c>
      <c r="E167" s="80">
        <f>IFERROR(VLOOKUP($A167,GanttChart!$A:$JD,262,FALSE),0)</f>
        <v>0</v>
      </c>
      <c r="F167" s="80">
        <f>IFERROR(VLOOKUP($A167,GanttChart!$A:$JD,263,FALSE),0)</f>
        <v>0</v>
      </c>
      <c r="G167" s="81">
        <f>IFERROR(VLOOKUP($A167,GanttChart!$A:$JD,264,FALSE),0)</f>
        <v>0</v>
      </c>
      <c r="H167" s="86"/>
      <c r="I167" s="81">
        <f t="shared" si="1"/>
        <v>0</v>
      </c>
    </row>
    <row r="168" spans="1:9" ht="14.25" hidden="1">
      <c r="A168" s="85">
        <v>8.11</v>
      </c>
      <c r="C168" s="79">
        <f>IFERROR(VLOOKUP($A168,GanttChart!$A:$JD,2,FALSE),"خطا")</f>
        <v>0</v>
      </c>
      <c r="D168" s="80">
        <f>IFERROR(VLOOKUP($A168,GanttChart!$A:$JD,261,FALSE),0)</f>
        <v>0</v>
      </c>
      <c r="E168" s="80">
        <f>IFERROR(VLOOKUP($A168,GanttChart!$A:$JD,262,FALSE),0)</f>
        <v>0</v>
      </c>
      <c r="F168" s="80">
        <f>IFERROR(VLOOKUP($A168,GanttChart!$A:$JD,263,FALSE),0)</f>
        <v>0</v>
      </c>
      <c r="G168" s="81">
        <f>IFERROR(VLOOKUP($A168,GanttChart!$A:$JD,264,FALSE),0)</f>
        <v>0</v>
      </c>
      <c r="H168" s="86"/>
      <c r="I168" s="81">
        <f t="shared" si="1"/>
        <v>0</v>
      </c>
    </row>
    <row r="169" spans="1:9" ht="14.25" hidden="1">
      <c r="A169" s="85">
        <v>8.1199999999999992</v>
      </c>
      <c r="C169" s="79">
        <f>IFERROR(VLOOKUP($A169,GanttChart!$A:$JD,2,FALSE),"خطا")</f>
        <v>0</v>
      </c>
      <c r="D169" s="80">
        <f>IFERROR(VLOOKUP($A169,GanttChart!$A:$JD,261,FALSE),0)</f>
        <v>0</v>
      </c>
      <c r="E169" s="80">
        <f>IFERROR(VLOOKUP($A169,GanttChart!$A:$JD,262,FALSE),0)</f>
        <v>0</v>
      </c>
      <c r="F169" s="80">
        <f>IFERROR(VLOOKUP($A169,GanttChart!$A:$JD,263,FALSE),0)</f>
        <v>0</v>
      </c>
      <c r="G169" s="81">
        <f>IFERROR(VLOOKUP($A169,GanttChart!$A:$JD,264,FALSE),0)</f>
        <v>0</v>
      </c>
      <c r="H169" s="86"/>
      <c r="I169" s="81">
        <f t="shared" si="1"/>
        <v>0</v>
      </c>
    </row>
    <row r="170" spans="1:9" ht="14.25" hidden="1">
      <c r="A170" s="85">
        <v>8.1300000000000008</v>
      </c>
      <c r="C170" s="79">
        <f>IFERROR(VLOOKUP($A170,GanttChart!$A:$JD,2,FALSE),"خطا")</f>
        <v>0</v>
      </c>
      <c r="D170" s="80">
        <f>IFERROR(VLOOKUP($A170,GanttChart!$A:$JD,261,FALSE),0)</f>
        <v>0</v>
      </c>
      <c r="E170" s="80">
        <f>IFERROR(VLOOKUP($A170,GanttChart!$A:$JD,262,FALSE),0)</f>
        <v>0</v>
      </c>
      <c r="F170" s="80">
        <f>IFERROR(VLOOKUP($A170,GanttChart!$A:$JD,263,FALSE),0)</f>
        <v>0</v>
      </c>
      <c r="G170" s="81">
        <f>IFERROR(VLOOKUP($A170,GanttChart!$A:$JD,264,FALSE),0)</f>
        <v>0</v>
      </c>
      <c r="H170" s="86"/>
      <c r="I170" s="81">
        <f t="shared" si="1"/>
        <v>0</v>
      </c>
    </row>
    <row r="171" spans="1:9" ht="14.25" hidden="1">
      <c r="A171" s="85">
        <v>8.14</v>
      </c>
      <c r="C171" s="79">
        <f>IFERROR(VLOOKUP($A171,GanttChart!$A:$JD,2,FALSE),"خطا")</f>
        <v>0</v>
      </c>
      <c r="D171" s="80">
        <f>IFERROR(VLOOKUP($A171,GanttChart!$A:$JD,261,FALSE),0)</f>
        <v>0</v>
      </c>
      <c r="E171" s="80">
        <f>IFERROR(VLOOKUP($A171,GanttChart!$A:$JD,262,FALSE),0)</f>
        <v>0</v>
      </c>
      <c r="F171" s="80">
        <f>IFERROR(VLOOKUP($A171,GanttChart!$A:$JD,263,FALSE),0)</f>
        <v>0</v>
      </c>
      <c r="G171" s="81">
        <f>IFERROR(VLOOKUP($A171,GanttChart!$A:$JD,264,FALSE),0)</f>
        <v>0</v>
      </c>
      <c r="H171" s="86"/>
      <c r="I171" s="81">
        <f t="shared" si="1"/>
        <v>0</v>
      </c>
    </row>
    <row r="172" spans="1:9" ht="14.25" hidden="1">
      <c r="A172" s="85">
        <v>8.15</v>
      </c>
      <c r="C172" s="79">
        <f>IFERROR(VLOOKUP($A172,GanttChart!$A:$JD,2,FALSE),"خطا")</f>
        <v>0</v>
      </c>
      <c r="D172" s="80">
        <f>IFERROR(VLOOKUP($A172,GanttChart!$A:$JD,261,FALSE),0)</f>
        <v>0</v>
      </c>
      <c r="E172" s="80">
        <f>IFERROR(VLOOKUP($A172,GanttChart!$A:$JD,262,FALSE),0)</f>
        <v>0</v>
      </c>
      <c r="F172" s="80">
        <f>IFERROR(VLOOKUP($A172,GanttChart!$A:$JD,263,FALSE),0)</f>
        <v>0</v>
      </c>
      <c r="G172" s="81">
        <f>IFERROR(VLOOKUP($A172,GanttChart!$A:$JD,264,FALSE),0)</f>
        <v>0</v>
      </c>
      <c r="H172" s="86"/>
      <c r="I172" s="81">
        <f t="shared" si="1"/>
        <v>0</v>
      </c>
    </row>
    <row r="173" spans="1:9" ht="14.25" hidden="1">
      <c r="A173" s="85">
        <v>8.16</v>
      </c>
      <c r="C173" s="79">
        <f>IFERROR(VLOOKUP($A173,GanttChart!$A:$JD,2,FALSE),"خطا")</f>
        <v>0</v>
      </c>
      <c r="D173" s="80">
        <f>IFERROR(VLOOKUP($A173,GanttChart!$A:$JD,261,FALSE),0)</f>
        <v>0</v>
      </c>
      <c r="E173" s="80">
        <f>IFERROR(VLOOKUP($A173,GanttChart!$A:$JD,262,FALSE),0)</f>
        <v>0</v>
      </c>
      <c r="F173" s="80">
        <f>IFERROR(VLOOKUP($A173,GanttChart!$A:$JD,263,FALSE),0)</f>
        <v>0</v>
      </c>
      <c r="G173" s="81">
        <f>IFERROR(VLOOKUP($A173,GanttChart!$A:$JD,264,FALSE),0)</f>
        <v>0</v>
      </c>
      <c r="H173" s="86"/>
      <c r="I173" s="81">
        <f t="shared" si="1"/>
        <v>0</v>
      </c>
    </row>
    <row r="174" spans="1:9" ht="14.25" hidden="1">
      <c r="A174" s="85">
        <v>8.17</v>
      </c>
      <c r="C174" s="79">
        <f>IFERROR(VLOOKUP($A174,GanttChart!$A:$JD,2,FALSE),"خطا")</f>
        <v>0</v>
      </c>
      <c r="D174" s="80">
        <f>IFERROR(VLOOKUP($A174,GanttChart!$A:$JD,261,FALSE),0)</f>
        <v>0</v>
      </c>
      <c r="E174" s="80">
        <f>IFERROR(VLOOKUP($A174,GanttChart!$A:$JD,262,FALSE),0)</f>
        <v>0</v>
      </c>
      <c r="F174" s="80">
        <f>IFERROR(VLOOKUP($A174,GanttChart!$A:$JD,263,FALSE),0)</f>
        <v>0</v>
      </c>
      <c r="G174" s="81">
        <f>IFERROR(VLOOKUP($A174,GanttChart!$A:$JD,264,FALSE),0)</f>
        <v>0</v>
      </c>
      <c r="H174" s="86"/>
      <c r="I174" s="81">
        <f t="shared" si="1"/>
        <v>0</v>
      </c>
    </row>
    <row r="175" spans="1:9" ht="14.25" hidden="1">
      <c r="A175" s="85">
        <v>8.18</v>
      </c>
      <c r="C175" s="79">
        <f>IFERROR(VLOOKUP($A175,GanttChart!$A:$JD,2,FALSE),"خطا")</f>
        <v>0</v>
      </c>
      <c r="D175" s="80">
        <f>IFERROR(VLOOKUP($A175,GanttChart!$A:$JD,261,FALSE),0)</f>
        <v>0</v>
      </c>
      <c r="E175" s="80">
        <f>IFERROR(VLOOKUP($A175,GanttChart!$A:$JD,262,FALSE),0)</f>
        <v>0</v>
      </c>
      <c r="F175" s="80">
        <f>IFERROR(VLOOKUP($A175,GanttChart!$A:$JD,263,FALSE),0)</f>
        <v>0</v>
      </c>
      <c r="G175" s="81">
        <f>IFERROR(VLOOKUP($A175,GanttChart!$A:$JD,264,FALSE),0)</f>
        <v>0</v>
      </c>
      <c r="H175" s="86"/>
      <c r="I175" s="81">
        <f t="shared" si="1"/>
        <v>0</v>
      </c>
    </row>
    <row r="176" spans="1:9" ht="14.25" hidden="1">
      <c r="A176" s="85">
        <v>8.19</v>
      </c>
      <c r="C176" s="79">
        <f>IFERROR(VLOOKUP($A176,GanttChart!$A:$JD,2,FALSE),"خطا")</f>
        <v>0</v>
      </c>
      <c r="D176" s="80">
        <f>IFERROR(VLOOKUP($A176,GanttChart!$A:$JD,261,FALSE),0)</f>
        <v>0</v>
      </c>
      <c r="E176" s="80">
        <f>IFERROR(VLOOKUP($A176,GanttChart!$A:$JD,262,FALSE),0)</f>
        <v>0</v>
      </c>
      <c r="F176" s="80">
        <f>IFERROR(VLOOKUP($A176,GanttChart!$A:$JD,263,FALSE),0)</f>
        <v>0</v>
      </c>
      <c r="G176" s="81">
        <f>IFERROR(VLOOKUP($A176,GanttChart!$A:$JD,264,FALSE),0)</f>
        <v>0</v>
      </c>
      <c r="H176" s="86"/>
      <c r="I176" s="81">
        <f t="shared" si="1"/>
        <v>0</v>
      </c>
    </row>
    <row r="177" spans="1:9" ht="14.25" hidden="1">
      <c r="A177" s="85">
        <v>8.2100000000000009</v>
      </c>
      <c r="C177" s="79">
        <f>IFERROR(VLOOKUP($A177,GanttChart!$A:$JD,2,FALSE),"خطا")</f>
        <v>0</v>
      </c>
      <c r="D177" s="80">
        <f>IFERROR(VLOOKUP($A177,GanttChart!$A:$JD,261,FALSE),0)</f>
        <v>0</v>
      </c>
      <c r="E177" s="80">
        <f>IFERROR(VLOOKUP($A177,GanttChart!$A:$JD,262,FALSE),0)</f>
        <v>0</v>
      </c>
      <c r="F177" s="80">
        <f>IFERROR(VLOOKUP($A177,GanttChart!$A:$JD,263,FALSE),0)</f>
        <v>0</v>
      </c>
      <c r="G177" s="81">
        <f>IFERROR(VLOOKUP($A177,GanttChart!$A:$JD,264,FALSE),0)</f>
        <v>0</v>
      </c>
      <c r="H177" s="86"/>
      <c r="I177" s="81">
        <f t="shared" si="1"/>
        <v>0</v>
      </c>
    </row>
    <row r="178" spans="1:9" ht="14.25" hidden="1">
      <c r="A178" s="85">
        <v>8.2200000000000006</v>
      </c>
      <c r="C178" s="79">
        <f>IFERROR(VLOOKUP($A178,GanttChart!$A:$JD,2,FALSE),"خطا")</f>
        <v>0</v>
      </c>
      <c r="D178" s="80">
        <f>IFERROR(VLOOKUP($A178,GanttChart!$A:$JD,261,FALSE),0)</f>
        <v>0</v>
      </c>
      <c r="E178" s="80">
        <f>IFERROR(VLOOKUP($A178,GanttChart!$A:$JD,262,FALSE),0)</f>
        <v>0</v>
      </c>
      <c r="F178" s="80">
        <f>IFERROR(VLOOKUP($A178,GanttChart!$A:$JD,263,FALSE),0)</f>
        <v>0</v>
      </c>
      <c r="G178" s="81">
        <f>IFERROR(VLOOKUP($A178,GanttChart!$A:$JD,264,FALSE),0)</f>
        <v>0</v>
      </c>
      <c r="H178" s="86"/>
      <c r="I178" s="81">
        <f t="shared" si="1"/>
        <v>0</v>
      </c>
    </row>
    <row r="179" spans="1:9" ht="14.25" hidden="1">
      <c r="A179" s="85">
        <v>8.23</v>
      </c>
      <c r="C179" s="89">
        <f>IFERROR(VLOOKUP($A179,GanttChart!$A:$JD,2,FALSE),"خطا")</f>
        <v>0</v>
      </c>
      <c r="D179" s="90">
        <f>IFERROR(VLOOKUP($A179,GanttChart!$A:$JD,261,FALSE),0)</f>
        <v>0</v>
      </c>
      <c r="E179" s="90">
        <f>IFERROR(VLOOKUP($A179,GanttChart!$A:$JD,262,FALSE),0)</f>
        <v>0</v>
      </c>
      <c r="F179" s="90">
        <f>IFERROR(VLOOKUP($A179,GanttChart!$A:$JD,263,FALSE),0)</f>
        <v>0</v>
      </c>
      <c r="G179" s="87">
        <f>IFERROR(VLOOKUP($A179,GanttChart!$A:$JD,264,FALSE),0)</f>
        <v>0</v>
      </c>
      <c r="H179" s="86"/>
      <c r="I179" s="87">
        <f t="shared" si="1"/>
        <v>0</v>
      </c>
    </row>
    <row r="180" spans="1:9" ht="15">
      <c r="A180" s="94">
        <v>10</v>
      </c>
      <c r="C180" s="91" t="s">
        <v>51</v>
      </c>
      <c r="D180" s="92">
        <f>SUM(D4,D26,D48,D70,D92,D114,D136,D158)</f>
        <v>0</v>
      </c>
      <c r="E180" s="92">
        <f>SUM(E4,E26,E48,E70,E92,F114,F136,F158)</f>
        <v>0</v>
      </c>
      <c r="F180" s="92">
        <f>SUM(F4,F26,F48,F70,F92,F114,F136,F158)</f>
        <v>0</v>
      </c>
      <c r="G180" s="88">
        <f>SUM(G4,G26,G48,G70,G92,G114,G136,G158)</f>
        <v>0</v>
      </c>
      <c r="H180" s="93"/>
      <c r="I180" s="88" t="e">
        <f>SUM(I4,I26,I48,I70,I92,I114,I136,I158)</f>
        <v>#DIV/0!</v>
      </c>
    </row>
  </sheetData>
  <sheetProtection algorithmName="SHA-512" hashValue="sRy+B+P6ntOBVIXzsbqnWDFK+Zf68XZBt8Rgwb9VaLD6zHoCKNiyiWS5WK6EGg/DagW+5GqF6SUDyHCNLowfZg==" saltValue="V1kJdvDvREK39+q/ddYGmg==" spinCount="100000" sheet="1" objects="1" scenarios="1" selectLockedCells="1"/>
  <autoFilter ref="A1:I180">
    <filterColumn colId="0">
      <filters blank="1">
        <filter val="1"/>
        <filter val="10"/>
        <filter val="2"/>
        <filter val="3"/>
        <filter val="4"/>
        <filter val="5"/>
        <filter val="6"/>
        <filter val="7"/>
        <filter val="8"/>
        <filter val="WBS"/>
      </filters>
    </filterColumn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r:id="rId1"/>
  <headerFooter>
    <oddHeader>&amp;C&amp;"B Mitra,پررنگ"&amp;12پیوست شماره 1</oddHeader>
  </headerFooter>
  <ignoredErrors>
    <ignoredError sqref="D26:G158 E18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5"/>
  <dimension ref="A1:F54"/>
  <sheetViews>
    <sheetView rightToLeft="1" workbookViewId="0">
      <selection activeCell="A12" sqref="A12"/>
    </sheetView>
  </sheetViews>
  <sheetFormatPr defaultRowHeight="12.75"/>
  <cols>
    <col min="2" max="2" width="19.5703125" bestFit="1" customWidth="1"/>
    <col min="3" max="3" width="19.5703125" customWidth="1"/>
    <col min="4" max="4" width="10.42578125" customWidth="1"/>
    <col min="5" max="5" width="15" customWidth="1"/>
    <col min="6" max="6" width="39.7109375" bestFit="1" customWidth="1"/>
  </cols>
  <sheetData>
    <row r="1" spans="1:6" ht="15">
      <c r="A1" s="15" t="s">
        <v>34</v>
      </c>
      <c r="B1" s="15" t="s">
        <v>38</v>
      </c>
      <c r="C1" s="15" t="s">
        <v>37</v>
      </c>
      <c r="D1" s="15" t="s">
        <v>35</v>
      </c>
      <c r="E1" s="15" t="s">
        <v>36</v>
      </c>
      <c r="F1" s="15" t="s">
        <v>11</v>
      </c>
    </row>
    <row r="2" spans="1:6" ht="15">
      <c r="A2" s="16" t="s">
        <v>82</v>
      </c>
      <c r="B2" s="16" t="str">
        <f t="shared" ref="B2:B27" si="0">LEFT(A2,4)</f>
        <v>1398</v>
      </c>
      <c r="C2" s="16" t="str">
        <f t="shared" ref="C2:C27" si="1">MID(A2,6,2)</f>
        <v>01</v>
      </c>
      <c r="D2" s="16">
        <v>1</v>
      </c>
      <c r="E2" s="15" t="str">
        <f>IF(j_WEEKDAY(A2)=6,1,"")</f>
        <v/>
      </c>
      <c r="F2" s="17" t="s">
        <v>12</v>
      </c>
    </row>
    <row r="3" spans="1:6" ht="15">
      <c r="A3" s="16" t="s">
        <v>83</v>
      </c>
      <c r="B3" s="16" t="str">
        <f t="shared" si="0"/>
        <v>1398</v>
      </c>
      <c r="C3" s="16" t="str">
        <f t="shared" si="1"/>
        <v>01</v>
      </c>
      <c r="D3" s="16">
        <v>1</v>
      </c>
      <c r="E3" s="15">
        <f>IF(j_WEEKDAY(A3)=6,1,"")</f>
        <v>1</v>
      </c>
      <c r="F3" s="17" t="s">
        <v>12</v>
      </c>
    </row>
    <row r="4" spans="1:6" ht="15">
      <c r="A4" s="16" t="s">
        <v>84</v>
      </c>
      <c r="B4" s="16" t="str">
        <f t="shared" si="0"/>
        <v>1398</v>
      </c>
      <c r="C4" s="16" t="str">
        <f t="shared" si="1"/>
        <v>01</v>
      </c>
      <c r="D4" s="16">
        <v>1</v>
      </c>
      <c r="E4" s="15" t="str">
        <f>IF(j_WEEKDAY(A4)=6,1,"")</f>
        <v/>
      </c>
      <c r="F4" s="17" t="s">
        <v>12</v>
      </c>
    </row>
    <row r="5" spans="1:6" ht="15">
      <c r="A5" s="16" t="s">
        <v>85</v>
      </c>
      <c r="B5" s="16" t="str">
        <f t="shared" si="0"/>
        <v>1398</v>
      </c>
      <c r="C5" s="16" t="str">
        <f t="shared" si="1"/>
        <v>01</v>
      </c>
      <c r="D5" s="16">
        <v>1</v>
      </c>
      <c r="E5" s="15" t="str">
        <f>IF(j_WEEKDAY(A5)=6,1,"")</f>
        <v/>
      </c>
      <c r="F5" s="17" t="s">
        <v>12</v>
      </c>
    </row>
    <row r="6" spans="1:6" ht="15">
      <c r="A6" s="16" t="s">
        <v>86</v>
      </c>
      <c r="B6" s="16" t="str">
        <f t="shared" si="0"/>
        <v>1398</v>
      </c>
      <c r="C6" s="16" t="str">
        <f t="shared" si="1"/>
        <v>01</v>
      </c>
      <c r="D6" s="16">
        <v>1</v>
      </c>
      <c r="E6" s="15" t="str">
        <f>IF(j_WEEKDAY(A6)=6,1,"")</f>
        <v/>
      </c>
      <c r="F6" s="17" t="s">
        <v>13</v>
      </c>
    </row>
    <row r="7" spans="1:6" ht="15">
      <c r="A7" s="16" t="s">
        <v>87</v>
      </c>
      <c r="B7" s="16" t="str">
        <f t="shared" si="0"/>
        <v>1398</v>
      </c>
      <c r="C7" s="16" t="str">
        <f t="shared" si="1"/>
        <v>01</v>
      </c>
      <c r="D7" s="16">
        <v>1</v>
      </c>
      <c r="E7" s="15" t="str">
        <f>IF(j_WEEKDAY(A7)=6,1,"")</f>
        <v/>
      </c>
      <c r="F7" s="17" t="s">
        <v>14</v>
      </c>
    </row>
    <row r="8" spans="1:6" ht="15">
      <c r="A8" s="16" t="s">
        <v>92</v>
      </c>
      <c r="B8" s="16" t="str">
        <f t="shared" si="0"/>
        <v>1398</v>
      </c>
      <c r="C8" s="16" t="str">
        <f t="shared" si="1"/>
        <v>01</v>
      </c>
      <c r="D8" s="16">
        <v>1</v>
      </c>
      <c r="E8" s="15" t="str">
        <f>IF(j_WEEKDAY(A8)=6,1,"")</f>
        <v/>
      </c>
      <c r="F8" s="17" t="s">
        <v>19</v>
      </c>
    </row>
    <row r="9" spans="1:6" ht="15">
      <c r="A9" s="16" t="s">
        <v>93</v>
      </c>
      <c r="B9" s="16" t="str">
        <f t="shared" si="0"/>
        <v>1398</v>
      </c>
      <c r="C9" s="16" t="str">
        <f t="shared" si="1"/>
        <v>02</v>
      </c>
      <c r="D9" s="16">
        <v>1</v>
      </c>
      <c r="E9" s="15" t="str">
        <f>IF(j_WEEKDAY(A9)=6,1,"")</f>
        <v/>
      </c>
      <c r="F9" s="18" t="s">
        <v>20</v>
      </c>
    </row>
    <row r="10" spans="1:6" ht="15">
      <c r="A10" s="16" t="s">
        <v>94</v>
      </c>
      <c r="B10" s="16" t="str">
        <f t="shared" si="0"/>
        <v>1398</v>
      </c>
      <c r="C10" s="16" t="str">
        <f t="shared" si="1"/>
        <v>03</v>
      </c>
      <c r="D10" s="16">
        <v>1</v>
      </c>
      <c r="E10" s="15" t="str">
        <f>IF(j_WEEKDAY(A10)=6,1,"")</f>
        <v/>
      </c>
      <c r="F10" s="17" t="s">
        <v>21</v>
      </c>
    </row>
    <row r="11" spans="1:6" ht="15">
      <c r="A11" s="16" t="s">
        <v>88</v>
      </c>
      <c r="B11" s="16" t="str">
        <f t="shared" si="0"/>
        <v>1398</v>
      </c>
      <c r="C11" s="16" t="str">
        <f t="shared" si="1"/>
        <v>03</v>
      </c>
      <c r="D11" s="16">
        <v>1</v>
      </c>
      <c r="E11" s="15" t="str">
        <f>IF(j_WEEKDAY(A11)=6,1,"")</f>
        <v/>
      </c>
      <c r="F11" s="17" t="s">
        <v>17</v>
      </c>
    </row>
    <row r="12" spans="1:6" ht="15">
      <c r="A12" s="16" t="s">
        <v>89</v>
      </c>
      <c r="B12" s="16" t="str">
        <f t="shared" si="0"/>
        <v>1398</v>
      </c>
      <c r="C12" s="16" t="str">
        <f t="shared" si="1"/>
        <v>03</v>
      </c>
      <c r="D12" s="16">
        <v>1</v>
      </c>
      <c r="E12" s="15" t="str">
        <f>IF(j_WEEKDAY(A12)=6,1,"")</f>
        <v/>
      </c>
      <c r="F12" s="17" t="s">
        <v>18</v>
      </c>
    </row>
    <row r="13" spans="1:6" ht="15">
      <c r="A13" s="16" t="s">
        <v>95</v>
      </c>
      <c r="B13" s="16" t="str">
        <f t="shared" si="0"/>
        <v>1398</v>
      </c>
      <c r="C13" s="16" t="str">
        <f t="shared" si="1"/>
        <v>03</v>
      </c>
      <c r="D13" s="16">
        <v>1</v>
      </c>
      <c r="E13" s="15" t="str">
        <f>IF(j_WEEKDAY(A13)=6,1,"")</f>
        <v/>
      </c>
      <c r="F13" s="17" t="s">
        <v>22</v>
      </c>
    </row>
    <row r="14" spans="1:6" ht="15">
      <c r="A14" s="16" t="s">
        <v>96</v>
      </c>
      <c r="B14" s="16" t="str">
        <f t="shared" si="0"/>
        <v>1398</v>
      </c>
      <c r="C14" s="16" t="str">
        <f t="shared" si="1"/>
        <v>04</v>
      </c>
      <c r="D14" s="16">
        <v>1</v>
      </c>
      <c r="E14" s="15" t="str">
        <f>IF(j_WEEKDAY(A14)=6,1,"")</f>
        <v/>
      </c>
      <c r="F14" s="17" t="s">
        <v>23</v>
      </c>
    </row>
    <row r="15" spans="1:6" ht="15">
      <c r="A15" s="16" t="s">
        <v>97</v>
      </c>
      <c r="B15" s="16" t="str">
        <f t="shared" si="0"/>
        <v>1398</v>
      </c>
      <c r="C15" s="16" t="str">
        <f t="shared" si="1"/>
        <v>05</v>
      </c>
      <c r="D15" s="16">
        <v>1</v>
      </c>
      <c r="E15" s="15" t="str">
        <f>IF(j_WEEKDAY(A15)=6,1,"")</f>
        <v/>
      </c>
      <c r="F15" s="17" t="s">
        <v>24</v>
      </c>
    </row>
    <row r="16" spans="1:6" ht="15">
      <c r="A16" s="16" t="s">
        <v>98</v>
      </c>
      <c r="B16" s="16" t="str">
        <f t="shared" si="0"/>
        <v>1398</v>
      </c>
      <c r="C16" s="16" t="str">
        <f t="shared" si="1"/>
        <v>05</v>
      </c>
      <c r="D16" s="16">
        <v>1</v>
      </c>
      <c r="E16" s="15" t="str">
        <f>IF(j_WEEKDAY(A16)=6,1,"")</f>
        <v/>
      </c>
      <c r="F16" s="17" t="s">
        <v>25</v>
      </c>
    </row>
    <row r="17" spans="1:6" ht="15">
      <c r="A17" s="16" t="s">
        <v>99</v>
      </c>
      <c r="B17" s="16" t="str">
        <f t="shared" si="0"/>
        <v>1398</v>
      </c>
      <c r="C17" s="16" t="str">
        <f t="shared" si="1"/>
        <v>06</v>
      </c>
      <c r="D17" s="16">
        <v>1</v>
      </c>
      <c r="E17" s="15" t="str">
        <f>IF(j_WEEKDAY(A17)=6,1,"")</f>
        <v/>
      </c>
      <c r="F17" s="17" t="s">
        <v>26</v>
      </c>
    </row>
    <row r="18" spans="1:6" ht="15">
      <c r="A18" s="16" t="s">
        <v>100</v>
      </c>
      <c r="B18" s="16" t="str">
        <f t="shared" si="0"/>
        <v>1398</v>
      </c>
      <c r="C18" s="16" t="str">
        <f t="shared" si="1"/>
        <v>06</v>
      </c>
      <c r="D18" s="16">
        <v>1</v>
      </c>
      <c r="E18" s="15" t="str">
        <f>IF(j_WEEKDAY(A18)=6,1,"")</f>
        <v/>
      </c>
      <c r="F18" s="17" t="s">
        <v>27</v>
      </c>
    </row>
    <row r="19" spans="1:6" ht="15">
      <c r="A19" s="16" t="s">
        <v>101</v>
      </c>
      <c r="B19" s="16" t="str">
        <f t="shared" si="0"/>
        <v>1398</v>
      </c>
      <c r="C19" s="16" t="str">
        <f t="shared" si="1"/>
        <v>07</v>
      </c>
      <c r="D19" s="16">
        <v>1</v>
      </c>
      <c r="E19" s="15" t="str">
        <f>IF(j_WEEKDAY(A19)=6,1,"")</f>
        <v/>
      </c>
      <c r="F19" s="17" t="s">
        <v>28</v>
      </c>
    </row>
    <row r="20" spans="1:6" ht="15">
      <c r="A20" s="16" t="s">
        <v>102</v>
      </c>
      <c r="B20" s="16" t="str">
        <f t="shared" si="0"/>
        <v>1398</v>
      </c>
      <c r="C20" s="16" t="str">
        <f t="shared" si="1"/>
        <v>08</v>
      </c>
      <c r="D20" s="16">
        <v>1</v>
      </c>
      <c r="E20" s="15" t="str">
        <f>IF(j_WEEKDAY(A20)=6,1,"")</f>
        <v/>
      </c>
      <c r="F20" s="17" t="s">
        <v>29</v>
      </c>
    </row>
    <row r="21" spans="1:6" ht="15">
      <c r="A21" s="16" t="s">
        <v>103</v>
      </c>
      <c r="B21" s="16" t="str">
        <f t="shared" si="0"/>
        <v>1398</v>
      </c>
      <c r="C21" s="16" t="str">
        <f t="shared" si="1"/>
        <v>08</v>
      </c>
      <c r="D21" s="16">
        <v>1</v>
      </c>
      <c r="E21" s="15" t="str">
        <f>IF(j_WEEKDAY(A21)=6,1,"")</f>
        <v/>
      </c>
      <c r="F21" s="17" t="s">
        <v>30</v>
      </c>
    </row>
    <row r="22" spans="1:6" ht="15">
      <c r="A22" s="16" t="s">
        <v>104</v>
      </c>
      <c r="B22" s="16" t="str">
        <f t="shared" si="0"/>
        <v>1398</v>
      </c>
      <c r="C22" s="16" t="str">
        <f t="shared" si="1"/>
        <v>08</v>
      </c>
      <c r="D22" s="16">
        <v>1</v>
      </c>
      <c r="E22" s="15" t="str">
        <f>IF(j_WEEKDAY(A22)=6,1,"")</f>
        <v/>
      </c>
      <c r="F22" s="17" t="s">
        <v>105</v>
      </c>
    </row>
    <row r="23" spans="1:6" ht="15">
      <c r="A23" s="16" t="s">
        <v>106</v>
      </c>
      <c r="B23" s="16" t="str">
        <f t="shared" si="0"/>
        <v>1398</v>
      </c>
      <c r="C23" s="16" t="str">
        <f t="shared" si="1"/>
        <v>08</v>
      </c>
      <c r="D23" s="16">
        <v>1</v>
      </c>
      <c r="E23" s="15">
        <f>IF(j_WEEKDAY(A23)=6,1,"")</f>
        <v>1</v>
      </c>
      <c r="F23" s="17" t="s">
        <v>31</v>
      </c>
    </row>
    <row r="24" spans="1:6" ht="15">
      <c r="A24" s="16" t="s">
        <v>107</v>
      </c>
      <c r="B24" s="16" t="str">
        <f t="shared" si="0"/>
        <v>1398</v>
      </c>
      <c r="C24" s="16" t="str">
        <f t="shared" si="1"/>
        <v>11</v>
      </c>
      <c r="D24" s="16">
        <v>1</v>
      </c>
      <c r="E24" s="15" t="str">
        <f>IF(j_WEEKDAY(A24)=6,1,"")</f>
        <v/>
      </c>
      <c r="F24" s="17" t="s">
        <v>15</v>
      </c>
    </row>
    <row r="25" spans="1:6" ht="15">
      <c r="A25" s="16" t="s">
        <v>90</v>
      </c>
      <c r="B25" s="16" t="str">
        <f t="shared" si="0"/>
        <v>1398</v>
      </c>
      <c r="C25" s="16" t="str">
        <f t="shared" si="1"/>
        <v>11</v>
      </c>
      <c r="D25" s="16">
        <v>1</v>
      </c>
      <c r="E25" s="15" t="str">
        <f>IF(j_WEEKDAY(A25)=6,1,"")</f>
        <v/>
      </c>
      <c r="F25" s="17" t="s">
        <v>32</v>
      </c>
    </row>
    <row r="26" spans="1:6" ht="15">
      <c r="A26" s="16" t="s">
        <v>108</v>
      </c>
      <c r="B26" s="16" t="str">
        <f t="shared" si="0"/>
        <v>1398</v>
      </c>
      <c r="C26" s="16" t="str">
        <f t="shared" si="1"/>
        <v>12</v>
      </c>
      <c r="D26" s="16">
        <v>1</v>
      </c>
      <c r="E26" s="15" t="str">
        <f>IF(j_WEEKDAY(A26)=6,1,"")</f>
        <v/>
      </c>
      <c r="F26" s="17" t="s">
        <v>16</v>
      </c>
    </row>
    <row r="27" spans="1:6" ht="15">
      <c r="A27" s="16" t="s">
        <v>91</v>
      </c>
      <c r="B27" s="16" t="str">
        <f t="shared" si="0"/>
        <v>1398</v>
      </c>
      <c r="C27" s="16" t="str">
        <f t="shared" si="1"/>
        <v>12</v>
      </c>
      <c r="D27" s="16">
        <v>1</v>
      </c>
      <c r="E27" s="15" t="str">
        <f>IF(j_WEEKDAY(A27)=6,1,"")</f>
        <v/>
      </c>
      <c r="F27" s="17" t="s">
        <v>33</v>
      </c>
    </row>
    <row r="28" spans="1:6" ht="15">
      <c r="A28" s="205" t="s">
        <v>51</v>
      </c>
      <c r="B28" s="205"/>
      <c r="C28" s="205"/>
      <c r="D28" s="205">
        <f>SUBTOTAL(109,Holieday[ok])</f>
        <v>26</v>
      </c>
      <c r="E28" s="205">
        <f>SUBTOTAL(109,Holieday[Friday])</f>
        <v>2</v>
      </c>
      <c r="F28" s="206"/>
    </row>
    <row r="29" spans="1:6" ht="15">
      <c r="A29" s="16"/>
      <c r="B29" s="16" t="str">
        <f t="shared" ref="B29:B54" si="2">LEFT(A29,4)</f>
        <v/>
      </c>
      <c r="C29" s="16" t="str">
        <f t="shared" ref="C29:C54" si="3">MID(A29,6,2)</f>
        <v/>
      </c>
      <c r="D29" s="16"/>
      <c r="E29" s="15"/>
      <c r="F29" s="17"/>
    </row>
    <row r="30" spans="1:6" ht="15">
      <c r="A30" s="16"/>
      <c r="B30" s="16" t="str">
        <f t="shared" si="2"/>
        <v/>
      </c>
      <c r="C30" s="16" t="str">
        <f t="shared" si="3"/>
        <v/>
      </c>
      <c r="D30" s="16"/>
      <c r="E30" s="15"/>
      <c r="F30" s="17"/>
    </row>
    <row r="31" spans="1:6" ht="15">
      <c r="A31" s="16"/>
      <c r="B31" s="16" t="str">
        <f t="shared" si="2"/>
        <v/>
      </c>
      <c r="C31" s="16" t="str">
        <f t="shared" si="3"/>
        <v/>
      </c>
      <c r="D31" s="16"/>
      <c r="E31" s="15"/>
      <c r="F31" s="17"/>
    </row>
    <row r="32" spans="1:6" ht="15">
      <c r="A32" s="16"/>
      <c r="B32" s="16" t="str">
        <f t="shared" si="2"/>
        <v/>
      </c>
      <c r="C32" s="16" t="str">
        <f t="shared" si="3"/>
        <v/>
      </c>
      <c r="D32" s="16"/>
      <c r="E32" s="15"/>
      <c r="F32" s="17"/>
    </row>
    <row r="33" spans="1:6" ht="15">
      <c r="A33" s="16"/>
      <c r="B33" s="16" t="str">
        <f t="shared" si="2"/>
        <v/>
      </c>
      <c r="C33" s="16" t="str">
        <f t="shared" si="3"/>
        <v/>
      </c>
      <c r="D33" s="16"/>
      <c r="E33" s="15"/>
      <c r="F33" s="17"/>
    </row>
    <row r="34" spans="1:6" ht="15">
      <c r="A34" s="16"/>
      <c r="B34" s="16" t="str">
        <f t="shared" si="2"/>
        <v/>
      </c>
      <c r="C34" s="16" t="str">
        <f t="shared" si="3"/>
        <v/>
      </c>
      <c r="D34" s="16"/>
      <c r="E34" s="15"/>
      <c r="F34" s="17"/>
    </row>
    <row r="35" spans="1:6" ht="15">
      <c r="A35" s="16"/>
      <c r="B35" s="16" t="str">
        <f t="shared" si="2"/>
        <v/>
      </c>
      <c r="C35" s="16" t="str">
        <f t="shared" si="3"/>
        <v/>
      </c>
      <c r="D35" s="16"/>
      <c r="E35" s="15"/>
      <c r="F35" s="17"/>
    </row>
    <row r="36" spans="1:6" ht="15">
      <c r="A36" s="16"/>
      <c r="B36" s="16" t="str">
        <f t="shared" si="2"/>
        <v/>
      </c>
      <c r="C36" s="16" t="str">
        <f t="shared" si="3"/>
        <v/>
      </c>
      <c r="D36" s="16"/>
      <c r="E36" s="15"/>
      <c r="F36" s="17"/>
    </row>
    <row r="37" spans="1:6" ht="15">
      <c r="A37" s="16"/>
      <c r="B37" s="16" t="str">
        <f t="shared" si="2"/>
        <v/>
      </c>
      <c r="C37" s="16" t="str">
        <f t="shared" si="3"/>
        <v/>
      </c>
      <c r="D37" s="16"/>
      <c r="E37" s="15"/>
      <c r="F37" s="17"/>
    </row>
    <row r="38" spans="1:6" ht="15">
      <c r="A38" s="16"/>
      <c r="B38" s="16" t="str">
        <f t="shared" si="2"/>
        <v/>
      </c>
      <c r="C38" s="16" t="str">
        <f t="shared" si="3"/>
        <v/>
      </c>
      <c r="D38" s="16"/>
      <c r="E38" s="15"/>
      <c r="F38" s="17"/>
    </row>
    <row r="39" spans="1:6" ht="15">
      <c r="A39" s="16"/>
      <c r="B39" s="16" t="str">
        <f t="shared" si="2"/>
        <v/>
      </c>
      <c r="C39" s="16" t="str">
        <f t="shared" si="3"/>
        <v/>
      </c>
      <c r="D39" s="16"/>
      <c r="E39" s="15"/>
      <c r="F39" s="17"/>
    </row>
    <row r="40" spans="1:6" ht="15">
      <c r="A40" s="16"/>
      <c r="B40" s="16" t="str">
        <f t="shared" si="2"/>
        <v/>
      </c>
      <c r="C40" s="16" t="str">
        <f t="shared" si="3"/>
        <v/>
      </c>
      <c r="D40" s="16"/>
      <c r="E40" s="15"/>
      <c r="F40" s="17"/>
    </row>
    <row r="41" spans="1:6" ht="15">
      <c r="A41" s="16"/>
      <c r="B41" s="16" t="str">
        <f t="shared" si="2"/>
        <v/>
      </c>
      <c r="C41" s="16" t="str">
        <f t="shared" si="3"/>
        <v/>
      </c>
      <c r="D41" s="16"/>
      <c r="E41" s="15"/>
      <c r="F41" s="17"/>
    </row>
    <row r="42" spans="1:6" ht="15">
      <c r="A42" s="16"/>
      <c r="B42" s="16" t="str">
        <f t="shared" si="2"/>
        <v/>
      </c>
      <c r="C42" s="16" t="str">
        <f t="shared" si="3"/>
        <v/>
      </c>
      <c r="D42" s="16"/>
      <c r="E42" s="15"/>
      <c r="F42" s="17"/>
    </row>
    <row r="43" spans="1:6" ht="15">
      <c r="A43" s="16"/>
      <c r="B43" s="16" t="str">
        <f t="shared" si="2"/>
        <v/>
      </c>
      <c r="C43" s="16" t="str">
        <f t="shared" si="3"/>
        <v/>
      </c>
      <c r="D43" s="16"/>
      <c r="E43" s="15"/>
      <c r="F43" s="17"/>
    </row>
    <row r="44" spans="1:6" ht="15">
      <c r="A44" s="16"/>
      <c r="B44" s="16" t="str">
        <f t="shared" si="2"/>
        <v/>
      </c>
      <c r="C44" s="16" t="str">
        <f t="shared" si="3"/>
        <v/>
      </c>
      <c r="D44" s="16"/>
      <c r="E44" s="15"/>
      <c r="F44" s="17"/>
    </row>
    <row r="45" spans="1:6" ht="15">
      <c r="A45" s="16"/>
      <c r="B45" s="16" t="str">
        <f t="shared" si="2"/>
        <v/>
      </c>
      <c r="C45" s="16" t="str">
        <f t="shared" si="3"/>
        <v/>
      </c>
      <c r="D45" s="16"/>
      <c r="E45" s="15"/>
      <c r="F45" s="17"/>
    </row>
    <row r="46" spans="1:6" ht="15">
      <c r="A46" s="16"/>
      <c r="B46" s="16" t="str">
        <f t="shared" si="2"/>
        <v/>
      </c>
      <c r="C46" s="16" t="str">
        <f t="shared" si="3"/>
        <v/>
      </c>
      <c r="D46" s="16"/>
      <c r="E46" s="15"/>
      <c r="F46" s="17"/>
    </row>
    <row r="47" spans="1:6" ht="15">
      <c r="A47" s="16"/>
      <c r="B47" s="16" t="str">
        <f t="shared" si="2"/>
        <v/>
      </c>
      <c r="C47" s="16" t="str">
        <f t="shared" si="3"/>
        <v/>
      </c>
      <c r="D47" s="16"/>
      <c r="E47" s="15"/>
      <c r="F47" s="17"/>
    </row>
    <row r="48" spans="1:6" ht="15">
      <c r="A48" s="16"/>
      <c r="B48" s="16" t="str">
        <f t="shared" si="2"/>
        <v/>
      </c>
      <c r="C48" s="16" t="str">
        <f t="shared" si="3"/>
        <v/>
      </c>
      <c r="D48" s="16"/>
      <c r="E48" s="15"/>
      <c r="F48" s="17"/>
    </row>
    <row r="49" spans="1:6" ht="15">
      <c r="A49" s="16"/>
      <c r="B49" s="16" t="str">
        <f t="shared" si="2"/>
        <v/>
      </c>
      <c r="C49" s="16" t="str">
        <f t="shared" si="3"/>
        <v/>
      </c>
      <c r="D49" s="16"/>
      <c r="E49" s="15"/>
      <c r="F49" s="17"/>
    </row>
    <row r="50" spans="1:6" ht="15">
      <c r="A50" s="16"/>
      <c r="B50" s="16" t="str">
        <f t="shared" si="2"/>
        <v/>
      </c>
      <c r="C50" s="16" t="str">
        <f t="shared" si="3"/>
        <v/>
      </c>
      <c r="D50" s="16"/>
      <c r="E50" s="15"/>
      <c r="F50" s="17"/>
    </row>
    <row r="51" spans="1:6" ht="15">
      <c r="A51" s="16"/>
      <c r="B51" s="16" t="str">
        <f t="shared" si="2"/>
        <v/>
      </c>
      <c r="C51" s="16" t="str">
        <f t="shared" si="3"/>
        <v/>
      </c>
      <c r="D51" s="16"/>
      <c r="E51" s="15"/>
      <c r="F51" s="17"/>
    </row>
    <row r="52" spans="1:6" ht="15">
      <c r="A52" s="16"/>
      <c r="B52" s="16" t="str">
        <f t="shared" si="2"/>
        <v/>
      </c>
      <c r="C52" s="16" t="str">
        <f t="shared" si="3"/>
        <v/>
      </c>
      <c r="D52" s="16"/>
      <c r="E52" s="15"/>
      <c r="F52" s="17"/>
    </row>
    <row r="53" spans="1:6" ht="15">
      <c r="A53" s="16"/>
      <c r="B53" s="16" t="str">
        <f t="shared" si="2"/>
        <v/>
      </c>
      <c r="C53" s="16" t="str">
        <f t="shared" si="3"/>
        <v/>
      </c>
      <c r="D53" s="16"/>
      <c r="E53" s="15"/>
      <c r="F53" s="17"/>
    </row>
    <row r="54" spans="1:6" ht="15">
      <c r="A54" s="16"/>
      <c r="B54" s="16" t="str">
        <f t="shared" si="2"/>
        <v/>
      </c>
      <c r="C54" s="16" t="str">
        <f t="shared" si="3"/>
        <v/>
      </c>
      <c r="D54" s="16"/>
      <c r="E54" s="15"/>
      <c r="F54" s="17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GanttChart</vt:lpstr>
      <vt:lpstr>Income Person-hours</vt:lpstr>
      <vt:lpstr>Report 1</vt:lpstr>
      <vt:lpstr>Report 2</vt:lpstr>
      <vt:lpstr>Holidays</vt:lpstr>
      <vt:lpstr>GanttChart!a</vt:lpstr>
      <vt:lpstr>GanttChart!Print_Area</vt:lpstr>
      <vt:lpstr>'Report 1'!Print_Area</vt:lpstr>
      <vt:lpstr>'Report 2'!Print_Area</vt:lpstr>
    </vt:vector>
  </TitlesOfParts>
  <Manager>گروه اکسل ایران</Manager>
  <Company>www.exceliran.com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نمونه فایل زمانبندی پروژه</dc:title>
  <dc:subject>نمونه گانت چارت</dc:subject>
  <dc:creator>سعید علی محمدی-09155016029</dc:creator>
  <dc:description>این فایل نمونه جهت کاربران که در مدیریت پروژه ها کار میکنندتهیه گردیده است- www.exceliran.com</dc:description>
  <cp:lastModifiedBy>امید لک</cp:lastModifiedBy>
  <cp:lastPrinted>2019-09-24T16:20:13Z</cp:lastPrinted>
  <dcterms:created xsi:type="dcterms:W3CDTF">2006-11-11T15:27:14Z</dcterms:created>
  <dcterms:modified xsi:type="dcterms:W3CDTF">2019-10-28T06:59:16Z</dcterms:modified>
  <cp:category>gant</cp:category>
</cp:coreProperties>
</file>